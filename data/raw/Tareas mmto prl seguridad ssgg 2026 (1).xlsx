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ing.sharepoint.com/sites/F2FSupportTeam/Shared Documents/F2F Support documentación/Tickets CBRE/"/>
    </mc:Choice>
  </mc:AlternateContent>
  <xr:revisionPtr revIDLastSave="5159" documentId="8_{19F8FA3A-C0D2-461E-8B49-E47A6F3EE8DE}" xr6:coauthVersionLast="47" xr6:coauthVersionMax="47" xr10:uidLastSave="{EADE5291-D026-441E-8322-1D8DE5CACBB5}"/>
  <bookViews>
    <workbookView xWindow="-110" yWindow="-110" windowWidth="19420" windowHeight="11500" firstSheet="1" activeTab="1" xr2:uid="{00000000-000D-0000-FFFF-FFFF00000000}"/>
  </bookViews>
  <sheets>
    <sheet name="Explicación CBRE" sheetId="8" r:id="rId1"/>
    <sheet name="Facilities" sheetId="1" r:id="rId2"/>
    <sheet name="Deseables" sheetId="6" state="hidden" r:id="rId3"/>
    <sheet name="PRL" sheetId="4" r:id="rId4"/>
    <sheet name="Seguridad" sheetId="5" r:id="rId5"/>
    <sheet name="Propuestas facilities oficinas " sheetId="7" r:id="rId6"/>
    <sheet name="Deseables A" sheetId="2" state="hidden" r:id="rId7"/>
  </sheets>
  <definedNames>
    <definedName name="_xlnm._FilterDatabase" localSheetId="6" hidden="1">'Deseables A'!$B$3:$M$43</definedName>
    <definedName name="_xlnm._FilterDatabase" localSheetId="3" hidden="1">PRL!$B$2:$X$42</definedName>
    <definedName name="_xlnm._FilterDatabase" localSheetId="4" hidden="1">Seguridad!$A$1:$L$1</definedName>
    <definedName name="_xlnm._FilterDatabase" localSheetId="1" hidden="1">Facilities!$A$1:$R$1638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5" l="1"/>
  <c r="L3" i="5" s="1"/>
  <c r="K4" i="5"/>
  <c r="L4" i="5" s="1"/>
  <c r="K5" i="5"/>
  <c r="L5" i="5" s="1"/>
  <c r="K6" i="5"/>
  <c r="L6" i="5" s="1"/>
  <c r="K7" i="5"/>
  <c r="L7" i="5" s="1"/>
  <c r="K8" i="5"/>
  <c r="L8" i="5" s="1"/>
  <c r="K2" i="5"/>
  <c r="L2" i="5" s="1"/>
  <c r="H8" i="5"/>
  <c r="H6" i="5"/>
  <c r="H5" i="5"/>
  <c r="H4" i="5"/>
  <c r="H3" i="5"/>
  <c r="H2" i="5"/>
  <c r="H7" i="5"/>
  <c r="I43" i="2"/>
  <c r="H43" i="2"/>
  <c r="F43" i="2"/>
  <c r="E43" i="2"/>
  <c r="D4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Santonja Garriga, E. (Elisa)</author>
    <author>tc={65E08829-99C9-4675-A971-2B0E693FD13B}</author>
  </authors>
  <commentList>
    <comment ref="G7" authorId="0" shapeId="0" xr:uid="{3931DCFE-F9B4-48C5-BEE0-59D98E85EECE}">
      <text>
        <r>
          <rPr>
            <b/>
            <sz val="9"/>
            <color indexed="81"/>
            <rFont val="Tahoma"/>
            <family val="2"/>
          </rPr>
          <t>Santonja Garriga, E. (Elisa):</t>
        </r>
        <r>
          <rPr>
            <sz val="9"/>
            <color indexed="81"/>
            <rFont val="Tahoma"/>
            <family val="2"/>
          </rPr>
          <t xml:space="preserve">
SUELO PLANTA BAJA</t>
        </r>
      </text>
    </comment>
    <comment ref="F22" authorId="0" shapeId="0" xr:uid="{DCB9F347-7D13-4FF2-8AE2-54ACD9AC71B8}">
      <text>
        <r>
          <rPr>
            <b/>
            <sz val="9"/>
            <color indexed="81"/>
            <rFont val="Tahoma"/>
            <family val="2"/>
          </rPr>
          <t>Santonja Garriga, E. (Elisa):</t>
        </r>
        <r>
          <rPr>
            <sz val="9"/>
            <color indexed="81"/>
            <rFont val="Tahoma"/>
            <family val="2"/>
          </rPr>
          <t xml:space="preserve">
cuero rajado en sofá curvo
</t>
        </r>
      </text>
    </comment>
    <comment ref="F24" authorId="0" shapeId="0" xr:uid="{7EA54B95-F1B9-425C-9F08-16646CF35096}">
      <text>
        <r>
          <rPr>
            <b/>
            <sz val="9"/>
            <color indexed="81"/>
            <rFont val="Tahoma"/>
            <family val="2"/>
          </rPr>
          <t>Santonja Garriga, E. (Elisa):</t>
        </r>
        <r>
          <rPr>
            <sz val="9"/>
            <color indexed="81"/>
            <rFont val="Tahoma"/>
            <family val="2"/>
          </rPr>
          <t xml:space="preserve">
2 PUFFS PARA ZONA TRASERA
</t>
        </r>
      </text>
    </comment>
    <comment ref="C35" authorId="1" shapeId="0" xr:uid="{65E08829-99C9-4675-A971-2B0E693FD13B}">
      <text>
        <t>[Threaded comment]
Your version of Excel allows you to read this threaded comment; however, any edits to it will get removed if the file is opened in a newer version of Excel. Learn more: https://go.microsoft.com/fwlink/?linkid=870924
Comment:
    No urgente</t>
      </text>
    </comment>
    <comment ref="E36" authorId="0" shapeId="0" xr:uid="{0200B52E-91DB-487C-82AA-4DD191118AAE}">
      <text>
        <r>
          <rPr>
            <b/>
            <sz val="9"/>
            <color indexed="81"/>
            <rFont val="Tahoma"/>
            <family val="2"/>
          </rPr>
          <t>Santonja Garriga, E. (Elisa):</t>
        </r>
        <r>
          <rPr>
            <sz val="9"/>
            <color indexed="81"/>
            <rFont val="Tahoma"/>
            <family val="2"/>
          </rPr>
          <t xml:space="preserve">
cambiar mesa completa</t>
        </r>
      </text>
    </comment>
  </commentList>
</comments>
</file>

<file path=xl/sharedStrings.xml><?xml version="1.0" encoding="utf-8"?>
<sst xmlns="http://schemas.openxmlformats.org/spreadsheetml/2006/main" count="9506" uniqueCount="3697">
  <si>
    <t>EXPLICACIÓN TAREA SEGUIMIENTO CBRE</t>
  </si>
  <si>
    <t>1. Cada viernes mariadolores.ayas@cbre.com te envía el listado semanal de tickets pendientes</t>
  </si>
  <si>
    <t>2. Abres el archivo: Tareas mmto prl seguridad ssgg 2023 que se encuentra en Support &gt; General &gt; Tareas Anouk y vas a la pestaña de Facilities</t>
  </si>
  <si>
    <t>3. Del listado que te pasan desde CBRE, vas una a una con el número de ticket (COLUMNA A WORK ORDER) comprobando si está en la pestaña de Facilities (COLUMNA K TICKET CBRE)</t>
  </si>
  <si>
    <t>4. Si ya está la tarea, hay varias opciones:</t>
  </si>
  <si>
    <t>1ª que esté tachado, por tanto lo subrayas en amarillo y en la columna N, pones fecha y hecho</t>
  </si>
  <si>
    <t>2ª que haya un comentario (suele venir en rojo), lo pones en la columna N con su fecha</t>
  </si>
  <si>
    <t>3ª que esté subrayado en amarillo: eso supone que está en hold (va a tardar más tiempo en resolverse) lo subrayas en color salmón y en la columna N indicas que está en hold</t>
  </si>
  <si>
    <t xml:space="preserve">5. si no está la tarea, la tienes que incluir en tu listado: </t>
  </si>
  <si>
    <t xml:space="preserve"> ---copias en la columna K "Ticket CBRE" el número de ticket.</t>
  </si>
  <si>
    <t xml:space="preserve"> ---copias en la columna N "Comentario" la columna B "Description"</t>
  </si>
  <si>
    <t xml:space="preserve"> --- indicas en que oficina (columna B) y la fecha (columna J)</t>
  </si>
  <si>
    <t xml:space="preserve"> ---arrastras fórmula en columan E y P (asegurando de que se quede en abierto)</t>
  </si>
  <si>
    <t xml:space="preserve">Una vez incluidas, la tarea puede estar tachada, con un comentario o subrayada en amarillo, sigues el mismo criterio que hemos utilizado anteriormente. </t>
  </si>
  <si>
    <t>6. una vez finalizado, filtras por amarillo, que son aquellas que te han indicado que ya estaban hechas y vas filtrando por oficina, y preguntando a sus coordinadores si ya está hecho.</t>
  </si>
  <si>
    <t xml:space="preserve"> ---si te dan el ok: cierrras ticket (Columna P) y quitas el subrayado amarillo</t>
  </si>
  <si>
    <t xml:space="preserve"> ---si te dicen que aún no lo han hecho: lo dejas abierto, quitas el subrayado amarillo e incluyes un comentario con lo que te ha dicho el coodi en la columna O "Comentarios oficinas"</t>
  </si>
  <si>
    <t xml:space="preserve">ejemplo: </t>
  </si>
  <si>
    <t xml:space="preserve">7. El primer martes de cada mes, tienes una reunión con CBRE en la que vas revisando estos tickets: </t>
  </si>
  <si>
    <t xml:space="preserve"> ---utilizas este archivo (en la ventana Facilities)</t>
  </si>
  <si>
    <t xml:space="preserve"> ---filtras por abierto (Columna P)</t>
  </si>
  <si>
    <t xml:space="preserve"> ---y vas filtrando oficina por oficina y comentando cada ticket, a ver si ha habido algún avance, y sobre todo insistir en aquellos que sean importantes o esén muy parados.</t>
  </si>
  <si>
    <t>s</t>
  </si>
  <si>
    <t>OFICINA</t>
  </si>
  <si>
    <t>AREA / ZONA
 (Espacio donde se detecta la incidencia)</t>
  </si>
  <si>
    <r>
      <t xml:space="preserve">Incidencia 
</t>
    </r>
    <r>
      <rPr>
        <b/>
        <sz val="10"/>
        <color theme="0"/>
        <rFont val="ING Me"/>
      </rPr>
      <t>(ILUMINACION
TEMPERATURA
HGUMEDAD,,,)</t>
    </r>
  </si>
  <si>
    <t xml:space="preserve">ORIGEN INCIDENCIA </t>
  </si>
  <si>
    <r>
      <t xml:space="preserve">MEDIDA PREVETIVA O TAREA A  REALIZAR
</t>
    </r>
    <r>
      <rPr>
        <b/>
        <sz val="10"/>
        <color theme="0"/>
        <rFont val="ING Me"/>
      </rPr>
      <t>(A COMPLETAR POR PRL / SEGURIDAD / FACILITIES)</t>
    </r>
  </si>
  <si>
    <t>FECHA DE DETECCION DE LA INCIDENCIA</t>
  </si>
  <si>
    <t>FECHA PROBABLE RESOLUCION</t>
  </si>
  <si>
    <t xml:space="preserve">FECHA REALIZACION </t>
  </si>
  <si>
    <t>Fecha ticket</t>
  </si>
  <si>
    <t xml:space="preserve">Ticket CBRE </t>
  </si>
  <si>
    <t>INFORME DONDE APARECE
 (auditoria, evcaluacion riesgos, simulaccro, parte de mantenimiento)</t>
  </si>
  <si>
    <t>Prioridad</t>
  </si>
  <si>
    <t xml:space="preserve">Comentario PRL / Facilities / Seguridad </t>
  </si>
  <si>
    <t>Comentarios Oficinas</t>
  </si>
  <si>
    <t>Estado</t>
  </si>
  <si>
    <t>Necesita evidencia?</t>
  </si>
  <si>
    <t>Foto evidencia</t>
  </si>
  <si>
    <t>RESPONSABLE IMPLANTACION</t>
  </si>
  <si>
    <t>RESPONSABLE SEGUIMIENTO</t>
  </si>
  <si>
    <t>ESTADO (ABIERTO / PENDIENTE / CERRADO)</t>
  </si>
  <si>
    <t xml:space="preserve">Palma </t>
  </si>
  <si>
    <t>Planta calle</t>
  </si>
  <si>
    <t>Toda la luminaria exterior y Focos sobre cajero fundido</t>
  </si>
  <si>
    <t>PERSONAL OFICINA</t>
  </si>
  <si>
    <t>(CG 08/03) Pendiente material
(CG 27/05) Arreglado</t>
  </si>
  <si>
    <t>ok</t>
  </si>
  <si>
    <t>Cerrado</t>
  </si>
  <si>
    <t>Viriato</t>
  </si>
  <si>
    <t>Reparación humedad/ gotera techo primera planta (zona de atención)</t>
  </si>
  <si>
    <t>SR5437356</t>
  </si>
  <si>
    <t>(CG 27/05) Reparado por el seguro de la Comunidad</t>
  </si>
  <si>
    <t>Diagonal</t>
  </si>
  <si>
    <t>Cristales rotos dos ascensores</t>
  </si>
  <si>
    <t>SR5469592 - SR5599667</t>
  </si>
  <si>
    <t>(CG 08/03) Pendiente confirmación de realización de trabajos.
(CG 27/05) Hecho</t>
  </si>
  <si>
    <t>Acacias</t>
  </si>
  <si>
    <t>Cambio equipo de luces Acacias: Techo y luces del PAD</t>
  </si>
  <si>
    <t>SR5332293</t>
  </si>
  <si>
    <t xml:space="preserve">(CG 27/05) Trabajo realizado el 04/03
(CG 15/09) Pendiente de conseguir luminaria de PAD
(CG 28/09) PAD listo y escaleras pendientes de andamio 
(26/10) - Luz PAD ok y pendiente luz escalera 
(29/11) - Pendiente montar andamio para cambiar bombilla de fluorescencia
(21/12) - Realizado!! </t>
  </si>
  <si>
    <t>(MS 15/09) No se resolvió del todo. Quedan pendientes las luces de las escaleras y la de uno de los pads que lleva más de un año. SR5802658 abierto 6 de Mayo y cierran 18 de Mayo pero no está solucionado. En el caso de Pad me indicaron que depende de SSGG de ING</t>
  </si>
  <si>
    <t>Granada</t>
  </si>
  <si>
    <t>Aún no se ha reparado rótulos de fachada y luz interior naranja.</t>
  </si>
  <si>
    <t>687821</t>
  </si>
  <si>
    <t>(29/11) Rótulos arreglados. Pendiente de luz naranja, revisar fuente de alimentación 
(21/12) Sigue pendiente de revisar las fuentes de alimentación. Hoy debería estar apagado por lo que no afecta de momento
(16/01) LO dejamos pendiente!
21/02 pendiente
07/03 pendiente
5/4 pendienteen hold
5/12 hecho</t>
  </si>
  <si>
    <t>Salamanca</t>
  </si>
  <si>
    <t>La puerta del Rack está caida y la de los vestuarios de las chicas</t>
  </si>
  <si>
    <t>SR5586370</t>
  </si>
  <si>
    <t>(CG 08/03) Se deben sustituir visagra de 6 puertas de baños y 1 del cuarto del rack.
(CG 27/05) Reparado el 01/04.</t>
  </si>
  <si>
    <t>Las Palmas</t>
  </si>
  <si>
    <t>Soporte exterior publicidad roto</t>
  </si>
  <si>
    <t>SR5581091</t>
  </si>
  <si>
    <t>(CG 08/03) Pendiente material Hispaflex
(CG 27/05) Hecho</t>
  </si>
  <si>
    <t>Valladolid</t>
  </si>
  <si>
    <t>Colocación de luminarias de emergencia y tapar rotos en pladur y pintar por casí todas las paredes de la oficina</t>
  </si>
  <si>
    <t>SR5601084</t>
  </si>
  <si>
    <t>(CG 08/03) Corresponde al Renove
(29/11) Cerrado</t>
  </si>
  <si>
    <t>Sabadell</t>
  </si>
  <si>
    <t>Revisión flujos de la climatización de la oficina</t>
  </si>
  <si>
    <t>SR5601319</t>
  </si>
  <si>
    <t>(CG 08/03) Cerrado 02/02. Se manda parte a Jose</t>
  </si>
  <si>
    <t>ARREGLO MANDO APERTURA PUERTA SEGURIDAD</t>
  </si>
  <si>
    <t>SR5599676</t>
  </si>
  <si>
    <t>(CG 08/03) Aprobado pendiente material
(CG 27/05) Hecho</t>
  </si>
  <si>
    <t>Zaragoza</t>
  </si>
  <si>
    <t>Canaleta cubre tubos calefacción, se ha descolgado por el aire, reponerla y revisar todas</t>
  </si>
  <si>
    <t>SR5606925</t>
  </si>
  <si>
    <t xml:space="preserve">(CG 08/03) Pendiente buscar empresa verticales.
(CG 27/05) Pendiente fecha para realizar el trabajo.
(CG 15/09) Hecho! 
(29/11) Pendiente revisar
(21/12) Pendiente de que confirmen con portero qué falta </t>
  </si>
  <si>
    <t xml:space="preserve">Me dice que sí que cambiaron la canaleta que se cayó pero que le dijeron que arreglarían también la de arriba y a esa no han venido… entiendo que es en las fotos la que falta…                                                 21/12: Le escribí al portero ayer para que me lo enseñe y así salir de dudas pero no me ha contestado aún
</t>
  </si>
  <si>
    <t>Alicante</t>
  </si>
  <si>
    <t>Cambiar lona del suelo ATMS</t>
  </si>
  <si>
    <t>SR5608133</t>
  </si>
  <si>
    <t>(CG 27/05) Pte recibir presupuesto
(CG 15/09) Pte revisar nuevo material, moqueta y presu
(CG 28/09) Pedido de moqueta realizado, llegará en octubre
(26/10) Pendiente de recibir, problema de abastecimiento
(29/11) Pendiente de material
(21/12) Pendiente de revisar si tenemos material
(16/01) Pendiente
7/2: pendiente
21/02 lo está mirando Carlos Seijó
07/03 pendientes de recibir moqueta
21/03 se queda en manos de Carlos</t>
  </si>
  <si>
    <t>Exterior</t>
  </si>
  <si>
    <t>Arreglo baldosa zona exterior fachada-bordillo suelo</t>
  </si>
  <si>
    <t>SR5620289</t>
  </si>
  <si>
    <t>(CG 08/03) Pendiente aprobación ppto
(CG 27/05) Hecho</t>
  </si>
  <si>
    <t>Oviedo</t>
  </si>
  <si>
    <t xml:space="preserve">ASEOS </t>
  </si>
  <si>
    <t>FILTRACIONES URINARIO MASCULINO (BAÑO MINUSVÁLIDOS)</t>
  </si>
  <si>
    <t>SR5657930</t>
  </si>
  <si>
    <t>(CG 08/03) Ejecutado, falta lijar y pintar.
(CG 27/05) Terminado</t>
  </si>
  <si>
    <t>ROTURA GRIFO BAÑO MINUSVÁLIDOS</t>
  </si>
  <si>
    <t>SR5657957</t>
  </si>
  <si>
    <t xml:space="preserve">(CG 08/03) Ejecutado 02/03
</t>
  </si>
  <si>
    <t>ROTURA CERRADURA TAQUILLA</t>
  </si>
  <si>
    <t>SR5657966</t>
  </si>
  <si>
    <t>(CG 08/03) Ejecutado 02/03</t>
  </si>
  <si>
    <t>SUSTITUCIÓN BACKLIGHT EXTERIOR (ROTURA COMPLETA)</t>
  </si>
  <si>
    <t>SR5658062</t>
  </si>
  <si>
    <t>(CG 08/03) Mandado soporte desde ING MAD. Pendiente recepción y envío de mantenimiento.
(CG 27/05) Hecho el 09/03</t>
  </si>
  <si>
    <t>Por incidente necesitamos cambiar aleta lateral  derecha (vista de frente al realizar operación) del cajero bidual (retiradas/ingresos) interior de la oficina de Santa Engracia nº 1465 0200 12 Adjuntamos foto adjunta. gracias</t>
  </si>
  <si>
    <t>724567</t>
  </si>
  <si>
    <t>(29/11) Pendiente de Able
(21/12) No está rota del toda, se plantea postponer solución porque el deterioro es pequeño. Cerramos ticket.</t>
  </si>
  <si>
    <t>Coruña</t>
  </si>
  <si>
    <t>Disponer de sistema de medición de humedad</t>
  </si>
  <si>
    <t>764803</t>
  </si>
  <si>
    <t>(29/11) Cerrado, se pasa a tema general de la oficina</t>
  </si>
  <si>
    <t>En la oficina regularmente hay muy malos olores,</t>
  </si>
  <si>
    <t>767994</t>
  </si>
  <si>
    <t>(29/11) Pendiente
(21/12) Chequeado hace falta tener agua para evitar el mal olor</t>
  </si>
  <si>
    <t>En el muro corporativo interior se encuentra apagado, no hay luces blancas ni naranjas tampoco. 
En la parte exterior de la oficinas hay unas luces que creo tienen un programador, ahora mismo se encienden a las 18h, retrasar el horario</t>
  </si>
  <si>
    <t>772821</t>
  </si>
  <si>
    <t>(29/11) Revisar la fuente de alimentación 
(21/12) Horario cambiado</t>
  </si>
  <si>
    <t>Hay un foco que está suspendido en el techo y que ilumina una mesa de gestor. Sustituir bombilla</t>
  </si>
  <si>
    <t>777899</t>
  </si>
  <si>
    <t>(29/11) Cerrado</t>
  </si>
  <si>
    <t>Tenerife</t>
  </si>
  <si>
    <t>FILTRACION DE AGUA DESDE CRISTAL EXTERIOR DE SALA DE REUNIONES QUE ESTA AFECTANDO A PLADUR. CREEMOS QUE SE NECESITA REPASAR SELLADO DE CRISTAL</t>
  </si>
  <si>
    <t>779041</t>
  </si>
  <si>
    <t>(29/11) pendiente de pintura
(21/12) Pendiente de revisar!
(16/01) Hecho</t>
  </si>
  <si>
    <t>Murcia</t>
  </si>
  <si>
    <t>Incrementará el nivel de iluminación en la zona de despacho responsable hasta alcanzar los 500 lux</t>
  </si>
  <si>
    <t>784204</t>
  </si>
  <si>
    <t>(29/11) Pendiente Carlos
(21/12) Esperando a solventar problema de Zgz (cambiar todas las luminarias a LED de las oficinas, probando si funciona solución) Esperando pruebas en ING Zaragoza
(16/01) Pendiente prueba
(24/01) Nos tienen que mandar foto a ver cómo queda, pedírsela
21/02 envío del presupuesto 
07/03 hay presupuesto para Zaragoza, no para Murcia
21/03 pendiente
5/4 pendienteen hold
23/01 se han remplazado muchas de las luces</t>
  </si>
  <si>
    <t xml:space="preserve"> 27/01dan demasiada luz encima del cajero y  no permite ver muy muy bien la pantalla</t>
  </si>
  <si>
    <t>Cádiz</t>
  </si>
  <si>
    <t>AVISO DE LUMINARIA FUNDIDA</t>
  </si>
  <si>
    <t>624691</t>
  </si>
  <si>
    <t>(29/11) Cerrado
(21/12) Pendiente de revisar si está ok
(16/01) No han ido a revisarlo
(24/01) Confirmar con ella que solo son esas luces porque tienen que estar así, por la eficiencia energética, ya no funcionan. SÍ ERAN ESAS</t>
  </si>
  <si>
    <t>Juana María (30/11/2022): Seguimos teniendo luces fundidas en la oficina (las que se quedan en naranja cuando cerramos la oficina), CBRE quedó en hablar con Carlos para solucionarlo.</t>
  </si>
  <si>
    <t>La puerta queda abierta debido a que hay que reemplazar el brazo de cierre. Effiage  confirmo reemplazo del brazo de cierre ya que el actual no se puede reparar.</t>
  </si>
  <si>
    <r>
      <t>SR6011671</t>
    </r>
    <r>
      <rPr>
        <sz val="11"/>
        <color theme="1"/>
        <rFont val="ING Me"/>
      </rPr>
      <t xml:space="preserve"> </t>
    </r>
  </si>
  <si>
    <t>(26/10) Tienen que ir con un muelle nuevo
(29/11) Cambiado!</t>
  </si>
  <si>
    <t>Costa Rica</t>
  </si>
  <si>
    <t>Aseos</t>
  </si>
  <si>
    <t>EL WC DE EMPLEADOS DE LA OFICIAN DE COSTA RICA NO DEJAR DE ECHAR AGUA, YA HAN INTENTADO EN VARIAS OCASIONES ARREGLARLO Y NADA, SE VUELVE A ROMPER. EN ESTE CASO HABRÍA QUE CAMBIAR EL SANITARIO COMPLETO. GRACIAS</t>
  </si>
  <si>
    <t>833465</t>
  </si>
  <si>
    <t>El aire acondicionado de la parte de detrás de la oficina no funciona correctamente, se desconecta. Tampoco existe la posibilidad de ver la temperatura que tenemos en la oficina, el termostato indica a la temperatura que sale el aire, por favor revisar.</t>
  </si>
  <si>
    <t>835570</t>
  </si>
  <si>
    <t xml:space="preserve">(29/11) Cerrado Motor se entrega el 22/12/22. </t>
  </si>
  <si>
    <t>La puerta de acceso a la oficina hace ruido al abrir y cerrar, parece que se ha desajustado. Necestiamos revision</t>
  </si>
  <si>
    <t>849590</t>
  </si>
  <si>
    <t>(29/11) Solventado, pendiente de parte</t>
  </si>
  <si>
    <t>Valencia</t>
  </si>
  <si>
    <t>PETICIÓN REVISIÓN TOMA LUZ SAI</t>
  </si>
  <si>
    <t xml:space="preserve">SR6092326 </t>
  </si>
  <si>
    <t>(29/11) Tema de seguridad física, ¿solventado?</t>
  </si>
  <si>
    <t>O'donell</t>
  </si>
  <si>
    <t>Botón cisterna roto</t>
  </si>
  <si>
    <t xml:space="preserve">SR6096922 </t>
  </si>
  <si>
    <t>Gijón</t>
  </si>
  <si>
    <t>Sala reuniones</t>
  </si>
  <si>
    <t>Buenos días, necesitamos que nos coloquen unos vinilos de control solar en la salar de reuniones de la planta 1, ya que aunque tengamos los estores bajados, nos deslumbra el sol en el monitor. Gracias</t>
  </si>
  <si>
    <t>868336</t>
  </si>
  <si>
    <t>(29/11) Pendiente de presupuesto y de vinilo privacidad
(21/12) Postpuesto para recibir nuevo presupuesto de una obra más sencilla - Postpuesto a Abril porque ahora no molesta
21/02 pendiente Carlos Seijó
07/03 pendiente
5/4 pendienteen hold
3/10 hecho</t>
  </si>
  <si>
    <t>Las luces del ascensor están fundidas</t>
  </si>
  <si>
    <t>874166</t>
  </si>
  <si>
    <t>Málaga</t>
  </si>
  <si>
    <t>tenemos 30 bombillas fundidas en el habitáculo del cajero externo. necesitamos recambios.</t>
  </si>
  <si>
    <t>873074</t>
  </si>
  <si>
    <t>(29/11) ¿puede haber algún automático mal?
(21/12) Cerrado</t>
  </si>
  <si>
    <t>Meridiana</t>
  </si>
  <si>
    <t>SUSTITUIR PEGATINA DE PRIVACIDAD DE CRISTAL EN EL QUE ESTÁ INSTALADO EL CAJERO EXTERIOR, YA QUE ESTÁ ROTA Y UN POCO DESPEGADA POR LA PARTE INFERIOR PROXIMA AL CONTORNO DEL CAJERO</t>
  </si>
  <si>
    <t>877004</t>
  </si>
  <si>
    <t xml:space="preserve">(29/11) Pendientes de montar 30/11
(21/12) Hecho! </t>
  </si>
  <si>
    <t>Móstoles</t>
  </si>
  <si>
    <t>el cajero 12 tiene una chapa que roza al cerrar el cajero. Necesitamos rebajar un poco la chapa cortándola.</t>
  </si>
  <si>
    <t>877210</t>
  </si>
  <si>
    <t>TENEMOS LOS SOPORTES PARA CARTELERIA MARKETING QUE DAN AL EXTERIOR E INTERIOR DETERIORADOS. HAY QUE TRAER UN RESPUESTO Y CAMBIARLO.</t>
  </si>
  <si>
    <t>877201</t>
  </si>
  <si>
    <t>(29/11) Pedidos, pendiente de instalación
(21/12) Pendientes de recibir Esperando entraga pedido hispaflex
(16/01) Recibidos en ING MAD, pendiente de montaje
(24/01) Pendientes de que llegue a Móstoles y montar
(7/2) hecho!</t>
  </si>
  <si>
    <t>NECESITAMOS NOS CAMBIEN EL MOSTRADOR NARANJA QUE TIENEN LOS 4 CAJEROS INTERNOS</t>
  </si>
  <si>
    <t>879361</t>
  </si>
  <si>
    <t>(29/11) Pedidos, pendiente de instalación
(21/12) Able los tiene listos, pendientes de montar
(16/01) Montados</t>
  </si>
  <si>
    <t>Buenos días, dos de los backlights externos, no lucen, al parecer hay un cable que no hace conexión.  Tenemos foto si necesitan que la enviemos. Gracias.</t>
  </si>
  <si>
    <t>885388</t>
  </si>
  <si>
    <r>
      <t>(29/11) Enviar a técnico a revisarlo porque los cables están sueltos
(21/12)</t>
    </r>
    <r>
      <rPr>
        <sz val="12"/>
        <color rgb="FFFF0000"/>
        <rFont val="ING Me"/>
      </rPr>
      <t xml:space="preserve"> CBRE: 22/12 irán a revisarlo</t>
    </r>
    <r>
      <rPr>
        <sz val="12"/>
        <color theme="1"/>
        <rFont val="ING Me"/>
      </rPr>
      <t xml:space="preserve">
(16/01) Pendiente resultado revisión                                                             (24/01)Hecho</t>
    </r>
  </si>
  <si>
    <t>Vigo</t>
  </si>
  <si>
    <t>Notificado por Anticimex:
Deficiencia: Huecos en pared de baño que accede a cables y tuberías.
Medida correctora: Sellar y tapar</t>
  </si>
  <si>
    <t>894121</t>
  </si>
  <si>
    <t>(29/11) Pendiente de revisar
(21/12) Revisar cómo solventarlo
(16/01) Pendiente de revisar, no está clara solución                                           (24/01) Hecho</t>
  </si>
  <si>
    <t>el freno de la puerta de entrada no funciona correctamente y la puerta cierra sin freno provocando mucho ruido y corre el riesgo de romperse el cristal de la puerta. LAs visagras estan derramando una especie de aceite. Necesitamos que se revise urgente</t>
  </si>
  <si>
    <t>895883</t>
  </si>
  <si>
    <t>(29/11) Se puso muelle y funciona</t>
  </si>
  <si>
    <t>CENTRAL INCENDIOS AVERIA DESDE HACE UNA SEMANA. NO VIENE TECNICO. ESTA CONECTADA A ALGUN CENTRO DE CONTROL?. POR QUÉ NO SE GESTIONAN AVISOS?</t>
  </si>
  <si>
    <t>896961</t>
  </si>
  <si>
    <t>(29/11) Pendiente de revisar si ok</t>
  </si>
  <si>
    <t>Buenos dias, tenemos una pequeña gotera o fuga de agua encima de la turnomatic maquina</t>
  </si>
  <si>
    <t>899022</t>
  </si>
  <si>
    <t>SEGURIDAD</t>
  </si>
  <si>
    <t>Sotano</t>
  </si>
  <si>
    <t xml:space="preserve">Abierto </t>
  </si>
  <si>
    <t>Si</t>
  </si>
  <si>
    <t>Deficiencia notificada por Anticimex: Huecos en salita dentro baños hombres - Medida correctora: Sellar</t>
  </si>
  <si>
    <r>
      <t>29/11: pendiente
(21/12)</t>
    </r>
    <r>
      <rPr>
        <sz val="12"/>
        <color rgb="FFFF0000"/>
        <rFont val="ING Me"/>
      </rPr>
      <t xml:space="preserve"> CBRE: 22/12 irán a revisarlo</t>
    </r>
    <r>
      <rPr>
        <sz val="12"/>
        <color theme="1"/>
        <rFont val="ING Me"/>
      </rPr>
      <t xml:space="preserve">
(16/01) CBRE va a revisarlo                                                                          (24/01) Hecho</t>
    </r>
  </si>
  <si>
    <t>Deficiencia - Notificada por Anticimex: Falta burlete 
Medida correctora: Instalación burlete</t>
  </si>
  <si>
    <r>
      <t xml:space="preserve">29/11: pendiente
(21/12) </t>
    </r>
    <r>
      <rPr>
        <sz val="12"/>
        <color rgb="FFFF0000"/>
        <rFont val="ING Me"/>
      </rPr>
      <t>CBRE: 22/12 irán a revisarlo
(16/01) Hecho!</t>
    </r>
  </si>
  <si>
    <t>Tenemos dos pintadas, una en la fachada principal y otra en la puerta trasera de la oficina. Solicitamos servicio de limpieza. Muchas gracias. Adjuntamos fotos.</t>
  </si>
  <si>
    <t>29/11: pendiente
(21/12) Realizado</t>
  </si>
  <si>
    <t>21/12: las pintadas de Zaragoza no están solucionadas, están todavía. De hecho  creo que nos han añadido otra pintadita más en una de las puertas</t>
  </si>
  <si>
    <t>Cada mañana tenemos problemas con la centralita de incendios, no salta la alarma sonora pero si el aviso en la centraliza y no sucede nada. Necesitamos revisión</t>
  </si>
  <si>
    <t>Bilbao</t>
  </si>
  <si>
    <t>Tenemos una plaga de moscardones en la oficina. Avisad con urgencia. Hemos matado a todos, pero siguen saliendo.</t>
  </si>
  <si>
    <t xml:space="preserve">29/11: pendiente
(21/12) Hecho! </t>
  </si>
  <si>
    <t>REVISAR Y CAMBIAR LUCES FUNDIDAS EN ZONA DE CLIENTES, PLANTA DE ARRIBA Y SALA DE REUNIONES.</t>
  </si>
  <si>
    <t>Tienen una TV en planta alta que no tiene red. Ha estado un técnico y ha revisado que el cableado interno de la oficina no está correcto. Necesitamos que sea revisado para que la TV vuelva a estar operativa.</t>
  </si>
  <si>
    <t>29/11: pendiente
(21/12) Cerrado porque el cableado está bien</t>
  </si>
  <si>
    <t>FACILITIES</t>
  </si>
  <si>
    <t>No</t>
  </si>
  <si>
    <t>Sevilla</t>
  </si>
  <si>
    <t>SUSTITUIR 2 BACKLIGHTS QUE ESTÁN ROTOS Y EL METRACRILATO HA CEDIDO.</t>
  </si>
  <si>
    <t>29/11: pendiente
(21/12) A la esperara de backlights
(16/01) Pendiente de revisarlo
21/02 pendiente
07/03 pendiente
21/03 tienen que revisar cómo hacerlo funcionar
5/4 tienen que picar en el techo para las luces
18/04 hecho</t>
  </si>
  <si>
    <t>16/01: falta 1 que no luce</t>
  </si>
  <si>
    <t>MANTENIMIENTO</t>
  </si>
  <si>
    <t>Planta alta</t>
  </si>
  <si>
    <t>GOTERA EN EL BAÑO DE CHICAS. REVISAR EL ORIGEN DE LA FUGA Y ARREGLAR SI ES POSIBLE.</t>
  </si>
  <si>
    <t>914148</t>
  </si>
  <si>
    <t>29/11: pendiente
(21/12) Solucionada pero ha vuelto a surgir</t>
  </si>
  <si>
    <t>Debido al cambio de hora, necesitamos que se ajuste hilo musical y hora de los rótulos exteriores. POR FAVOR, PARA EL MANTENIMIENTO NO CONTACTAR CON EIFFAGE, SINO CON LA NUEVA EMPRESA CLIMAELECPROYECTOS.</t>
  </si>
  <si>
    <t>NECESITAMOS REPARAR LAS GRIETAS DE LA FACHADA Y NECESITAMOS LIMPIAR CON AGUA A PRESION CON KARCHER LA FACHADA DE SUCIEDAD Y ORINES.</t>
  </si>
  <si>
    <t>914480</t>
  </si>
  <si>
    <t>29/11: pendiente
(21/12) Pendiente de sellarlo y limpiar fachada
(16/01) Pendiente de realizar
(07/01) Pendiente
21/02 se envió presupuesto la semana pasada
07/03 lo aprobó Carlos, pendiente de confirmar las fechas
21/03 pendientes de la fecha
5/4 pendiente
18/04 la semana que viene empieza la obra
4/5 están subeindo la documentacióna  la plataforma, van a empezar
17/5 sigue pendiente
30/5 sigue pendiente
13/6 pendiente
28/06 pendientes de fecha
19/7 van el viernes
1/8 reprogramado para el 4 de agosto para las 2 cosas
8/8 no fueron, van mañana 9/8
22/8 pendiente de confirmación
5/9 hecho</t>
  </si>
  <si>
    <t>Encima de los cajeros interiores de la oficina de Granada las dos luces no funcionan, uno tiene bombilla y otra no.</t>
  </si>
  <si>
    <t>915125</t>
  </si>
  <si>
    <t>4 blacklights exteriores están muy deteriorados y nos cuesta poner en ellos la publicidad que habitualmente nos manda el banco, incluso en uno de ellos no podemos ponerla pq está partido totalmente.</t>
  </si>
  <si>
    <t>915130</t>
  </si>
  <si>
    <t>29/11: pendiente
(21/12) Pendiente de recibir los carteles de Hispaflex
(16/01) Solventado                                                                                               (24/01) ver si quieren que les enviemos nuevos. SÍ. 4
7/02: ¿Los metracrilatos o led?</t>
  </si>
  <si>
    <t xml:space="preserve">Ticket abierto 14/10 - 880491-	
16/01:Hace un par de días vinieron a cambiar blacklights deteriorados pero utilizando un par de ellos que teníamos en oficina, en ningún momento nos han mandado blacklights nuevos.
</t>
  </si>
  <si>
    <t>Está arreglando el ayuntamiento de Granada toda la acera de alrededor de la oficina. Y al levantar al acera donde está el escalón de la puerta principal de entrada han partido piedra de la entrada. Se necesita reparación lo antes posible</t>
  </si>
  <si>
    <t>915133</t>
  </si>
  <si>
    <t>29/11: pendiente
(21/12) Pendiente de documentación del técnico. Pendiente de hablar con el ayuntamiento.
(16/01) Pendiente permisos técnico                                                                  (07/02) Lo hacen el mismo día que el 915121
21/02 pendiente
07/03 pendiente
21/03 hecho</t>
  </si>
  <si>
    <t>Cambiaron un armario que se había roto y hay que pintar pared que está en un color distinto al de la oficina</t>
  </si>
  <si>
    <t>915150</t>
  </si>
  <si>
    <t>29/11: pendiente
(21/12) Pendiente de permisos para pintar, armario ya cambiado
(16/01) no está pintado del color correspondiente
7/2: Pendiente de pintar
21/02 pendiente
07/03 hecho
21/03 pendiente
5/4 espera de reprogramación
18/04 espera de reprogramación
4/5 seguimos a la espera
17/5 hecho</t>
  </si>
  <si>
    <t>16/01-	En relación al armario, cambiaron hace tiempo el roto y pintaron la pared, pero el color que se utilizó no es el de toda la oficina, luego sigue sin estar pintado con su color.
07/03 dice que la pared no se ha pintado, por lo que no está solucionado</t>
  </si>
  <si>
    <t>Se estropearon 2 sillas hace tiempo, trajeron las nuevas pero no se llevaron las antiguas que están estropeadas. Por favor, solicitamos retirada</t>
  </si>
  <si>
    <t>915152</t>
  </si>
  <si>
    <t>29/11: pendiente
(21/12) Pendiente de permisos para llevárselas 
(16/01) Pendiente de permisos técnico                                                              (24/01) Hecho</t>
  </si>
  <si>
    <t>El conducto del A/A de la sala principial de la oficina de Granada donde atendemos a los clientes está partida.</t>
  </si>
  <si>
    <t>29/11: pendiente
(21/12) Hecho, queda rematar techo
(16/01) Pendiente, por problemas de permisos                                            (07/02) Lo hacen el mismo día que el 915133 
21/02 pendiente
07/03 hecho</t>
  </si>
  <si>
    <t>LA CISTERNA DEL BAÑO DE MINUSVÁLIDOS NO FUNCIONA CORRECTAMENTE. POR FAVOR, PARA EL MANTENIMIENTO NO CONTACTAR CON EIFFAGE, SINO CON LA NUEVA EMPRESA CLIMAELECPROYECTOS.</t>
  </si>
  <si>
    <t>914509</t>
  </si>
  <si>
    <t xml:space="preserve">29/11: pendiente
(21/12) Cerrado </t>
  </si>
  <si>
    <t>Córdoba</t>
  </si>
  <si>
    <t>CARTELES DE PUBLICIDAD (BACKLIGHTS) DESTENSADOS O SUJECIONES SUELTAS.</t>
  </si>
  <si>
    <t>CARTEL DEL PULSADO DE ALARMA DESPEGADO. REVISAR CARTELERÍA Y VOLVER A FIJAR LOS QUE SE ENCUENTREN SUELTOS.</t>
  </si>
  <si>
    <t>916110</t>
  </si>
  <si>
    <t xml:space="preserve">29/11: pendiente
(21/12) Realizado
</t>
  </si>
  <si>
    <t>REVISAR PUERTA DEL VESTUARIO. CONCRETAR SI ES POSIBLE REPARACIÓN O ES NECESARIO CAMBIAR LA PUERTA.</t>
  </si>
  <si>
    <t>916114</t>
  </si>
  <si>
    <t>29/11: pendiente
(21/12) Parece que hay que cambiar puerta
(16/01) Hay que cambiar puerta, pendiente proveedor                                (24/01) Van a mandarle el presupuesto a Carlos
(07/02) Falta aprobación por parte de Carlos
21/02 se está fabricando la puerta
07/03 a falta de confirmación de que esté hecha
21/03 sigue pendiente 
5/4 hecho</t>
  </si>
  <si>
    <t>COMPROBAR SI PERSISTE EL OLOR PROVINENTE DE LAS ARQUETAS. EN CASO AFIRMATIVO CONSTATAR EL ORIGEN PARA SUBSANACIÓN.</t>
  </si>
  <si>
    <t>916119</t>
  </si>
  <si>
    <t xml:space="preserve">29/11: pendiente
(21/12) Pendiente de enviar al pocero. Parece que todo estaba ok y no había malos olores - Pendiente de volver a revisar         
(16/01) Lo cerramos porque no se puede solventar fácilmnente                          </t>
  </si>
  <si>
    <t xml:space="preserve">21/12: Ya no huele, es aleatorio, la arqueta del baño si llueve, huele … si no llueve, huele menos. Pero de ese tema poco podemos solucionar, se lo dije a CBRE. </t>
  </si>
  <si>
    <t>REVISAR VISAGRAS DE LA PUERTA PRINCIPAL. APARENTE EXCESO DE GRASA.</t>
  </si>
  <si>
    <t>916121</t>
  </si>
  <si>
    <t>29/11: pendiente
(21/12) Realizazo</t>
  </si>
  <si>
    <t>Buenos días, necesitamos que nos ajusten los rótulos y el hilo musical, por el cambio horario y que cambien una luz que está fundida de la planta 1. Gracias</t>
  </si>
  <si>
    <t>916127</t>
  </si>
  <si>
    <t>COLOCAR EMBELLECEDOR EN LA INSTALACIÓN DEL ESTOR Y SUBIR EL CABLE AL TECHO.</t>
  </si>
  <si>
    <t>916129</t>
  </si>
  <si>
    <t>29/11: pendiente
(21/12) Realizado, queda recibir embellecedor
(16/01) Hecho!</t>
  </si>
  <si>
    <t>RECOLOCAR EL CRISTAL NARANJA DE LA PARED CERCANA AL ESCAPARTE.</t>
  </si>
  <si>
    <t>916203</t>
  </si>
  <si>
    <t>29/11: pendiente
(21/12) Pendiente de cristalero
(16/01) Ya ha ido cristalero, pendiente arreglo
(7/02) Hecho</t>
  </si>
  <si>
    <t>REVISAR Y SUSTITUIR LOS APLIQUES FUNDIDOS.</t>
  </si>
  <si>
    <t>916206</t>
  </si>
  <si>
    <r>
      <t>29/11: pendiente
(21/12) Pendiente presupuesto
(1</t>
    </r>
    <r>
      <rPr>
        <sz val="12"/>
        <rFont val="ING Me"/>
      </rPr>
      <t>6/01) Hecho!</t>
    </r>
  </si>
  <si>
    <t>16/01: Todavía estoy a la espera de que vengan a reparar dos lámparas. Me dijeron que no tenían stock y tenían que buscar, en cuanto los tuvieran venían a cambiarlos.</t>
  </si>
  <si>
    <t>SUSTITUIR CRISTAL Y DEJAR OPERATIVO PULSADOR DE ALARMA DE INCENDIOS.</t>
  </si>
  <si>
    <t>916210</t>
  </si>
  <si>
    <t>SUSTITUCIÓN DE LUMINARIA MODELO ERCO QUE ESTÁ FUNDIDA.</t>
  </si>
  <si>
    <t>916212</t>
  </si>
  <si>
    <t>29/11: pendiente
(21/12) Pendiente 
(16/01) Presupuesto aprobado, pendiente material y montaje                  (24/01) Es muy caro el procedimiento porque habría que usar andamio</t>
  </si>
  <si>
    <t>SUSTITUCIÓN PLACA DE TECHO ENCIMA DEL SPLIT QUE ESTÁ DOBLADA.</t>
  </si>
  <si>
    <t>916213</t>
  </si>
  <si>
    <t>29/11: pendiente
(21/12) Pendiente 
(16/01) Pedido, pendiente de montaje                                                            (24/01) Falta que llegue caja de falso techo
(07/01) falta de confirmación recepción
21/02 pendiente confirmación de la recepción
07/03 pendiente
21/03 hecho</t>
  </si>
  <si>
    <t>AÑADIR FILTRINA PARA CUARTO TÉCNICO</t>
  </si>
  <si>
    <t>916217</t>
  </si>
  <si>
    <t xml:space="preserve">29/11: pendiente
(21/12) Pendiente 
(16/01) Hecho! </t>
  </si>
  <si>
    <t>La central de incendios ha estado marcando reiteradas veces avería con el mensaje "aspiración falso techo" (o algo parecido) dando señal luminosa y acústica. Se ha reseteado un par de veces pero ha vuelto a salir la señal. Necesitamos que se revise.</t>
  </si>
  <si>
    <t>917939</t>
  </si>
  <si>
    <t xml:space="preserve">29/11: pendiente
(16/01) Es de seguridad! </t>
  </si>
  <si>
    <t>TENEMOS EL DISPOSITIVO PARA ABRIR LA PUERTA CON LOS CABLES POR FUERA Y FALLA  MUCHAS VECES</t>
  </si>
  <si>
    <t>915204</t>
  </si>
  <si>
    <t xml:space="preserve">29/11: pendiente
(21/12) Arreglado! </t>
  </si>
  <si>
    <t>el vecino del garaje nos indica que le esta cayendo agua desde el techo y que es por nuestra maquina de climatización. Ya hemos tenido otras incidencias al respecto. el vecino es Juan ROmero telefono 649150788 por favor poneros en contacto con el.</t>
  </si>
  <si>
    <t>919277</t>
  </si>
  <si>
    <t xml:space="preserve">29/11: pendiente
(16/01) Hecho! </t>
  </si>
  <si>
    <t>En la última revisión nos habían comentado que nos tenían que cambiar la máquina de condensación para eliminar olor a humedad en sala de reuniones. Nos han confirmado que el ppto estaba aprobado y nos urge.</t>
  </si>
  <si>
    <t>La puerta de acceso a la oficina  se atasca al cerrarse y luego no se puede abrir. Ya vino un técnico a mirarla pero para solucionarlo habría que cambiar el muelle de la puerta.</t>
  </si>
  <si>
    <t>917789</t>
  </si>
  <si>
    <t xml:space="preserve">29/11: pendiente
(21/12) Pendiente de recibir cerrojo electrónico, presupuesto ok
(16/01) Hecho! </t>
  </si>
  <si>
    <t>Instalacion de regleta de enchufes adicional en el rack 10B 
En ese rack hay equipos criticos por loque tener cuidado con la instalacion.
Al termino avisar a Mª Jose Santiago o Gerardo Paz</t>
  </si>
  <si>
    <t>919065</t>
  </si>
  <si>
    <t>mañana vienen pero me da que esto es algo de IT porque ese rack está en el CPD y ahí no tenemos acceso nosotros</t>
  </si>
  <si>
    <t>Buenos días, necesitamos que hagáis tres copias de llave tubular para la oficina de Acacias</t>
  </si>
  <si>
    <t>919248</t>
  </si>
  <si>
    <t>29/11: pendiente
(16/01) Seguridad</t>
  </si>
  <si>
    <t>se ha roto el sistema de frenado de la puerta de acceso a la oficina. esta mañana lo han revisado pero se ha vuelto a romper. necesitamos que vengas a revisarlo.</t>
  </si>
  <si>
    <t>920008</t>
  </si>
  <si>
    <t>REVISIÓN DE ILUIMACIÓN Y SUSTITUCIÓN DE LUMINARIAS INOPERATIVAS.</t>
  </si>
  <si>
    <t>920050</t>
  </si>
  <si>
    <t>29/11: pendiente
(16/01) Hecho! 
21/02 a lo mejor es otro ticket, verlo</t>
  </si>
  <si>
    <t>Nueva fuga de agua en oficina. Requiere atención urgente.</t>
  </si>
  <si>
    <t>920058</t>
  </si>
  <si>
    <t>29/11: pendiente
(16/01) Hecho! Pendiente de cambiar tuberías para que no vuelva a ocurrir</t>
  </si>
  <si>
    <t>Necesito vigilante de seguridad este viernes 25/11 desde las 14.00h hasta las 00.00h. Trabajos de retirada de andamio, albañilería, carpintería y cerrajería.</t>
  </si>
  <si>
    <t>919330</t>
  </si>
  <si>
    <t>29/11: pendiente</t>
  </si>
  <si>
    <t>AYER HUBO FUGA DEL SANITRIL DE LA PILA DE LA COCINA. EN LA SALA DE ELECTRICIDAD HAY SALTADA UNA LLAVE, QUE NO SE PUEDE ARMAR DE NUEVO. NO SABEMOS SI PUEDE HABER RELACIÓN DE AMBAS COSAS. GRACIAS</t>
  </si>
  <si>
    <t>920711</t>
  </si>
  <si>
    <t>29/11: pendiente
(16/01) hecho!</t>
  </si>
  <si>
    <t>Servicio de vigilante lunes 28/11 de 19:30 (horario cierre diagonal) hasta martes 29/11 08:00 (horario de apertura diagonal)
Cambio Central Galaxy</t>
  </si>
  <si>
    <t>920768</t>
  </si>
  <si>
    <t>Buenos días, Tras venir Eiffage hemos comprobado que teníamos tres luminarias fundidas. El técnico ya ha registrado cuales son.  Abrimos ticket para dejar constancia y solicitar su servicio para reponerlas. Gracias</t>
  </si>
  <si>
    <t>21/12:Reclamar a Marc Soto
(16/01) Pendiente de firma de presupuesto                                                      (24/01) ver si está
21/02 hay que enviarle el presupuesto a Carlos
07/03 pendiente
21/03 pendiente de las luces
5/4 hecho parte
18/04 pendientes de aprobar el presupuesto
4/5 mitad del presupuesto pendiente de aprobar
17/5 sigue igual
30/5 sigue igual
13/6 sigue igual
28/06 sigue igual
19/7 en hold</t>
  </si>
  <si>
    <t>10/1 pendiente de cambiar los backlights</t>
  </si>
  <si>
    <t>EL AIRE ACONDICIONADO / CALEFACCION NO FUNCIONA, SE APAGA Y PRESENTA ERROR EN VARIAS UNIDADES . NECESITAMOS PODER ARREGLARLO. GRACIAS</t>
  </si>
  <si>
    <t xml:space="preserve">21/12:Placa electronica pedida.Entrega estimada en 3 días. Esperando para instalación
(16/01) Hecho! </t>
  </si>
  <si>
    <t>La comunidad de propietarios en que se ubica el local de la oficina se ha quejado del ruido de las máquinas de climatización que hay en la azotea. Se solicita revisar y tomar medidas para evitar ruido.</t>
  </si>
  <si>
    <t>Testo cierre  incidencia ”Le faltaban 3 tornillos de la chapa .El ruido era cuando arrancaba la máquina .Se pulse tornillos y se cortaba la ruido” FINALIZADA</t>
  </si>
  <si>
    <t>URGENTE: La puerta de entrada de los clientes está descolgada, y no cierra y abre bien. URGE ARREGLO</t>
  </si>
  <si>
    <t>21/12 Pendiente                                                                                                   (24/01) Hecho</t>
  </si>
  <si>
    <t>Urge arreglo interruptor pq es el que enciende y apaga luces de toda la oficina</t>
  </si>
  <si>
    <t>Ayer estuvo el técnico para solucionar el tema de la calefaccin de la planta -1, que se apagaba al poco rato de encenderla y hoy al intentar encenderla no funciona.</t>
  </si>
  <si>
    <t>21/12 Pendiente
(16/01) hecho</t>
  </si>
  <si>
    <t>Se perdieron llaves de la oficina, tanto de la puerta delantera como trasera. Después de muchísimos mails cambiaron bombines puerta delantera, PERO LLEVAMOS MEDIO AÑO PIDIENDO POR SEGURIDAD QUE SE CAMBIE BOMBÍN DE LA PUERTA TRASERA. NO HA LLEGADO TODAVIA</t>
  </si>
  <si>
    <t>21/12 Pendiente reclamada                                                                               (24/01) Pendiente
(07/02) Pendiente
21/02 presupuesto enviado (no puede ser con cualquier proveedor)
07/03 pendiente
21/03 lo van a hacer desde seguridad</t>
  </si>
  <si>
    <t>(16/01) Yasmina mirará si el seguro de la seguridad lo arreglará</t>
  </si>
  <si>
    <t>16/01Pues no lo han solucionado pero porque tenemos que esperar un día que llueva mucho para dar el aviso sino no ven nada 😊</t>
  </si>
  <si>
    <t>BUENOS DIAS,  NECESITAMOS QUE CAMBIEIS LA BOMBILLA DEL FOCO QUE HAY EN UNO DE LOS PUESTOS PAD( ALTOS) DE LA PLANTA BAJA. LA VERÉIS APAGADA PORQUE UN TÉCNICO DE CBRE QUE HA VENIDO LA HA APAGADO YA QUE PARPADEABA. REVISAR TAMBIÉN EL RESTO DE LUMINARIAS.</t>
  </si>
  <si>
    <t>938602</t>
  </si>
  <si>
    <t>24/01: pendiente
(07/02) Hecho</t>
  </si>
  <si>
    <t>Buenas, tenemos un problema con el aire acondicionado de la oficina de Oviedo. La parte de atrás de la oficina no funciona (el termostato no enciende). La zona de delante aunque pongamos frio, el aire sale con calor. Gracias.</t>
  </si>
  <si>
    <t>21/12 Motor se entrega el 22/12/22.                                                                                      24/01 Dulplicado, ya estaba cerrado</t>
  </si>
  <si>
    <t>SOLICITUD CAMBIO DE LUMINARIA FUNDIDA</t>
  </si>
  <si>
    <t>PERDIDA DE AGUA EN LAVABO DE BAÑO Y REEMPLAZO DE TAPA DE INODORO QUE ESTA ROTA</t>
  </si>
  <si>
    <t>REEMPLAZO DE MOTOR DE EXTRACTOR DE AIRE YA QUE TIENE RODAMIENTO O EJE DESCOMPENSADO</t>
  </si>
  <si>
    <t xml:space="preserve">21/12 Pendiente                                                                                                   (24/01) Pendiente
(7/02) Hecho! </t>
  </si>
  <si>
    <t>Recolocar brazo de cierre de puertas de archivo y vestuario</t>
  </si>
  <si>
    <t>Se está saliendo agua en el baño de caballeros. El suelo está mojado, y parece que es del lavabo.</t>
  </si>
  <si>
    <t>940215</t>
  </si>
  <si>
    <t>24/01: hecho</t>
  </si>
  <si>
    <t>Buenos días, tenemos boton atascado del vater de la planta de arriba, ademas en el baño esta roto el dispensador de gel y pierde el desagüe del lavabo. Un saludo</t>
  </si>
  <si>
    <t>916118</t>
  </si>
  <si>
    <r>
      <t xml:space="preserve">29/11: pendiente
(21/12) Solucionado WC, </t>
    </r>
    <r>
      <rPr>
        <sz val="12"/>
        <rFont val="ING Me"/>
      </rPr>
      <t>pendiente de dispensador de gel
(16/01) Pendiente de recibir nuevo modelo para resto oficinas.                  (24/01) Hecho</t>
    </r>
  </si>
  <si>
    <t xml:space="preserve">Vigo </t>
  </si>
  <si>
    <t>Tenemos roto el sistema de pulsador del WC del baño de empleados, no se puede reparar debe sustituirse, un saludo</t>
  </si>
  <si>
    <t>943273</t>
  </si>
  <si>
    <t>la cadena del wc izquierdo del vestuario de mujeres de la planta -2 no funciona</t>
  </si>
  <si>
    <t>947728</t>
  </si>
  <si>
    <t>Aviso Anticimex 13/10/2022
Deficiencia: En planta -2 se observa columna donde hay un bajante que hay agujeros favoreciendo entrada de cucarachas 
Medida correctora: Sellar zonas</t>
  </si>
  <si>
    <t>946230</t>
  </si>
  <si>
    <t>24/01: pendiente documentación
(7/02) Hecho!</t>
  </si>
  <si>
    <t>el sensor de encendido y apagado del baño de chicos falla. Se queda encendido permanentemente. El sensor que falla es donde está el WC, el del baño general funciona bien.</t>
  </si>
  <si>
    <t>952667</t>
  </si>
  <si>
    <t>necesitamos se haga un mantenimiento del felpudo de entrada, que lo limpien y lo vuelvan a pegar, es bastante urgente ya que puede ocasionar caídas de clientes.</t>
  </si>
  <si>
    <t>952515</t>
  </si>
  <si>
    <t>Hola, nos aparece Defrost en el aire acondicionado y parpadea. Además continuamos con mal olor en la sala y tenemos diferencias considerables entre la temperatura de la planta 0 y 1. Necesitamos que se revise por favor todo el sistema del aire. Gracias</t>
  </si>
  <si>
    <t>07/02: pendiente van el jueves
21/02 Hecho
07/03 Ver con Cristina
21/03 se está viendo con Carlos
5/4 viendo con Carlos visita
18/04 viendo con Carlos visita
4/5 pendiente de que nos diga Alberto
17/5 pendiente
30/5 van mañana 
13/6 están hoy viéndolo
28/06 pendiente
19/7 pendiente
1/8 pendiente
8/8 se lo queda Carlos</t>
  </si>
  <si>
    <t>22/02van a pasar presupuesto porque el tema del calor solo se puede solucionar colocando unas puertas entre las plantas
07/03 El desfrost está solucionado, lo del olor parece que, por ahora, no tiene remedio y lo de las temperaturas se está valorando buscar alguna alternativa, eso es lo que está pendiente de analizar presupuesto</t>
  </si>
  <si>
    <t>Hemos reportado en varias ocasiones que tenemos dos luces fundidas en la planta 1. Además, se ha caído un embellecedor de uno de los plafones de luz de la planta 1 y hay que colocar una arandela de una de las puertas de la primera planta. Gracias</t>
  </si>
  <si>
    <t>07/02: pendiente
21/02 Hecho</t>
  </si>
  <si>
    <t>PTE. SUSTITUIR 2 TUBOS TL5 54W en espejo baños chicos.
PTE. SUSTITUIR 5 balizas en escalones de escalera.
PTE. SUSTITUIR 2 HALOGENUROS 150W pilares
PTE. SUSTITUIR EMERGENCIA Daisalux Argos M LD N2 en aseo chicas.</t>
  </si>
  <si>
    <t>07/02: pendiente de aprobación
21/02 pendiente de aprobación
07/03 aprobado pendiente de recibir material, esta semana quedaría hecho</t>
  </si>
  <si>
    <t>Seguimos con el ascensor derecho fuera de servicio. Desde el día 5 de diciembre y hasta el momento nada. Por favor necesitamos una solución de forma urgente</t>
  </si>
  <si>
    <t>07/02: pendiente de Kone
21/02 Hecho</t>
  </si>
  <si>
    <t>21/02 , vinieron ayer y les falto pieza correcta aún no han vuelto ni está solucionado,</t>
  </si>
  <si>
    <t>Poner orden y cambiar cableado/ordenar cableado deteriorado de planta 0, puesto de recepción</t>
  </si>
  <si>
    <t>07/02: pendiente 
21/02 Hecho</t>
  </si>
  <si>
    <t>se ha caido un estor al suelo desprendiéndose de la pared todo el mecanismo de sujeción del mismo. Necesitamos que venga a arreglarlo.</t>
  </si>
  <si>
    <t>El conserje del edificio de la oficina de Bilbao nos ha pedido que demos parte al seguro del banco ya que hay un trastero al que puede que le estemos causando humedad nosotros. Para comprobar de donde viene la humedad.</t>
  </si>
  <si>
    <t>07/02: pendiente de revisar si hay que picar o no porque ahora está seco
21/02 enviado presupeusto para adecentar el trastero de la vecina, pendiente de aprobación
07/03 aprobado, pendiente de fecha
21/93 hecho</t>
  </si>
  <si>
    <t>TENEMOS DOS ROTULOS DE LA FACHA PRINCIPAL DE LA MARCA ING ROTOS. CUANDO SE ILUMINAN DE NOCHE LA MITAD ES COLOR NARANJA LA OTRA BLANCOS. HAY QUE REPONER LA PEGATINA QUE TENIA YA QUE EL SOL LA HA LEVANTADO.</t>
  </si>
  <si>
    <t>Hay un trozo de rodapié al principio de la escalera hacia el piso 1 despegado del lateral, por favor necesitamos se repare. Gracias.</t>
  </si>
  <si>
    <t>TUVIMOS UN ATASCO EL BAÑO DE CLIENTES ESTA SEMANA, YA NOS HA PASADO MÁS VECES, HEMOS CERRADO LA LLAVE DE PASO, CUANDO TIRAMOS DE LA CISTERNA EL RUIDO ES DIFERENTE. PODEIS VENIR A REVISARLO POR  FAVOR? GRACIAS</t>
  </si>
  <si>
    <t>07/02: pendiente
21/02 pendiente de mandar presupuesto a Carlos de un triturador para evitar los atascos
07/03 aprobado
21/03 hecho</t>
  </si>
  <si>
    <t>Varias luces fundidas en planta 1</t>
  </si>
  <si>
    <t>Repasar incidencias en la oficina de Valencia. Revisar los backlights (cartelería de anuncios) tensionando los cables y revisando los transformadores y también los elementos de fontanería así como algún remate. Fotos adjuntas.</t>
  </si>
  <si>
    <t>21/02 hecho la mayoría pendiente de que esté todo hecho
07/03 hecho</t>
  </si>
  <si>
    <t>No nos funciona. Parece problema con el cierre de alguna puerta. Saludos.</t>
  </si>
  <si>
    <t>21/02 no se puede dar uso por motivos de fuga de agua, confirmar el asunto con Almudena
07/03 aprobado el presupuesto
21/03 hecho</t>
  </si>
  <si>
    <t>URGENTE. Uno de los anclajes del panel-puerta de madera que oculta los cajeros de la oficina de sabadell se ha soltado, por lo que la puerta está desencajada y no funciona bien pero, además corre riesgo de caer sobre los clientes que esperan.</t>
  </si>
  <si>
    <t>21/02 se va a derivar a un carpintero
07/03 presupuesto aprobado
21/03 pendiente de la documentación en la plataforma, el resto listo
5/4 hecho</t>
  </si>
  <si>
    <t>BUENAS, LA PUERTA DE LA ENTRADA NO CIERRA CORRECTAMENTE, POR FAVOR QUE VENGAN A REVISARLA PARA AJUSTAR LAS BISAGRAS. GRACIAS.</t>
  </si>
  <si>
    <t>21/02 pendiente
07/03 presupuesto pendiente de aprobar
21/03 pendiente de aprobar
5/4 pendiente aprobación
18/4 pendiente aprobación
4/5 aprobado, pendientes de cuándo van
17/5 ya tienen el muelle
30/5 reciben el muelle esta semana
13/6 hecho
28/06 van a anotar esto
19/7 fueron la semana pasada, se cierra este porque se ha abierto el 1187096</t>
  </si>
  <si>
    <t>13/6 cierra peor que antes</t>
  </si>
  <si>
    <t>Se ha estropeado el calentador de agua, situado en la planta -2, en el vestuario femenino. Hemos cortado la llave de paso porque de lo contrario pierde agua, con lo cual ahora estamos sin agua en los lavabos, sólo tenemos de agua en el grifo de la cocina.</t>
  </si>
  <si>
    <t>21/02 pendiente
07/03 presupuesto hecho
21/03 a falta de aprobación del presupuesto
5/4 sigue faltando aprobación del presupuesto
18/04 falta aprobación
4/5 ya tenemos aprobación, hay que programarlo
17/5 hecho</t>
  </si>
  <si>
    <t>Tenemos problemas eléctricos en la oficina, saltan los diferenciales del SAI y perdemos la linea de conexión a los ordenadores y los cajeros, puede ser que el SAI se haya averiado o que haya algún mal contacto en algún lugar que hace que salten.Es urgente</t>
  </si>
  <si>
    <t>21/02 las tomas de electricidad de los empleados están conectadas al SAI y los calefactorees hacían saltar el diferencial. Se está viendo (demo)
07/03 se va a hacer reorganización del cuadro eléctrico, cerrado porque lo otro es un tema derivado de la obra</t>
  </si>
  <si>
    <t>VANDALISMO OFICINA - REVENTÓN CAJEROS</t>
  </si>
  <si>
    <t>21/02 hecho por parte de CBRE</t>
  </si>
  <si>
    <t>Necesitamos revisión del cableado de red interno, de dos televisiones. Desde infra indican que el puerto se conecta y desconecta todo el rato. Necitamos que se revise el cableado. 
Las dos tvs, en la oficina saben cuáles son.</t>
  </si>
  <si>
    <t>21/02 pendiente
07/03 hecho</t>
  </si>
  <si>
    <t>URGENTE: Necesitamos intervención de urgencia en el cableado de uno de los puestos de gestor. La clavija del cable HDMI que va de la pantalla a la dock station se ha roto y el cable no se puede usar. Es imprescindible para usar la pantalla y trabajar.</t>
  </si>
  <si>
    <t>07/03 pendiente
21/03 hecho
5/4 hecho</t>
  </si>
  <si>
    <t xml:space="preserve">21/03 aquí sigue sin aparecer nadie para resolverlo y ese puesto no lo podemos usar </t>
  </si>
  <si>
    <t>Majadahonda</t>
  </si>
  <si>
    <t>Tenemos dos mesas de atención al público (mesas de gestor) Mesa 1 y mesa 6 que el tablero está suelto. Hay inestabilidad en la mesa cuando te apoyas en ella.</t>
  </si>
  <si>
    <t>07/03 una la arreglaron, la otra han recibido presupuesto
21/03 pendiente de la pata de la mesa
5/4 hecho</t>
  </si>
  <si>
    <t>REVISION DEFICIENCIAS OF. MALLORCA
Revisión de backlights( cartelería) tensar los cables y comprobar que los transformadores funcionen
Emergencia de sala de reuniones
Luminarias fundidas (La última fluctúa)</t>
  </si>
  <si>
    <t>07/03 están en ello
21/03 hecho</t>
  </si>
  <si>
    <t>REVISION DEFICIENCIAS OF. MALLORCA
Limpieza/sustitución de filtros de rejillas:
Panel de control en clima de sótano averiado
Contabilizar y guardar pingüinos (había uno fuera y el resto de cajas creo que todas vacías</t>
  </si>
  <si>
    <t>07/03 están en ello
21/03 hecho
5/4 ya se lo han llevado</t>
  </si>
  <si>
    <t>21/03 no se los han llevado del sótano todavía</t>
  </si>
  <si>
    <t>Filtros muy sucios, adjunto foto</t>
  </si>
  <si>
    <t>07/03 pendiente por problemas con la plataforma (el acceso)
21/03 hecho
5/4 ha abierto otro ticket para esa planta</t>
  </si>
  <si>
    <t>21/03 falta la planta de abajo</t>
  </si>
  <si>
    <t>LA PUERTA DE ENTRADA A LA OFICINA TIENE UN TOPE PARA QUE LA PUERTA NO GOLPEE EL MARCO. ESE TOPE SE ESTA ROMPIENDO Y NECESITAMOS SUSTITUIRLO O PONER UNO NUEVO PARA PROTEGER EL MARCO Y LA PUERTA QUE SINO ACABARA ROMPIENDOSE.</t>
  </si>
  <si>
    <t>07/03 pendiente
21/03 hecho</t>
  </si>
  <si>
    <t>EL FREGADERO DE LA OFICINA DE ACACIAS SE ENCUENTRA ATASCADO</t>
  </si>
  <si>
    <t>07/03 pendientes de confirmación de que esté ya
21/03 hecho</t>
  </si>
  <si>
    <t>Necesitamos colgar un cajetín de custodia de llaves en una pared de la sala del rack</t>
  </si>
  <si>
    <t>07/03 pendiente de confirmación
21/03 hecho</t>
  </si>
  <si>
    <t>Tenemos una cisterna de baño con pérdida de aguaa</t>
  </si>
  <si>
    <t xml:space="preserve">5/4 vinieron a arreglar, al cabo de dos días sigue igual, ahora los dos baños </t>
  </si>
  <si>
    <t>Algunos de los focos que iluminan cajeros y puestos de atención están apagados, desconozco si fundidos o mal conectados</t>
  </si>
  <si>
    <t>Tenemos dos baldosas en área de paso de clientes hundidas y una de ellas con un taco plástico medio salido de un orificio que se hizo en esa baldosa. Existe riesgo de tropezón con caída tanto de clientes cómo del personal de la oficina ya que hay desnivel</t>
  </si>
  <si>
    <t>07/03 pendiente de confirmación
21/03 hecho
5/4 abrir un ticket nuevo</t>
  </si>
  <si>
    <t>21/03 Las baldosas siguen hundidas y rotas, el taco de plástico ya no está pq lo tuvieron que cortar con una radial pq no salía, si queréis os paso foto de las baldosas para que me digáis que opináis sobre sustituir o no</t>
  </si>
  <si>
    <t>Retirar cristal planta -1. Está roto y pesa mucho</t>
  </si>
  <si>
    <t>07/03 hecho</t>
  </si>
  <si>
    <t>Hola, la barra metálica con la que se abre la puerta exterior está suelta y hay que soldarla. Por otro lado, tenemos fundida una luz de la planta 1 y un embellecedor blanco de un foco de la sala de reuniones está medio suelto y se va a caer. Gracias</t>
  </si>
  <si>
    <t>07/03 pendiente
21/03 pendiente de ver cuándo
5/4 hecho</t>
  </si>
  <si>
    <t>TENEMOS LUCES FUNDIDAS DE CUARTO DE ALMACEN Y UNA DE PUESTO DE AUTOSERVICIOS</t>
  </si>
  <si>
    <t>07/03 van hoy
07/03 tienen que comprar las luces, han ido hoy
21/03 hecho
5/4 están mirando luces
18/04 almacen ok y mirando las del puesto de autoservicio
4/5 han enviado hoy el presupuesto
17/5 pendiente como Zaragoza
30/5 pendiente como Zaragoza
13/6 pendiente como Zaragoza
28/06 pendiente
19/7 en hold
21/11 se ha pedido presupuesto para cambiarlo 
23/01 falta una por cambiar
23/05 sigue hold
30/05 sigue hold
06/06 sigue hold
13/06 sigue hold</t>
  </si>
  <si>
    <t>21/03 Pues faltan las 2, una en los autoservicios y otro en una sala de almacen</t>
  </si>
  <si>
    <t>solicitamos servicio de abrillantado de suelo del patio de operaciones de la oficina</t>
  </si>
  <si>
    <t>21/03 espera de planificación</t>
  </si>
  <si>
    <t>ANTICIMEX deficiecias encontradas:
Deficiencia: Huecos en salita dentro baños hombres
Medida correctora: Sellar
ver imagen</t>
  </si>
  <si>
    <t>5/4 hecho</t>
  </si>
  <si>
    <t>ANTICIMEX medida correctora:
SE APRECIA APERTURA POR DEBAJO DE PUERTA:
Deficiencia: Falta burlete
Medida correctora: Instalación burlete</t>
  </si>
  <si>
    <t>21/03 iban a ir la semana pasada, pendientes de confirmación
5/4 hecho
18/04 hay que verlo
4/5 aprobado por Carlos, tienen que ir a montarlo
17/5 a la espera de confirmación de que esté puesto
30/5 hecho</t>
  </si>
  <si>
    <t>11/04 no han puesto el burlete</t>
  </si>
  <si>
    <t>EN LA FACHADA NOS HAN PINTADO UNOS GRAFITIS QUE HABRIA QUE LIMPIAR, SE TRATA DE LA PUERTA METALICA DE LA ACOMETIDA DE GAS</t>
  </si>
  <si>
    <t>21/03 pendiente del ok de Carlos
5/4 hecho</t>
  </si>
  <si>
    <t>EL SEGUNDO PUESTO DE TA DE LA PLANTA BAJA NO TIENE ILUMINACION, NECESITAMOS QUE SE PONGA LA LAMPARA QUE TENIA</t>
  </si>
  <si>
    <t xml:space="preserve">21/03 pendiente de confirmación, avisado para que vaya el técnico
5/4 hecho
18/04 hay que verlo
4/5 pendiente de resibr presupuesto
17/5 pendiente 
30/5 pendiente
13/6 pendiente de verlo con Alberto
28/06 presupuesto pedido
19/7 no sabían que tamaño era, a la espera de presupuesto
1/8 reclamado el presupuesto
8/8 pendiente
22/8 pendiente
5/9 hecho
19/9 pendiente de la que falta
3/10 pendiente 
8/11 lámpara pedida
21/ 11 van a instalarla el viernes
05/12 hecho
</t>
  </si>
  <si>
    <t>5/4 pendientes del foco
6/9 NO está solucionado. De los 2 puestos de PAD, 1 sigue sin lámpara.</t>
  </si>
  <si>
    <t>Reparación de mesa</t>
  </si>
  <si>
    <t>21/03 pendiente de presupuesto
5/4 pendientes ok de carlos
18/04 la mesa está en producción, debería llegar la semana que viene a Córdoba
4/5 se montó ayer</t>
  </si>
  <si>
    <t>Cambiar la configuración del aire: de calefacción a a/a</t>
  </si>
  <si>
    <t>21/03 fueron que estaba todo bien, no lo habían cambiado (cerrado)</t>
  </si>
  <si>
    <t>Abrillantado y/o tratamiento en pavimento mármol, baldosa, suelo porcelánico o PVC.  Abrillantado de suelo.</t>
  </si>
  <si>
    <t>Desempolvado y limpieza de elementos iluminación (focos, lámparas, etc) Las lamparas de los puestos de los gestores estan muy sucias.</t>
  </si>
  <si>
    <t>Hola,
Se solicita la retirada de señal de ruta de evacuación que indica un camino erróneo. No sería necesario incluir nueva señal</t>
  </si>
  <si>
    <t>21/03 hecho</t>
  </si>
  <si>
    <t>tenemos el fregadero de la cocina atascado</t>
  </si>
  <si>
    <t>21/03 pendiente
5/4 hecho</t>
  </si>
  <si>
    <t>La limpieza no es aceptable y estamos disconformes con la calidad de servicio percibida.  Rogamos lo solucionen</t>
  </si>
  <si>
    <t>21/03 pendiente, lo ven con Carlos, lo cerramos de este archivo</t>
  </si>
  <si>
    <t>El totem interior que oculta el cajero exterior tiene unas puertas de cristal, una de ellas está caída y se solapa a la otra puerta, con el riesgo que de algún golpe se puedan romper</t>
  </si>
  <si>
    <t>21/03 fueron a verlo, están solucionándolo
5/4 pendientes presupuesto del cristalero
18/04 han ido hoy, nos tienen que enviar el presupuesto
4/5 presupuesto pendiente de aprobación
17/5 pendiente
30/5 lo está viendo Carlos
13/6 han enviado a otro cristalero
28/06 presupuesto reclamado
19/7 no pasan el presupuesto, por lo que no van todavía 
1/8 pendiente presupuesto 
8/8 pendiente
22/8 pendiente
5/9 pendiente
19/9 ya han elegido cristalero, está en marcha
3/10 pendientes
8/11 pendientes del cristal por parte del taller
21/11 pendiente
5/12 error en tonalidad del cristal que se ha enviado, reclamado
20/12 pendiente hasta despues de navidades
23/01 encargado, falta por confirmar fecha
6/2 pendiente fecha
4/4 pendiente, faltan visagras
8/5 hecho</t>
  </si>
  <si>
    <t>la puerta del RAC roza con el suelo  y lo está deteriorando, además de que cuesta abrirla</t>
  </si>
  <si>
    <t>21/03 pendientes de que vaya el técnico
5/4 hecho</t>
  </si>
  <si>
    <t>Luz fundida wc mujeres planta -1</t>
  </si>
  <si>
    <t>5/4 pendiente
18/04 pendiente
4/5 pendiente, por problemas con accesos a la plataforma
17/5 hecho</t>
  </si>
  <si>
    <t>COMO PASA SIEMPRE LA PUERTA PRINCIPAL D ELA OFICINA YA NO CIERRAR Y SE BLOQUEA POR EL PESO CONTRA EL SUELO. tIENEN QUE LALMAR A LA EMPRESA QUE LA INSTALO ALPEGAR YA QUE EIFFAJE NO SABE SOLUCIONARLO. PUEDEN GESTIONARLO COMO OTRAS VECES.</t>
  </si>
  <si>
    <t>5/4 pendiente
18/04 hecho</t>
  </si>
  <si>
    <t>Cambiar la configuración de calefacción a aire acondicionado</t>
  </si>
  <si>
    <t>5/4 pendiente
18/04 es muy pronto para cambiarlo, hecho</t>
  </si>
  <si>
    <t>La Coruña</t>
  </si>
  <si>
    <t>Solicitamos limpieza de la fachada en especial en la parte del piedra que bordea el suelo.</t>
  </si>
  <si>
    <t>5/4 falta aprobación de Carlos
18/04 falta aprobación de Carlos
4/5 aprobado, poner en marcha
17/5 hecho</t>
  </si>
  <si>
    <t>solicitamos limpieza específica de dos pintadas que hay en torno a la puerta de entrada en una zona con revestimiento metálico. Es posible que requieran productos específicos.</t>
  </si>
  <si>
    <t>5/4 falta aprobación de Carlos
18/04 pendiente de aprobación de Carlos
4/5 aprobado, poner en marcha
17/5 hecho</t>
  </si>
  <si>
    <t>Limpieza de los filtros de aire de toda la oficina, a excepción de los de la planta 0 que ya se hicieron. Y a partir de ahora ir haciendo el mantenimiento oportuno</t>
  </si>
  <si>
    <t>Tenemos una TV´S DE CAJEROS que al ir a cambiarla no han podido instalarla al estar partido el soporte anterior asi como la instalación electrica de ese puesto hay que revisarla</t>
  </si>
  <si>
    <t>5/4 pendiente de que se coloque enchufe, ing proporciona el soporte
18/04 parte eléctrica hecha pero el soporte no es el adecuado pero hecho porque hay otro ticket</t>
  </si>
  <si>
    <t>Necesitamos que se vuelvan a pegar las tapas de los kioskos de autoservicio que cubren el hueco del teléfono que se quito ya que con la silicona puesta se caen</t>
  </si>
  <si>
    <t>5/4 fueron ayer, se habían despegado, pendiente
18/04 pendientes de comprar cinta
4/5 hecho</t>
  </si>
  <si>
    <t>REPARAR CERRADURA</t>
  </si>
  <si>
    <t>5/4 lo lleva INV</t>
  </si>
  <si>
    <t>EL AIRE ACONDICIONADO DEL RAC NO ENFRIA. SI ESTA FUNCIONANDO PERO EL AIRE SALE EN MODO VENTILADOR.</t>
  </si>
  <si>
    <t>5/4 se les está mandando hoy, pendiente
18/04 van el jueves 20
4/5 fueron, pendientes de recibir el presupuesto
17/5 pendiente de aprobación
30/5 ayer se aprobó
13/6 hecho</t>
  </si>
  <si>
    <t>DIFERENCIAL Y PITIDO</t>
  </si>
  <si>
    <t>5/4 hay que cambiar luminarias pendientes de presupuesto
18/04 hay que pasar el presupuesto a Carlos
4/5 pendientes de Alberto que nos diga
17/5 pendiente
30/5 hecho</t>
  </si>
  <si>
    <t>Buenos días, necesitamos que se pula el suelo de toda la oficina para quitar las manchas, ya que hace años que no se hace ese servicio. Gracias</t>
  </si>
  <si>
    <t>5/4 pendientes de planificación para 2 semanas
18/04 pendiente de planificación
4/5 pendiente de planificación, confirmar estado actual
17/5 hecho</t>
  </si>
  <si>
    <t>Buenos dias, la puerta de acceso a la oficina tiene un tirador de arriba a abajo que se la soltado por abajo. Necesitamos que se suelde.</t>
  </si>
  <si>
    <t>5/4 hecho, soldado</t>
  </si>
  <si>
    <t>LA CERRADURA DEL DESPACHO NO CONECTA CON EL CAJETIN DE ALARMA. DESDE SEGURIDAD NOS INDICAN QUE HAY QUE CAMBIAR LA CERRADURA.</t>
  </si>
  <si>
    <t>Necesitamos revisar techo de la primera planta, hace tiempo tuvimos una gotera en el mismo techo que provocó inundación y caída del techo de la misma zona. Hoy se han vuelto a percibir malos olores provenientes de la misma zona y cierto reflejo de humedad</t>
  </si>
  <si>
    <t>5/4 se cierra porque en un principio habría sido algo puntual</t>
  </si>
  <si>
    <t>HEMOS QUITADO EL CARTEL DE SALIDA DE EMERGENCIA Y HAY QUE PINTAR LA COLUMNA DE NARANJA, ADJUNTO FOTO</t>
  </si>
  <si>
    <t>5/4 espera de presupuesto
18/04 pendiente de aprobación
4/5 aprobado, poner en marcha
17/5 hecho</t>
  </si>
  <si>
    <t>Necesitamos se limpie la persiana, han hecho unas pintadas.</t>
  </si>
  <si>
    <t>18/04 pendiente de aprobación
4/5 aprobado, poner en marcha
17/5 hecho</t>
  </si>
  <si>
    <t>La puerta de entrada de la oficina está enmarcada con un cuadro naranja, que por la exposición al sol ha perdido todo el color, solicitamos pintar de nuevo cuadro de puerta de color naranja</t>
  </si>
  <si>
    <t>18/04 nos envian el presupuesto
4/5 ya tenemos presupuesto y aprobación
17/5 hecho</t>
  </si>
  <si>
    <t>tenemos grafitis en las cristaleras, necesitamos limpiarlos</t>
  </si>
  <si>
    <t xml:space="preserve">Necesitamos que acuda personal de CBRE A colocar un soporte que hemos recibido de INGMAD PARA UNA TV DE CAJEROS </t>
  </si>
  <si>
    <t>18/04 no vale el soporte, mirando opciones
4/5 iban a mandar otro soporte  
17/05 no hay noticias de la oficina
30/5 mandó un mail ella y lo han enviado
13/6 hecho</t>
  </si>
  <si>
    <t>Es necesario cambiar el muelle a la puerta de entrada, la han reparado en dos ocasiones este mes y sigue sin cerrar correctamente. Gracias</t>
  </si>
  <si>
    <t>4/5 pedido presupuesto, a falta de aprobación
17/5 ya aprobado, en marcha
30/5 esta semana han hablado con ellos y llega esta semana
13/6 están allí
28/06 hecho</t>
  </si>
  <si>
    <t>NECESITAMOS ARREGLO DE UNA PERSIANA ELECTRICA.</t>
  </si>
  <si>
    <t>4/5 han estado, problema con el motor, ver con Carlos
17/5 pendiente de programar
30/5 fue el técnico, el motor estaba quemado, se va a solucionar
13/6 a la espera de confirmación
28/06 hecho</t>
  </si>
  <si>
    <t>NECESITAMOS AJUSTAR EL SISTEMA DE CIERRE DE LA PUERTA DE ENTRADA.</t>
  </si>
  <si>
    <t>4/5 hecho presupuesto hay que cambiar el cierre
17/5 hecho
30/5 se va a mirar
13/6 van esta semana a verlo
28/06 van a ir el viernes
19/7 sigue abierto, no hay confirmación de que esté hecho 
1/8 hecho</t>
  </si>
  <si>
    <t>22/5 no está arreglado</t>
  </si>
  <si>
    <t>Buenos días, tenemos otras dos luces fundidas en la oficina y un dispositivo que nos han colocado en un baño  gotea. Gracias</t>
  </si>
  <si>
    <t>4/5 está en marcha
17/5 falta las luces
30/5 van mañana
13/6 están hoy 
28/06 pendiente
19/7 en hold
23/01 han cambiado muchas luces</t>
  </si>
  <si>
    <t>Pintada en la fachada de atrás de la oficina, no es la fachada principal, no se asocia con la oficina por lo que no es excesivamente urgente, pero si hay que limpiarla pues es la parte trasera de la oficina. Adjuntamos foto.</t>
  </si>
  <si>
    <t>4/5 aprobado
17/5 hecho</t>
  </si>
  <si>
    <t>Sellar bien la parte trasera de los wc's y la zona de alrededor de la columna de la planta -2 porque según el técnico de plagas de Anticimex ambas son zonas por donde se cuelan las cucarachas</t>
  </si>
  <si>
    <t>17/5 hecho
30/5 hecho</t>
  </si>
  <si>
    <t>30/05 No está solucionado</t>
  </si>
  <si>
    <t>ATASCO BAÑO CABALLEROS RETRTE. SANITRIT SUENA SIN PARAR Y SE HA DESBORDADO EL AGUA. TAMBIEN AFECTA AL URINARO.</t>
  </si>
  <si>
    <t>4/5 hecho presupuesto, hay que cambiarlo, ya está aprobado
17/5 aprobado, pendientes de que se programe
30/5 pendiente de instalación
13/6 hecho</t>
  </si>
  <si>
    <t>TENEMOS UNA PINTADA DE GRAFITI EN LA FACHADA, NECESITAMOS QUE VENGAN EL SERVICIO DE LIMPIEZA CON QUITA TINTA Y MATERIAL ESPECIAL PARA BORRARLO.</t>
  </si>
  <si>
    <t>4/5 aprobado
17/5 hecho
30/5 han aplicado varios productos y no se va, están haciendo repeticiones para que se vaya
13/6 hecho</t>
  </si>
  <si>
    <t>17/5 Vino la empresa y dejó impregnada la pared y todavía no
lo han quitado</t>
  </si>
  <si>
    <t>Necesitamos se repare la puerta del baño de clientes, el cierre, y la del totem de los cajeros 4b y poner una placa para evitar que dé golpe en el cajero y que no se rompa el cristal. Gracias.</t>
  </si>
  <si>
    <t>4/5 pendiente de confirmación
17/5 hecho</t>
  </si>
  <si>
    <t>Subsanar las deficiencias de la OCA de BT</t>
  </si>
  <si>
    <t>17/5 pendiente
30/5 a la espera de respuesta
13/6 están con ello, programado jueves
28/06 falta la instalación de un diferencial
19/7 hecho</t>
  </si>
  <si>
    <t>tenemos deteriorada la puerta de acceso , se queda atascada con mucha frecuencia y se nos ha roto el látigo interior que conecta con la cerradura de la llave tubular.</t>
  </si>
  <si>
    <t>4/5 fueron ayer</t>
  </si>
  <si>
    <t>1040082</t>
  </si>
  <si>
    <t>8/8 falta una parte 
22/8 falta una parte
5/9 hecho</t>
  </si>
  <si>
    <t>BUENAS, NECESITAMOS QUE VENGAN A REVISAR LOS RELOJES DEL HILO MUSICAL Y DEL ALUMBRADO EXTERIOR. GRACIAS.</t>
  </si>
  <si>
    <t>4/5 iban a  ir el viernes</t>
  </si>
  <si>
    <t>Cerradura de la cajonera que se ha estropeado y no cierra con llave....</t>
  </si>
  <si>
    <t>4/5 cambiaron ayer el bombín</t>
  </si>
  <si>
    <t>Rotura en sistema de cierre de puerta de entrada</t>
  </si>
  <si>
    <t>4/5 hecho</t>
  </si>
  <si>
    <t>17/05 fueron a poner medida provisional a falta de pedir una pieza, 
pero el lunes 15 les falló la puerta</t>
  </si>
  <si>
    <t>PINTAR ZONA FACHADA PARA QUITAR PINTADA GRAFITI</t>
  </si>
  <si>
    <t>17/5 pendiente presupuesto
30/5 aprobado, pendiente planificación
13/6 hecho</t>
  </si>
  <si>
    <t>LA CADENA DEL BAÑO PIERDE AGUA</t>
  </si>
  <si>
    <t>18/5 se estropeó al día siguiente, hay que ir a revisarlo
23/05 ahora sí se ha solucionado</t>
  </si>
  <si>
    <t>LOS ALTAVOCES DEL HILO MUSICAL DE LA OFICINA NO SUENAN EN EL PATIO DE CLIENTES ZONA DE ENTRADA</t>
  </si>
  <si>
    <t>18/5 se fue el técnico sin saber arreglarlo, no está solucionado
23/05 ahora sí se ha solucionado</t>
  </si>
  <si>
    <t>NECESITAMOS URGENTE QUE VENGAN A REVISAR EL AIRE ACONDICIONADO, YA QUE SALE AIRE CALIENTE</t>
  </si>
  <si>
    <t>17/5 pendiente de aprobación
30/5 aprobado, van el jueves
13/6 hecho</t>
  </si>
  <si>
    <t>El aire acondicionado del RAC pierde agua</t>
  </si>
  <si>
    <t>17/5 pendiente
30/5 pendiente confirmación
13/6 hecho</t>
  </si>
  <si>
    <t>Tenemos un puesto de trabajo donde la conexión HDMI entre el portátil y la pantalla no funciona, ni a través de la dock station ni conectando directamente el cable HDMI al portátil.</t>
  </si>
  <si>
    <t>17/5 pendiente de confirmación
30/5 cerrado, se hará en help desk</t>
  </si>
  <si>
    <t>NECESITAMOS ARREGLO DEL GRIFO DEL LAVABO.</t>
  </si>
  <si>
    <t>17/5 pendiente de aprobación
30/5 aprobado
13/6 reclamado
28/06 van el viernes
19/7 sigue abierto, no hay confirmación de que esté hecho 
1/8 hecho</t>
  </si>
  <si>
    <t>En breve está prevista una auditoria y necesitamos tener documentación bajo llave, hemos descubierto que las puertas de los armarios están mal montadas y aunque se cierren con llave se pueden abrir sin problema las puertas. Gracias</t>
  </si>
  <si>
    <t>17/5 pendiente
30/5 encargado, se hará esta semana
13/6 hecho</t>
  </si>
  <si>
    <t>El manillar para cerrar y abrir la puerta está suelto. Gracias</t>
  </si>
  <si>
    <t>17/5 pendiente
30/5 hecho</t>
  </si>
  <si>
    <t>Necesitamos cambiar el bombín de la cerradura de un mueble que tenemos en sala, se han perdido todas las llaves y es un mueble en el que se guarda documentación que debiera estar bajo llave.</t>
  </si>
  <si>
    <t>24/5 vino un hcio que iba a localizar los bombine</t>
  </si>
  <si>
    <t>Hola, tenemos pendiente de revisar: olores en sala, siguen filtrándose, varias luces fundidas, armario de rack tierra, antideslizante negro escaleras, cambio muelle de la puerta exterior y la luz led del muro detrás de las mesas de gestores. Gracias</t>
  </si>
  <si>
    <t>17/5 pendientes de muelle, antideslizante y el rack
30/5 programados para distintos días (mañana)
13/6 hoy están
28/06 pendiente defrost y luces, hecho antideslizante y rack
19/7 nos quedamos con el 1082914</t>
  </si>
  <si>
    <t>3/7 El tema de olores sigue igual y urge solución.
Las luces también están pendientes y la luz del muro tampoco se ha cambiado</t>
  </si>
  <si>
    <t>Reparacion de la puerta de acceso general.....</t>
  </si>
  <si>
    <t>17/5 hecho el día 9</t>
  </si>
  <si>
    <t>Buenos días, ha vuelto a fallar el sistema de cierre autonático de la puerta de entrada
Un saludo</t>
  </si>
  <si>
    <t>17/5 a la espera de la pieza
30/5 sigue pendiente
13/6 hecho</t>
  </si>
  <si>
    <t>SOLICITU DE MANTENIMIENTO POR TERMO PICADO</t>
  </si>
  <si>
    <t>17/5 pendiente del presupuesto
30/5 aprobado
13/6 hecho</t>
  </si>
  <si>
    <t>Necesitamos cerraduras nuevas para los cajones de las mesas de gestor ya que por extravío de las llaves no podemos tenerlos cerrados con llave y por auditorías hemos de hacerlo</t>
  </si>
  <si>
    <t>17/5 ha ido el proveedor y no encuentran esa cerradura
30/5 hecho</t>
  </si>
  <si>
    <t>solicitamos limpieza de cristalería de la oficina de majadahonda</t>
  </si>
  <si>
    <t>17/5 pendiente de confirmación
30/5 hecho</t>
  </si>
  <si>
    <t xml:space="preserve">30/5 No ha venido nadie a limpiarlos, lo que no sé si con el nuevo contrato se sigue haciendo l petición por esta herramienta. </t>
  </si>
  <si>
    <t>La puerta de acceso a la oficina se queda abierta por lo que el sistema de seguridad no conecta, hay que empujarle para que se quede cerrada. Necesitamos reparacion lo antes posible.</t>
  </si>
  <si>
    <t>17/5 iban a ir el día 11 hecho</t>
  </si>
  <si>
    <t>17/05 Ese ticket no se ha gestionado, no ha venido nadie a arreglar la puerta de acceso a la oficina.</t>
  </si>
  <si>
    <t>Solicitamos identificación de cable de Kiosko que va de rack al mismo, el kiosko está identificado como KPWOD0800004, necesitamos saber hora y fecha en que van a estar para avisar a nuestro técnico para que les de apoyo en esa identificación.</t>
  </si>
  <si>
    <t>17/5 hecho</t>
  </si>
  <si>
    <t>Con la limpieza de la moqueta de la oficinas, planta cero donde se atiende clientes, hay dos puestos en los que salió una mancha en la moqueta. Inicialmente pensé que era humedad que debía de secar, pero despues de tiempo no se va.</t>
  </si>
  <si>
    <t>17/5 pendiente de confirmación
30/5 fueron la semana pasada, iban a valorar las manchas y estamos pendientes
13/6 hehco</t>
  </si>
  <si>
    <t>La maneta de apertura de la puerta del despacho se ha roto, por lo que no es posible abrirla desde fuera. La puerta se abre hacia fuera y el tensor que la cierra tiene mucha fuerza lo que hace prácticamente imposible abrirla sin llave.</t>
  </si>
  <si>
    <t>SE HA ROTO EL SISTEMA DE ENGANCHE DE LA CINTA QUE DETERMINA DONDE EMPIEZA LA ZONA DE EMPLEADOS</t>
  </si>
  <si>
    <t xml:space="preserve">17/5 pendiente
30/5 ya fueron, s eha abierto uno nuevo por rotura
</t>
  </si>
  <si>
    <t>TENEMOS DOS TAQUILLAS DE VESTUARIO SIN CERRADURAS Y EL POMO DE UN ARMARIO QUE NECESITAMOS CAMBIAR</t>
  </si>
  <si>
    <t>Luz fundida cuartito limpieza planta -1</t>
  </si>
  <si>
    <t>Necesitamos que venga un carpintero y cerrajero dado que tenemos unos armarios que se han vuelto a romper las cerraduras y en ellos se guarda documentacion confindencial adjuntamos fotos de los sistemas de cierra que llevan los armarios.</t>
  </si>
  <si>
    <t>30/5 pendientes de que se ponga
13/6 hecho</t>
  </si>
  <si>
    <t>COLOCAR CERRADURAS CON LLAVES EN 6 ARMARIOS COLOCADOS EN LOS ARCHIVOS DE PLANTA BAJA Y SOTANO.</t>
  </si>
  <si>
    <t>30/5 están los materiales comprados, a falta de cerrar un día
13/6 a falta del parte
28/06 hecho</t>
  </si>
  <si>
    <t>Relacionada con SR6564481. SE HA ROTO EL SISTEMA DE ENGANCHE DE LA CINTA QUE DETERMINA DONDE EMPIEZA LA ZONA DE EMPLEADOS</t>
  </si>
  <si>
    <t>30/5 material encargado
13/6 hecho</t>
  </si>
  <si>
    <t>No funcionan los mandos de apertura de la oficina. Ninguno de los 2.</t>
  </si>
  <si>
    <t>30/5 estuvieron ayer y tienen que volver a los mandos, si no fuese por las pilas, hay que buscar el proveedor
13/6 pendiente de confirmación, es de control de acceso
28/06 son una pilas especiales, a la espera de que llegue
19/7 se cierra porque es de INV</t>
  </si>
  <si>
    <t>Buenos días, necesitaríamos que vinieran a revisar unas cerraduras de armarios y cajones y sus correspondientes llaves. Posiblemente haya que cambiarlos. Gracias.</t>
  </si>
  <si>
    <t>30/5 hay que cambiar 4/5, arreglo provisional
13/6 pendientes de los partes
28/06 hecho
19/7 se acaba de aprobar el presupuesto
1/8 pendientes de ver si han ido
8/8 pendiente
22/8 pendiente
5/9 pendientes del parte
19/9 hecho
3/10 se va a revisar
8/11 hecho</t>
  </si>
  <si>
    <t>13/6 las cerraduras dijeron que tenían que enviar presupuesto y nos dirían
3/7 el tema de las llaves se dijo que pasarían presupuesto porque para tenerlo bien había que cambiar casi todas….de esto ya no sé mucho más….
20/9 Si han venido a mirar pero falta algún cajón</t>
  </si>
  <si>
    <t>Hola, Tenemos 2 goteras y nos dicen que es una pérdida de nuestro A/A. Seguimos con olores en la sala debido al aire que no se van con el fungicida. 2 luces sobre una de las mesas se nos apagan continuamente. GRacias</t>
  </si>
  <si>
    <t>30/5 van mañana
13/6 están hoy
28/06 en hold
10/1 hecho</t>
  </si>
  <si>
    <t>El hilo musical no funciona</t>
  </si>
  <si>
    <t>30/5 hecho</t>
  </si>
  <si>
    <t>Por Auditoria necesitamos poner 5 cerraduras en los Cajones de los gestores ya que están las 5 rotas. Tenemos una puerta del Vestuario que se ha desencajado y no podemos cerrar. Nos faltan luces en la zona del Cajero. Puerta del Rac desencajada</t>
  </si>
  <si>
    <t>30/5 programado para ir el viernes 26, a la espera de la respuesta de Bilbao
13/6 a falta del parte
28/06 a falta del parte
19/7 hecho</t>
  </si>
  <si>
    <t>Hemos recibido la visita de Bluenatur que ha instalado unos ambientadores en los baños. Durante el proceso, en un baño de clientes se han desprendido y roto varias baldosas por lo que necesitamos que se realice reparación.</t>
  </si>
  <si>
    <t>30/5 van a ir mañana y se va a ver con el seguro
13/6 hecho</t>
  </si>
  <si>
    <t>Buenas tardes,
Nos gustarías saber si pueden revisarnos el aire acondicionado en cuanto a donde enfoca el aire.  Sale mucho aire directo a puestos de gestor.
Muchas gracias</t>
  </si>
  <si>
    <t>30/5 van a la oficina entre hoy y mañana
13/6 hecho</t>
  </si>
  <si>
    <t>Santander</t>
  </si>
  <si>
    <t>Buenos días, solicito servicio para arreglo de cerraduras de los aramrios de material ofcina en losq eu guardamos documentacón. .Un armario está sin llaves, otro atascado sin posibilidad de abrir y otros 2 con llave pero no abre.</t>
  </si>
  <si>
    <t xml:space="preserve">30/5 se va a programar
13/6 hecho </t>
  </si>
  <si>
    <t>La puerta de acceso a la oficina se queda abierta, cuando sube la temperatura se dilata y roza con el suelo, cosa que impide que se cierre por si sola. Cada año cuando llega el calor tenemos el mismo problema.</t>
  </si>
  <si>
    <t>13/6 reclamado
28/06 hecho</t>
  </si>
  <si>
    <t>Bombilla fundida en el baño femenino. Gracias</t>
  </si>
  <si>
    <t>13/6 a falta de confirmación
28/06  no contestan, falta confirmación</t>
  </si>
  <si>
    <t>WO 1094210 Puerta de entrada de acceso sigue rota</t>
  </si>
  <si>
    <t>13/6 pendientes de presupuesto
28/06 pendientes de que fueran, falta el parte, confirmar hecho</t>
  </si>
  <si>
    <t>Solicito cambio de cerraduras de tres armarios ubicados en el almacén ya que no cierran. El cambio de los bombines y llaves nuevas tanto de la puerta del almacén y del baño de acceso público</t>
  </si>
  <si>
    <t>13/6 tenemos presupuesto 
28/06 tenemos el presupuesto ok, encagado
19/7 hecho</t>
  </si>
  <si>
    <t>AJUSTAR MUELLE - LA PUERTA NO CIERRA CORRECTAMENTE</t>
  </si>
  <si>
    <t>13/6 pendiente
28/06  van el viernes
19/7 pendientes de confrimación
1/8 hecho</t>
  </si>
  <si>
    <t>SE NOS HA DESCOLGADO UNA PERSIANA MANUAL. NECESITAMOS ARRELGO</t>
  </si>
  <si>
    <t>13/6 pendiente
28/06 van el viernes
19/7 pendiente de confirmación
1/8 pendiente
8/8 pendiente
22/8 no han ido
5/9 hecho</t>
  </si>
  <si>
    <t xml:space="preserve">6/9 Tenemos una persiana manual que todavía esta pendiente de 
arreglo. </t>
  </si>
  <si>
    <t>SE HA ROTO EL ENGANCHE INFERIOR DE LA CERRADURA DEL ARMARIO QUE SE ENCUENTRA EN LA ZONA DE EMPLEADOS</t>
  </si>
  <si>
    <t>13/6 no hay confirmación de que hayan ido a arreglarlo
28/06 siguen sin confirmación
19/7 pendiente
1/8 reclamado a ver si han ido
8/8 pendiente
22/8 pendiente
5/9 pendiente
19/9 hecho</t>
  </si>
  <si>
    <t>MESA DE LA PLANTA ALTA COJA, PARECE QUE SE VA A PARTIR</t>
  </si>
  <si>
    <t>13/6 hecho</t>
  </si>
  <si>
    <t>necesitamos que vengan a cambiar dos televisiones de los brazos/soporte en las que están colgadas. Seria cambiar una por otra, cambiar la ubicación de las televisiones de turnos, hace falta una escalera y herramientas</t>
  </si>
  <si>
    <t>Necesitamos se regule el chorro de aire que sale sobre la mesa 5 ya que sale mucho y el compañero que se sienta ahí se ha puesto malo por eso. Esperamos técnico. Gracias.</t>
  </si>
  <si>
    <t>'-	Presupuesto para desmontar/montar 1 pantalla rota
-	Presupuesto para destruir 1 pantalla</t>
  </si>
  <si>
    <t>13/6 pendientes
28/06 hecho
19/7 informados para mirarlo
1/8 consultar a Marta</t>
  </si>
  <si>
    <t>30/06 La TV rota la sigo teniendo en la oficina. 
No se la han llevado ni se ha destruido.</t>
  </si>
  <si>
    <t>'-	Presupuesto para desmontar/montar 3 pantallas cuando lleguen (Quitar las 2 de turnos + 1 rota y montar las que hemos enviado)
-	Presupuesto para destruir 3 pantallas (Samsung)</t>
  </si>
  <si>
    <t>13/6 pendientes
28/06 hecho</t>
  </si>
  <si>
    <t>la puerta de el rack se ha inflado dificultando su apertura</t>
  </si>
  <si>
    <t>13/6 a falta de confirmación
28/06 hecho</t>
  </si>
  <si>
    <t>Cambio de localización cajetín llaves sucursales ING al cuarto del Rack</t>
  </si>
  <si>
    <t>28/06 pendiente
19/7 hecho</t>
  </si>
  <si>
    <t>EL INTERRUPTOR PARA ENCENDER Y APAGAR LAS LUCES DE LA OFICINA SE HA VUELTO A ESTROPEAR. URGE RESOLUCIÓN.</t>
  </si>
  <si>
    <t>28/06 hecho
19/7 no está, tienen que llevarlo
1/8 reclamado
8/8 hecho</t>
  </si>
  <si>
    <t>30/06 Han venido si, pero han hecho un apaño y sigue 
estropeado…el problema es que tienen que cambiar el interruptor y no lo traen.</t>
  </si>
  <si>
    <t>Tras el cambio completo del sistema de climatización de la oficina y tener un funcionamiento correcto desde hace unos días la oficina huele a orín, un olor muy desagradable. Desconocemos si puede tener que ver con tuberías del baño o similar. Gracias</t>
  </si>
  <si>
    <t>28/06 fueron, lo han comentado esta mañana, se requiere cambio de configuración
19/7 hecho
1/8 hecho</t>
  </si>
  <si>
    <t>el sanitril instalado hace unas semanas no funciona correctamente. Está funcionando 24/7 y no solo cuando se utiliza el sanitario. Emite ruidos constantes que son molestos y se escuchan en toda la oficina.</t>
  </si>
  <si>
    <t xml:space="preserve">28/06 pendientes de confirmación de solucionado
19/7hecho
</t>
  </si>
  <si>
    <t>EL APARATO DEL AIRE ACONDICIONADO ESTÁ SOLTANDO AGUA</t>
  </si>
  <si>
    <t>28/06 pendientes de la sustitución de la bomba de condensados
19/7 pendiente de información 
1/8 hecho provisionalmente, queda cambiar la bomba de condensados
8/8 sigue la medida provisional
22/8 hecho</t>
  </si>
  <si>
    <t>PINTAR TECHO OFICINA POR GOTERA YA SOLUCIONADA</t>
  </si>
  <si>
    <t>28/06 pendiente de aprobación
19/7 se acaba de aprobar
1/8 hecho</t>
  </si>
  <si>
    <t>1123274</t>
  </si>
  <si>
    <t>22/08 ya hay uno de esto</t>
  </si>
  <si>
    <t>1126809</t>
  </si>
  <si>
    <t>8/8 pendiente
22/8 hecho</t>
  </si>
  <si>
    <t>Se ha roto una de las partes de la cinta que tenemos para bloquear el acceso a planta -1. Es solo pegar una parte al cristal para poder enganchar la otra.</t>
  </si>
  <si>
    <t>28/06 hecho</t>
  </si>
  <si>
    <t>TENEMOS UN GRAFITI EN LA FACHADA DEL OS CAJEROS 4B, ADJUNTO FOTO</t>
  </si>
  <si>
    <t>28/06 espera de confirmación hecho
19/7 hecho</t>
  </si>
  <si>
    <t>Wc embozado</t>
  </si>
  <si>
    <t>28/06 no hay respuesta
19/7 hecho</t>
  </si>
  <si>
    <t>DESMONTAR UNAS MAMPARAS PARA NO DEJARLAS EN MEDIO DE LA OFICINA</t>
  </si>
  <si>
    <t>28/06 se hace el jueves
19/7 hecho</t>
  </si>
  <si>
    <t>RETIRADA DE LOS RESIDUOS DEL AIRE ACONDICIONADO DEL PATIO</t>
  </si>
  <si>
    <t>28/06 se está hablando con el proveedor
19/7 pendiente
1/8 pendientes del presupuesto
8/8 pendientes del presupuesto
22/8 enviado presupuesto a Carlos
5/9 aprobado
19/9 van mañana
3/10 hecho</t>
  </si>
  <si>
    <t>EL GRIFO DEL CUARTO DE BAÑO ESTÁ ESTROPEADO Y SALE EL AGUA SALPICANDO POR TODAS PARTES</t>
  </si>
  <si>
    <t>Tenemos una mesa de un gestor que se mueve mucho, está a punto de caerse.</t>
  </si>
  <si>
    <t>Volvemos a tener cucarachas en la oficina. En los últimos días nos hemos encontrado varias y hoy en la puerta de entrada principal.</t>
  </si>
  <si>
    <t>28/06 pendiente de planificación
19/7 pendiente van mañana
1/8 hecho</t>
  </si>
  <si>
    <t>Necesitamos reparar luz de emergencia de la sala de reuniones. Necesitamos mando a distancia para aparato de aire acondicionado Hitachi .</t>
  </si>
  <si>
    <t>28/06 pendientes ok del presupuesto
19/7 firmado el presupuesto
1/8 pendiente, el mando no hasta septiembre
5/9 pedido el mando 
19/9 a falta de confirmación
3/10 pendientes de que llegue la luz
8/11 pendiente la reparación de la luz, el mando ya lo tienen
21/11 no respuesta de momento
5/12 sigue en espera
20/12 hecho</t>
  </si>
  <si>
    <t>1133874</t>
  </si>
  <si>
    <t>28/06 pendiente de planificación
19/7 hecho</t>
  </si>
  <si>
    <t>1135297</t>
  </si>
  <si>
    <t>EL TEMPORIZADOR SE DESCONFIGURO O ESTA AVERIADO PORQUE SE PONE Y SE QUITA A LO LARGO DEL DIA ROGAMOS REVISAR</t>
  </si>
  <si>
    <t>INSTALAR TV PILOTO Y SOPORTE</t>
  </si>
  <si>
    <t>28/06 fueron el viernes, no tienen el parte
19/7 no se va a hacer</t>
  </si>
  <si>
    <t>CAMBIO LOCALIZACION CAJETIN LLAVES AL CUARTO DE RACK</t>
  </si>
  <si>
    <t>La puerta del rack roza en el suelo y se queda abierta</t>
  </si>
  <si>
    <t>28/06 a falta de respuesta de si han ido
19/7 hecho</t>
  </si>
  <si>
    <t>1138988</t>
  </si>
  <si>
    <t>Desmontar/montar 1 pantalla (quitar 1 Philips de Turnos e instalar la que reciben de Diagonal)</t>
  </si>
  <si>
    <t>19/7 van mañana
1/8 pendiente de programación
8/8 falta confirmación
5/9 hecho</t>
  </si>
  <si>
    <t>un cliente ha pegado un portazo al salir de la oficina, rompiendo el tope del suelo y rompiendo una baldosa. necesitamos que vengan a repararlo. adjunto fotos por mail.</t>
  </si>
  <si>
    <t>19/7 pendiente
1/8 hecho</t>
  </si>
  <si>
    <t>Una de las mesas de los gestores se mueve el tablero al apoyarse en ella, la pata no está bien anclada.</t>
  </si>
  <si>
    <t>19/7 pendiente de preguntar
1/8 a la espera de información
8/8 pendiente 
22/8 pendientes del parte
5/9 pendientes
19/9 hecho</t>
  </si>
  <si>
    <t>No funciona el A/C en toda la oficina. Por favor necesitamos un técnico con urgencia que lo repare ya que así no podemos trabajar.</t>
  </si>
  <si>
    <t>19/07 hecho</t>
  </si>
  <si>
    <t>Palma</t>
  </si>
  <si>
    <t>Reprogramar los aparatos de succión y recirculación del aire</t>
  </si>
  <si>
    <t>19/7 hecho</t>
  </si>
  <si>
    <t>REVISAR MUELLE PUERTA ENTRADA -  FALLA DESPUES DE HABERLO CAMBIADO</t>
  </si>
  <si>
    <t>19/7 han hablado con distintas empresas para que el primero que de fecha vaya
1/8 hecho</t>
  </si>
  <si>
    <t>Caldera de agua....no deja de caer agua</t>
  </si>
  <si>
    <t>19/7 aprobado el presupuesto hoy
1/8 a falta de confirmación
8/8 pendiente
22/8 hecho</t>
  </si>
  <si>
    <t>El elevador de acceso a minusválido está estropeado.</t>
  </si>
  <si>
    <t>19/7 pendiente de saber
1/8 fueron pero pendientes de recibir baterías
8/8 pendiente
22/8 pendientes de parte
5/9 pendiente
19/9 falla la electrónica, enviado el presupuesto
3/10 pendiente
8/11 valorando si uno nuevo o arreglarlo
21/11 sa espera de presupuesto
5/12 pendiente aprobaciones
23/01 pendiente
6/2 pendiente
5/3 pendiente de que vayan a hacerlo
4/4 pendiente fecha
4/6 pendiete
14/6 pendiente
26/6 pendiente
8/7 pendiente
19/7 hecho</t>
  </si>
  <si>
    <t>Hola, la luz led que está detrás de la mesa de los gestores sobre el muro hay que cambiarla porque una parte está fundida. La luz de la mesa 4 no se apaga y enciende con los interruptores generales.</t>
  </si>
  <si>
    <t>19/7 van mañana
1/8 a la espera del parte
8/8 hecho</t>
  </si>
  <si>
    <t>Buenos días, Necesitamos que por favor se baje el sofá grande de la planta cero a la 1. Es necesario que vengan dos personas. Gracias</t>
  </si>
  <si>
    <t>19/7 lo tendrán que aprobar
1/8 aprobado, pendiente de programar
8/8 pendiente de programar
5/9 hecho</t>
  </si>
  <si>
    <t>No funciona la pantalla LED  de recepción (planta 0)</t>
  </si>
  <si>
    <t>19/7 se revisan componentes de la pantalla, se requiere cambiar
1/8 verlo con Marta</t>
  </si>
  <si>
    <t>TENEMOS GOTERAS EN LA ZONA DE ACCESO DE LA OFICINA DE CORUÑA DONDE SE ENCUENTRA EL APARATO DE AIRE ACONDICIONADO.</t>
  </si>
  <si>
    <t>Hace ya días que el ascensor derecho dejó de funcionar. Han venido en varias ocasiones los técnicos pero no lo han solucionado. El último día que vinieron, el 05/07, dijeron que estaba todo ok pero lo dejaron inoperativo</t>
  </si>
  <si>
    <t>19/7 ok al presupuesto hoy
1/8 hecho</t>
  </si>
  <si>
    <t>Buenas tardes tenemos el water del lavabo de hombres que no deja tirar de la cadena</t>
  </si>
  <si>
    <t>19/7 pendiente de preguntar
1/8 llegó ayer la pieza, a falta de programación 
8/8 hecho</t>
  </si>
  <si>
    <t>1164697</t>
  </si>
  <si>
    <t>22/8 hecho</t>
  </si>
  <si>
    <t>Necesitamos desinstalar 4 pantallas lcd e instalar otras 4</t>
  </si>
  <si>
    <t>Necesitamos que vaya alguien de mantenimiento a revisar la roseta de red que hay detrás de una tv de publicidad. La roseta es la D31</t>
  </si>
  <si>
    <t>19/7 pendiente de preguntar
1/8 a falta de confirmación
8/8 pendiente
22/8 pendientes del parte
5/9  pendientes del parte
19/9 a falta de confirmación
3/10 hecho</t>
  </si>
  <si>
    <t>1169923</t>
  </si>
  <si>
    <t>Se ha fundido una de las luces de la cocina</t>
  </si>
  <si>
    <t>19/7 pendiente de preguntar
1/8 hecho</t>
  </si>
  <si>
    <t>Se vinieron a instalar 4 TV en hueco pared, había 2 de las 4 averiadas pero se dejó una de las TV sin volver a poner necesitamos volver a instalar y que el hueco no quede con el soporte visible</t>
  </si>
  <si>
    <t>19/07 pndiente de confirmación
1/8 falta el parte, hecho</t>
  </si>
  <si>
    <t>1175886</t>
  </si>
  <si>
    <t>UNA LOZETA SUELTA EN FRENTE DE LA ESCALERA ROGAMOS REPARACION</t>
  </si>
  <si>
    <t>Hola, necesitamos que nos coloquen un óculo que se quitó cuando tuvimos las filtraciones de agua en el baño de la planta cero. Gracias</t>
  </si>
  <si>
    <t>19/7 van mañana
1/8 hecho</t>
  </si>
  <si>
    <t>Hay una gotera en el techo del vestuario de mujeres</t>
  </si>
  <si>
    <t>19/7 pasado el ticket, pendiente de preguntar
1/8 pendiente
8/8 pendiente
22/8 hecho</t>
  </si>
  <si>
    <t>La maneta de la puerta de la cocina está estropeada</t>
  </si>
  <si>
    <t>19/7 pendinte de preguntar
1/8 hecho</t>
  </si>
  <si>
    <t>Necesitamos visita de un técnico para la verificación del cableado  de red para una TV de gestores</t>
  </si>
  <si>
    <t>19/7 van hoy a las 16
1/8 hecho</t>
  </si>
  <si>
    <t>El aire acondicionado de rack no funciona, tiene luz roja y no enfría y revisar la zona de abajo de la oficina ya que teniendo dos maquinas pasamos calor....</t>
  </si>
  <si>
    <t>1/8 en proceso, hay que presupuestar solución 
8/8 pendiente, lo ven hoy
22/8 falta que envíen en presupuesto
5/9 falta solucionar el rack
19/9 hecho</t>
  </si>
  <si>
    <t>Nos ha llamado el vecino del primer piso de C/ San Vicente nº 22 para decirnos que el aire acondicionado del local en planta baja hace un ruido insoportable, nos ha pedido que os lo comuniquemos 
ya que en caso de que no se solucione pondrá una denuncia.</t>
  </si>
  <si>
    <t>1/8 reprogramar visita a primera hora de la mañana
8/8 hecho</t>
  </si>
  <si>
    <t>TENEMOS EL BAÑO DE MUJERES ATASCADO. NO SE PUEDE UTILIZAR.</t>
  </si>
  <si>
    <t>1/8 presupuesto aprobado
8/8 hecho</t>
  </si>
  <si>
    <t>1185678</t>
  </si>
  <si>
    <t>22/08 hecho</t>
  </si>
  <si>
    <t>NECESITAMOS REPROGRAMAR EL AIRE ACONDICIONADO. ACTUALMENTE ARRANCA A LAS 8, Y NECESITAMOS QUE ARRANQUE A LAS 7 DE LA MAÑANA. A LAS 8 YA NO ES CAPAZ DE CLIMATIZAR LA OFICINA.</t>
  </si>
  <si>
    <t>1/8 hecho</t>
  </si>
  <si>
    <t>el sistema de climatización no funciona correctamente. ayer teníamos la oficina a 32 grados por la tarde.</t>
  </si>
  <si>
    <t>1187053</t>
  </si>
  <si>
    <t>BUENOS DÍAS, NECESITAMOS QUE PONGAN UNA CERRADURA A UNA DE LAS TAQUILLAS DEL VESTUARIO DE MUJERES QUE NO TIENE. GRACIAS.</t>
  </si>
  <si>
    <t>1/8 visitas estos días
8/8 hecho</t>
  </si>
  <si>
    <t>NECESITAMOS QUE VENGAN A LA OFICINA DE OVIEDO A COLOCAR LOS DOS BACKLIGHTS EXTERIORES QUE NOS HAN LLEGADO</t>
  </si>
  <si>
    <t>1/8 han ido estos días, a falta de partes
8/8 hecho</t>
  </si>
  <si>
    <t>NECESITAMOS QUE VENGAN A REVISAR LA PARTE DE ABAJO DEL ARMARIO NUMERADO CON EL N2</t>
  </si>
  <si>
    <t>Deberían volver y arreglarla definitivamente ya que la puerta esta desencajada.</t>
  </si>
  <si>
    <t>POR FAVOR ARREGLAR MANILLA DEL PICAPORTE DE LA PUERTA DEL VESTUARIO DE CHICAS DE ODONNELL SE HA SALIDO Y ROTO</t>
  </si>
  <si>
    <t>1/8 pendiente
8/8 hecho</t>
  </si>
  <si>
    <t>Cómo al volver de vacaciones he visto que cerraban el ticket he abierto uno nuevo.</t>
  </si>
  <si>
    <t>1198003</t>
  </si>
  <si>
    <t>NECESITAMOS ARREGLO DE 3 PERSIANAS. 2 MANUALES Y 1 ELECTRICA</t>
  </si>
  <si>
    <t>1/8 pendiente, una arreglada, el resto pendientes de si se ha hecho
8/8 hecho
22/8 es lo del otro ticket
5/9 hecho</t>
  </si>
  <si>
    <t xml:space="preserve">10/8 Todavía no esta solucionado. Han arreglado la persiana eléctrica y una de las manuales. Falta por arreglar otra manual.
El técnico ha estado aquí arreglando la eléctrica y me dice que no tenia aviso de la persiana manual que faltaba por arreglar. </t>
  </si>
  <si>
    <t>Trás un incidente con un cliente, la puerta de acceso a la oficina, se bloquea al intentar abrir. La han estado golpeando y han debido mover el cerrojo o algo que no permite abrirla. Es urgente.</t>
  </si>
  <si>
    <t>1/8 van mañana
8/8 pendiente
22/8 hecho
5/9 hecho
19/9 cerrado</t>
  </si>
  <si>
    <t>25/08: Te comento: vinieron mientras yo estaba de vacaciones y la
 persona que vino les dijo que la puerta se había quedado desencajada y que lo iba a solucionar provisionalmente, que se lo pasaba a su jefe. La gestora que habló con el técnico me dijo que Dolores Aya estaba al corriente.
6/9: Vinieron en su momento (yo estaba de vacaciones) pero me comentaron las chicas que el técnico les indicó que la puerta estaba descolgada, que la podía arreglar provisionalmente pero que necesitaban encajarla, él se lo iba a reportar a su jefe, me indicaron también que Dolores Ayas estaba al corriente del asunto, por ello abrí un nuevo ticket.
Si te digo la verdad, la puerta hasta hoy no está fallando.</t>
  </si>
  <si>
    <t>Necesitamos visita de un cerrajero conjuntamente con el personal de INV para solucionar el problema de cierre de la puerta de entrada, ya que a veces no cierra bien y se abre el watchi&amp;amp;mochi</t>
  </si>
  <si>
    <t>1203887</t>
  </si>
  <si>
    <t>1/8 pendiente, fecha reclamada
8/8 hecho, abren otro ticket, cierro este</t>
  </si>
  <si>
    <t>Limpieza de los plafones de luces, hay bichos pegados</t>
  </si>
  <si>
    <t>1213383</t>
  </si>
  <si>
    <t>8/8 lo están haciendo hoy
22/8 hecho</t>
  </si>
  <si>
    <t>PLAGA DE HORMIGAS EN WC DE PLANTA BAJA. OF COSTA RICA</t>
  </si>
  <si>
    <t>1215423</t>
  </si>
  <si>
    <t>TENEMOS EL MURO DE LOS CAJEROS ABIERTO, YA QUE POR UNA INCIDENCIA DE AGUAS EN EL GARAJE DE ABAJO HAN VENIDO UNOS OPERARIOS A PARTIR Y HAN CONFIRMADO QUE LA FUGA ES DE NUESTROS AIRES ACONDICIONADOS.</t>
  </si>
  <si>
    <t>1213551</t>
  </si>
  <si>
    <t>8/8 pendiente, va con el de la bomba de condensados
22/8 hecho</t>
  </si>
  <si>
    <t>El urinario masculino esta ewmbozado</t>
  </si>
  <si>
    <t>HAY UN FOCO FUNDIDO DEL TECHO DE LA PARTE DE LOS CAJEROS</t>
  </si>
  <si>
    <t>1213808</t>
  </si>
  <si>
    <t xml:space="preserve">8/8 pendiente
22/8 pendiente
5/9 hecho </t>
  </si>
  <si>
    <t>AVISO DE HUMEDADES EN TRASTERO PRINCIPAL IZQUIERDO</t>
  </si>
  <si>
    <t>1215225</t>
  </si>
  <si>
    <t>8/8 pendiente
22/8 pendiente
5/9 pendiente
19/9 se cierra por estar duplicado</t>
  </si>
  <si>
    <t>Retirada de pantallas en mesas e instalación de pantallas nuevas.
Las pantallas que hay que quitar están pegadas a las mesas, hay que retirarlas con cuidado para luego instalar las nuevas que van con soporte.</t>
  </si>
  <si>
    <t>1217214</t>
  </si>
  <si>
    <t>El cierre de la puerta de entrada está estropeado, se queda abierta todo el tiempo</t>
  </si>
  <si>
    <t>1217233</t>
  </si>
  <si>
    <t>En un cuarto de baño el grifo está mal ajustado y se mueve, y en el otro el dispensador de jabón hay que colgarlo a la pared y tapar agujeros. Gracias</t>
  </si>
  <si>
    <t>8/8 pendiente
22/8 pendientes del parte
5/9 hecho</t>
  </si>
  <si>
    <t>ESTÁ ESTROPEADA LA CERRADURA DEL CAJÓN DE UNA MESA</t>
  </si>
  <si>
    <t>1217203</t>
  </si>
  <si>
    <t>Tras el arreglo, la puerta no cierra. Se ha aflojado tanto el muelle o lo que sea que se frena y no cierra. Por favor ajustar. Gracias.</t>
  </si>
  <si>
    <t>1220826</t>
  </si>
  <si>
    <t>Buenos días, necesitamos por favor que nos vengan a limpiar todas las salidas de aire. Nos han hecho una medición de la Calidad del aire y nos lo han pedido. También se deben limpiar los filtros. Gracias</t>
  </si>
  <si>
    <t>1222367</t>
  </si>
  <si>
    <t>8/8 pendiente
22/8 están hoy
5/9 hecho</t>
  </si>
  <si>
    <t>Hay una ventana que no cierra bien, por favor revisad porque puede causar que salte la alarma. Gracias</t>
  </si>
  <si>
    <t>La cisterna del baño de mujeres no para de tirar agua hemos intentado cerrar la llave de paso pero no podemos.</t>
  </si>
  <si>
    <t>1222908</t>
  </si>
  <si>
    <t>22/8 pendiente
5/9 hecho</t>
  </si>
  <si>
    <t>LOS AIRES NO ESTÁN ENFRIANDO, ADEMÁS QUE NO SE HA ARREGLADO EL DESAGÜE QUE MOJA AL VECINO DE ABAJO</t>
  </si>
  <si>
    <t>1224960</t>
  </si>
  <si>
    <t>NECESITAMOS QUE ACUDAN A OFICINA A REVISAR PUERTAS DEL BAÑO DE EMPLEADOS LA DEL ASEO DE DENTRO NO CIERRA LA MANECILLA NI EL PESTILLO</t>
  </si>
  <si>
    <t>1226006</t>
  </si>
  <si>
    <t>ADJUNTO IMAGEN DE GRAFFITI DE FUERA CAJERO EXTERIOR EN PARED DERECHA Y TECHO</t>
  </si>
  <si>
    <t>1226484</t>
  </si>
  <si>
    <t>22/8 pendientes de aprobación presupuesto
5/9 hecho</t>
  </si>
  <si>
    <t>Tenemos una pintada en los cajeros exteriores. Necesitamos que vengan a limpiarla.</t>
  </si>
  <si>
    <t>1226774</t>
  </si>
  <si>
    <t>22/8 pendiente presupuesto
5/9 hecho</t>
  </si>
  <si>
    <t>en la oficina hay una barandilla de cristal para y una de la uniones entre dos cristales se ha desprendido. Hay que repararlo dando silicona, que es como estaba</t>
  </si>
  <si>
    <t>1224843</t>
  </si>
  <si>
    <t>22/8 pendiente
5/9 pendiente
19/9 pendiente
3/10 pendientes del parte
8/11 pendiente
21/11 pendiente
5/12 pendiente
10/1 hecho</t>
  </si>
  <si>
    <t>los luminosos corporativos, colocados en la parte alta de la oficina, parpadean constantemente, son tres módulos</t>
  </si>
  <si>
    <t>1224848</t>
  </si>
  <si>
    <t>22/8 pendiente
5/9 pendiente
19/9 pendiente
3/10 pendientes del parte
8/11 hecho</t>
  </si>
  <si>
    <t>URGE ARREGLO. LOS ESTORES DE LA OFICINA NO PODEMOS SUBIRLOS, SE QUEDAN CERRADOS Y EL BANCO NOS PIDE TENERLOS ABIERTOS CUANDO CERRAMOS OFICINA</t>
  </si>
  <si>
    <t>1226152</t>
  </si>
  <si>
    <t>LA LUZ DEL CUARTO DE ALMACENAJE ESTÁ FUNDIDA</t>
  </si>
  <si>
    <t>1226155</t>
  </si>
  <si>
    <t>URGE ARREGLO :LA MANILLA DEL BAÑO DE MUJERES ESTÁ ROTA Y LOS CLIENTES SE QUEDAN DENTRO SIN PODER SALIR</t>
  </si>
  <si>
    <t>1226165</t>
  </si>
  <si>
    <t>CAMBIAR ALOGENO VESTUARIO DE CHICAS FUNDIDA</t>
  </si>
  <si>
    <t>1229819</t>
  </si>
  <si>
    <t xml:space="preserve">22/8 pendientes del parte
5/9 pendiente
19/9 hecho
21/11 hace dolo seguimiento
20/12 reclamado
23/01 hecho
</t>
  </si>
  <si>
    <t xml:space="preserve">20/11  no han venido a repararlo
</t>
  </si>
  <si>
    <t>Buenos días, se nos ha fundido uno de los óculos del baño, por favor necesitamos que vengan a sustituirlo. Gracias.</t>
  </si>
  <si>
    <t>1235444</t>
  </si>
  <si>
    <t>21/11 hecho</t>
  </si>
  <si>
    <t>Del exceso de calor en Granada se ha caído una parte de la cartelería de la oficina. Necesitamos que se venga a sujetar bien . Gracias</t>
  </si>
  <si>
    <t>1235583</t>
  </si>
  <si>
    <t xml:space="preserve">22/8 pendiente
5/9 pendiente
19/9 falta pedir los repuestos
3/10 cambiado parte, falta otra parte
8/11 en hold
</t>
  </si>
  <si>
    <t>Comentarlo con Marketing</t>
  </si>
  <si>
    <t>La manilla de puerta de la cocina está suelta.</t>
  </si>
  <si>
    <t>1239088</t>
  </si>
  <si>
    <t>22/8 pendiente de confirmación
5/9 hecho</t>
  </si>
  <si>
    <t>NO FUNCIONA EL AIRE ACONDICIONADO DE LA TOBERA PEQUEÑA NI EL DEL RACK.  POR FAVOR NECESITAMOS REVISION URGENTE</t>
  </si>
  <si>
    <t>1235914</t>
  </si>
  <si>
    <t>22/8 falta confirmación
5/9 falta confirmación
19/9  tienen que volver para ver si ha vuelto a atascarse y cerrar en pladur
3/10 hecho</t>
  </si>
  <si>
    <t>INSTALACIÓN PINGUINO GRANADA</t>
  </si>
  <si>
    <t>1239130</t>
  </si>
  <si>
    <t>5/9 hecho</t>
  </si>
  <si>
    <t>En la planta superior a aparecido una gotera en el techo esta mañana 17/08 que el 16/08 no estaba. Es bastante grande por lo que se pide un servicio con urgencia para poder solucionarlo</t>
  </si>
  <si>
    <t>1240974</t>
  </si>
  <si>
    <t>22/8 se va a gestionar por otra vía</t>
  </si>
  <si>
    <t>Necesitamos que manden a alguien para limpiar graffiti en fachada. Gracias.</t>
  </si>
  <si>
    <t>1243166</t>
  </si>
  <si>
    <t>22/08 pendiente de presupuesto
5/9 pendientes
19/9 pendientes de confirmación
3/10 pendientes de confirmación
8/11 hecho</t>
  </si>
  <si>
    <t>Hace mucho calor en la oficina</t>
  </si>
  <si>
    <t>1247900</t>
  </si>
  <si>
    <t>Solicitamos servicio para puerta de acceso.</t>
  </si>
  <si>
    <t>1248485</t>
  </si>
  <si>
    <t>5/9 pendiente
19/9 hecho</t>
  </si>
  <si>
    <t>Se ha caído un estor de los ventanales de la oficina de Córdoba</t>
  </si>
  <si>
    <t>1249950</t>
  </si>
  <si>
    <t>5/9 motor quemado, a la espera de actualización
19/9 a la espera de aprobación
3/10 ya aprobado, van a ir
8/11 hecho</t>
  </si>
  <si>
    <t>SE HA ROTO UN MANQUITO DEL LAVABO DE UN ASEO Y SE HA INUNDADO.  NECESITAMOS QUE SE REPARE LO ANTES POSIBLE CADIZ</t>
  </si>
  <si>
    <t>1252143</t>
  </si>
  <si>
    <t>EL AIRE ACONDICIONADO NO TIRA Y HAY MOMENTOS DE MUCHÍSIMO CALOR EN LA OFICINA</t>
  </si>
  <si>
    <t>1253715</t>
  </si>
  <si>
    <t>5/9 pendientes
19/9 hecho</t>
  </si>
  <si>
    <t>LAS BANDAS ANTIDESLIZANTES DE LAS RAMPAS DE ACCESO A OFICINA ESTÁN DESGASTADAS Y NO CUMPLEN SU FUNCIÓN. POR FAVOR, NECESITAMOS REPONER DICHAS BANDAS ANTIDESLIZANTES POR SEGURIDAD YA QUE EL SUELO RESBALA MUCHO Y HAY RIESGO DE CAIDAS. GRACIAS.</t>
  </si>
  <si>
    <t>1255960</t>
  </si>
  <si>
    <t>5/9 pendiente
19/9 pendiente
3/10 reclamado
8/11 raclamado 
21/11 reclamado
23/01 hecho</t>
  </si>
  <si>
    <t>El aire acondicionado de la sala de arriba no funciona, tenemos que tener muy fuerte el de la planta de abajo para que refresque algo arriba. Sucede desde hace un par de dias. Necesitamos que venga alguien a revisarlo</t>
  </si>
  <si>
    <t>1254156</t>
  </si>
  <si>
    <t>5/9 pendientes de repsuesta
19/9 pendientes del parte
3/10 pendientes confirmación, reclamado
8/11 hecho</t>
  </si>
  <si>
    <t>WC con atasco y fuga de agua</t>
  </si>
  <si>
    <t>1263260</t>
  </si>
  <si>
    <t>EL MANDO DEL ELEVADOR DE MINUSVALIDOS NO FUNCIONA</t>
  </si>
  <si>
    <t>1263364</t>
  </si>
  <si>
    <t>Revisión cable de red televisión de turnos , el cable ha dejado de funcionar, la roseta no esta identificada y por tanto no se sabe donde esta conectada en el patch panel, haría falta rotularla y revisar el cableado interno de la pared.</t>
  </si>
  <si>
    <t>1261630</t>
  </si>
  <si>
    <t xml:space="preserve">5/9 pendientes de que vayan
19/9 hecho
</t>
  </si>
  <si>
    <t>PUERTA DE CRISTAL DE CAJERO 24 H NO CONSEGUIMOS QUE SE QUEDE CERRADA COMPLETAMENTE</t>
  </si>
  <si>
    <t>1269315</t>
  </si>
  <si>
    <t>Buenos días, necesitamos por favor que se cambien los filtros de carbón activo del A/A. GRacias</t>
  </si>
  <si>
    <t>1269042</t>
  </si>
  <si>
    <t>5/9 pendiente
19/9 pendiente
3/10 reclamado
8/11 hecho
21/11 está en obra aún
5/12 hecho</t>
  </si>
  <si>
    <t>10/11 pendiente porque tienen que hacer una obra en el sistema de climatización</t>
  </si>
  <si>
    <t>Buenos días, necesitamos que nos pongan una canaleta para tapar el cable de la impresora, que se ha movido recientemente en la plata cero. Gracias</t>
  </si>
  <si>
    <t>1269043</t>
  </si>
  <si>
    <t>5/9 pnedientes de que se haga
19/9 pendiente
3/10 reclamado
8/11 hecho</t>
  </si>
  <si>
    <t>Hace poco han arreglado una avería en la oficina de Valencia y retiraron una señal de extintor y hay que reponerla.</t>
  </si>
  <si>
    <t>1274849</t>
  </si>
  <si>
    <t>BUENOS DIAS, DEBIDO A LAS LLUVIAS, TENEMOS TODO EL TECHO DE LA OFICINA MOJADO, SE HAN CREADO BOLSAS DE AGUA Y SE HAN MANCHADO LAS PAREDES,</t>
  </si>
  <si>
    <t>1274480</t>
  </si>
  <si>
    <t>5/9 se cierra aquí</t>
  </si>
  <si>
    <t>Buenas, necesitamos se cambie un tubo fluorescente del vestuario de chicas ya que parpadea. Gracias.</t>
  </si>
  <si>
    <t>1274651</t>
  </si>
  <si>
    <t>La puerta de cristal de la salita de la planta alta se descuelga y no permite conectar el cierre con alarma.</t>
  </si>
  <si>
    <t>5/9 pendiente
19/9  hecho
5/12 preguntar a almudena
20/12 cerrado, abierto otra WO</t>
  </si>
  <si>
    <t>22/11  le dijeron que tenian que ver la manera de resolverlo de manera más duradera
11/12 pendiente de la reparación definitiva, sigue descolgada</t>
  </si>
  <si>
    <t>Se cae el diferencial.
Salta alarma de Sobrecalentamiento en el rack. 
Se apaga el A/A en el cuarto del rack.</t>
  </si>
  <si>
    <t>1274737</t>
  </si>
  <si>
    <t>Buenos días, de nuevo no hace buen contacto el cierre de la puerta de acceso a oficina. Cuando vengan al mantenimiento mensual, ¿Podrían revisarlo? Gracias.</t>
  </si>
  <si>
    <t>1276660</t>
  </si>
  <si>
    <t>19/9 pasado
3/10 van esta semana
8/11 hecho</t>
  </si>
  <si>
    <t>LA EMPRESA DE CONTROL DE PLAGAS INFORMA DE LA SIGUIENTE DEFIENCIA:
CONSERVACION INADECUADA DE INFRAESTRUCTURA: GRIETAS Y OQUEDADES
MEDIDAS CORRECTORAS: TAPAR HUECOS Y OQUEDADES</t>
  </si>
  <si>
    <t>1278697</t>
  </si>
  <si>
    <t>19/9 no hay parte
3/10 no hay parte, reclamado
8/11 hecho</t>
  </si>
  <si>
    <t>Wáter de caballeros con fuga de agua y embozado. Hay una incidencia ya abierto con CBRE para el cambio de la trituradora pero actualmente hay una fuga de agua en dicho lavabo.</t>
  </si>
  <si>
    <t>1278982</t>
  </si>
  <si>
    <t>19/9 falta el presupuesto
3/10 presupuesto firmado, pendientes
8/11 hecho</t>
  </si>
  <si>
    <t>Necesitamos se limpien las manchas que se han creado del calor entendemos, en los soportes de la cartelería exterior, adjunto fotos. La limpiadora ha probado con amoníaco y no sale. Gracias.</t>
  </si>
  <si>
    <t>1280886</t>
  </si>
  <si>
    <t>19/9 pendiente
3/10 hay que cambiar los backlights
8/11 en hold</t>
  </si>
  <si>
    <t>Ncesitamos tecnico par mirar goteras en la zona de clientes, ya vinieron a repararla pero ha vuelto a pasar. Gracias.</t>
  </si>
  <si>
    <t>1280635</t>
  </si>
  <si>
    <t>19/9 iban ayer
3/10 hecho</t>
  </si>
  <si>
    <t>COMUNIDAD DE VECINO SE QUEJA DE FUERTES GOTERAS EN UN TRASTERO. SOBRE EL TRASTERO SE ENCUENTRA UN CUARTO DE BAÑO DE NUESTRA OFICINA.</t>
  </si>
  <si>
    <t>1281153</t>
  </si>
  <si>
    <t xml:space="preserve">19/9 la llave de la oficina se ha cerrado, pendientes de que se cierre la llave del local de al lado
3/10 sigue saliendo agua, pendientes
8/11 en hold
</t>
  </si>
  <si>
    <t>perdida de agua en el RACK , una de las paredes esta mojada. Necesitamos tramitación urgente</t>
  </si>
  <si>
    <t>1283008</t>
  </si>
  <si>
    <t>19/9  tienen que volver para ver si ha vuelto a atascarse y cerrar en pladur
3/10 pendiente
8/11 hecho</t>
  </si>
  <si>
    <t>CAMBIAR 3 LUCES ALOGENOS ADJUNTO FOTO</t>
  </si>
  <si>
    <t>1289677</t>
  </si>
  <si>
    <t>19/9 pendiente
3/10 reclamado
8/11 reclamado
21/11 pendiente
23/01 hecho</t>
  </si>
  <si>
    <t>NECESITAMOS ARREGLO DEL ANCLAJE AL SUELO DE LA TURNOMATIC.</t>
  </si>
  <si>
    <t>1288463</t>
  </si>
  <si>
    <t>19/9 a la espera
3/10 pendiente
8/11 hecho</t>
  </si>
  <si>
    <t>NECESITAMOS PINTAR CON URGENCIA LA PUERTA DE ACCESO EXTERIOR DE LA OFICINA DE COSTA RICA PARA DESPUES PODER LOS VINILOS CON EL NUEVO HORARIO. LA PINTURA ACTUAL ESTÁ MUY MAL
ES URGENTE, GRACIAS</t>
  </si>
  <si>
    <t>1294002</t>
  </si>
  <si>
    <t>19/9 enviado a Carlos, a la espera del ok y de cómo se va a hacer
3/10 no se pinta, limpieza, cerrado
8/11 hecho</t>
  </si>
  <si>
    <t>Baño clientes pierde agua al tirar de la cadena y baño empleados es necesario reponer el tirador de la cisterna que está estropeado</t>
  </si>
  <si>
    <t>1292114</t>
  </si>
  <si>
    <t>19/9 pendiente
3/10 hecho lo de perder agua</t>
  </si>
  <si>
    <t>El aire acondicionado de la oficina salta de vez en cuando sin motivo alguno y se para por completo, la maquina que tenemos en la sala de reuniones expulsa un liquido negro por la salida de aire</t>
  </si>
  <si>
    <t>1295647</t>
  </si>
  <si>
    <t>19/9 pasada
3/10 hecho</t>
  </si>
  <si>
    <t>La puerta de entrada a la oficina, se queda abierta no se cierra, por favor enviad un técnico que lo revise. 
Por otro lado, hay que montar una balda en un armario y el grifo del cuarto de baño se mueve.</t>
  </si>
  <si>
    <t>1300576</t>
  </si>
  <si>
    <t>03/10 pendiente, reclamado
8/11 hecho lo de la puerta</t>
  </si>
  <si>
    <t>En la planta alta sale mal olor por el aire acondicionado.</t>
  </si>
  <si>
    <t>1300403</t>
  </si>
  <si>
    <t xml:space="preserve">3/10 pendientes
8/11 hecho
                                                                                                              </t>
  </si>
  <si>
    <t>La tapa del inodoro del baño de chicas está partido completamente, y nos da problemas para levantar la tapa. Muchas gracias.</t>
  </si>
  <si>
    <t>1302823</t>
  </si>
  <si>
    <t>3/10 pendientes de confirmación
8/11 hecho</t>
  </si>
  <si>
    <t>Mostoles</t>
  </si>
  <si>
    <t>Abrimos solicitud SR6745843 el 25/08, y pone que se ha solucionado el día 26/08, pero el panel sigue roto, y sin poder poner publicidad. No sabemos si se ha pedido la pieza para arreglarlo y no se nos ha informado, pero desde luego, sigue inutilizado</t>
  </si>
  <si>
    <t>1302825</t>
  </si>
  <si>
    <t>3/10 en hold</t>
  </si>
  <si>
    <t>SUSTITUCIÓN DE FILTROS</t>
  </si>
  <si>
    <t>1304769</t>
  </si>
  <si>
    <t>3/10 pendientes
8/11 hecho</t>
  </si>
  <si>
    <t>Necesitamos que manden a alguien para limpiar distintos graffiti de la fachada. Gracias.</t>
  </si>
  <si>
    <t>1302939</t>
  </si>
  <si>
    <t>21/11/2023 hecho</t>
  </si>
  <si>
    <t>Necesitamos reparar una de las tapas que cubrían los huecos de los teléfonos de los puestos de autoservicio que se ha caido</t>
  </si>
  <si>
    <t>1308168</t>
  </si>
  <si>
    <t>3/10 pendiente
8/11 hecho</t>
  </si>
  <si>
    <t>Cucarachas detectadas en baños de clientes y privado</t>
  </si>
  <si>
    <t>1308264</t>
  </si>
  <si>
    <t>3/10 hecho</t>
  </si>
  <si>
    <t>Baño empleados es necesario reponer el tirador de la cisterna que está estropeado. Solicitado por Marta Bajo de ING.</t>
  </si>
  <si>
    <t>1308383</t>
  </si>
  <si>
    <t>Se ha roto la maneta de entrada al vestuario femenino</t>
  </si>
  <si>
    <t>1318100</t>
  </si>
  <si>
    <t>El pulsador del WC del medio de los lavabos femeninos de la planta -2 en ocasiones se queda enganchado al apretarlo, cosa que hace que vaya saliendo agua de la cisterna y provoca un gasto excesivo de agua</t>
  </si>
  <si>
    <t>1319865</t>
  </si>
  <si>
    <t>3/10 pendiente
8/11 material pedido
21/11 sigue pendiente material
5/12 hecho</t>
  </si>
  <si>
    <t>El tercer grifo del lavabo de la -1 no funciona, no sale agua</t>
  </si>
  <si>
    <t>1319868</t>
  </si>
  <si>
    <t>3/10 pendiente
8/11 pendiente de material
21/11 sigue pendiente
5/12 hecho</t>
  </si>
  <si>
    <t>Salida de agua de los latiguillos del lavabo del cuarto de baño de mujeres, inundando suelo, creemos que hay que sustituir grifo y latiguillos, necesitamos que manden alguien urgentemente, ya que hemos cortado agua. Gracias.</t>
  </si>
  <si>
    <t>1319605</t>
  </si>
  <si>
    <t>Tenemos unos rótulos que parpadea la luz, los de la planta alta que van rectos. Por otro lado necesitamos se programe para que estén encendidos entre las 00 y las 06:00 únicamente. Gracias.</t>
  </si>
  <si>
    <t>1323668</t>
  </si>
  <si>
    <t>3/10 pendiente, pasado
8/11 hecho</t>
  </si>
  <si>
    <t>Limpieza de los cristales de la fachada de la oficina y de los estores</t>
  </si>
  <si>
    <t>1323789</t>
  </si>
  <si>
    <t>3/10 pendiente, se repiten todas las limpiezas de cristales
8/11 hecho</t>
  </si>
  <si>
    <t>La puerta de acceso a la oficina hace mucho ruido al abrirse/cerrarse. Necesitamos ponerle solución porque no podemos trabajar así.</t>
  </si>
  <si>
    <t>1327402</t>
  </si>
  <si>
    <t>3/10 lo lleva facilities</t>
  </si>
  <si>
    <t>NECESITAMOS ARREGLO DE PERSIANA MANUAL.</t>
  </si>
  <si>
    <t>1329372</t>
  </si>
  <si>
    <t>8/11 retraso, van el 14 de noviembre
21/11 hecho</t>
  </si>
  <si>
    <t>LOS PANELES LUMINOSOS NARANJAS QUE ESTAN EN LA FACHADA ENCIMA DE LOS CAJEROS EXTERNOS NO FUNCIONAN.</t>
  </si>
  <si>
    <t>1329373</t>
  </si>
  <si>
    <t>8/11 hecho</t>
  </si>
  <si>
    <t>Buenas tardes, Los paneles donde colocamos la cartelería, se han partido. No podemos poner las campañas actuales. Son los paneles exteriores, los 2 de arriba, en total son 4.</t>
  </si>
  <si>
    <t>1330066</t>
  </si>
  <si>
    <t>18/3 en hold</t>
  </si>
  <si>
    <t>la puerta del RAC conectada a sistema de Alarma no cierra, esta desencajada, por lo que no se puede cerrar correctamente ni armar el RAC</t>
  </si>
  <si>
    <t>1334135</t>
  </si>
  <si>
    <t>Déspues de las goteras y tener que pintar el techo, el suelo a quedado horrible, Necesitamos que vengan a revisarlo y limpiar a fondo el suelo de la oficina.. Abrillantado De Suelo.</t>
  </si>
  <si>
    <t>1341151</t>
  </si>
  <si>
    <t xml:space="preserve">8/11 está planificado para hacerlo antes del fin de año
10/1 hecho
</t>
  </si>
  <si>
    <t>TENEMOS LAS LUCES LED DE DETRÁS DE LOS GESTORES FUNDIDAS, TANTO LAS BLANCAS COMO LAS NARANJAS.</t>
  </si>
  <si>
    <t>1343732</t>
  </si>
  <si>
    <t>21/11 hechp</t>
  </si>
  <si>
    <t>El A/C de la cocina pierde agua</t>
  </si>
  <si>
    <t>Salta el diferencial  1AAA, al volver a posición de funcionamiento vuelve a saltar,  es urgente ya que controla el aire acondicionado de la sala del rac donde están todo el equipo informático de la oficina y al no enfriar se está calentando mucho, gracias</t>
  </si>
  <si>
    <t>1354617</t>
  </si>
  <si>
    <t>8/11 presupuesto aceptado, a la espera de material
21/11 pendiente presupuesto
5/12 pendiente de aprobación
5/3 pendiente de que vayan a hacerlo
4/6 sigue pendiente. Hold</t>
  </si>
  <si>
    <t>pendiente, ya hay material</t>
  </si>
  <si>
    <t>Televisión sin red y sin identificar la roseta para saber a donde corresponde el parcheo, estaba operativa antes, creemos que pueda ser problema del cable de la pared puesto que no tenemos forma de seguirlo. ¿Podéis comprobar el cable e identificarlo?</t>
  </si>
  <si>
    <t>1354819</t>
  </si>
  <si>
    <t>8/11 que vayan a picar la roseta 
21/11 hecho</t>
  </si>
  <si>
    <t>necesitamos que vengan a quitar el gancho para perros de la puerta de acceso a la oficina.</t>
  </si>
  <si>
    <t>1355038</t>
  </si>
  <si>
    <t xml:space="preserve">8/11 pendiente
21/11 hecho
</t>
  </si>
  <si>
    <t>SUSTITUCIÓN DE BOMBA DE CONDENSADOS</t>
  </si>
  <si>
    <t>1355406</t>
  </si>
  <si>
    <t>Buenos días, necesitamos que nos envíen jabón neutro para limpiar las mesas que nos acaban de lacar. No sirve jabón de manos como nos comenta empresa de limpieza, pues deja mucho residuo. Gracias</t>
  </si>
  <si>
    <t>1354634</t>
  </si>
  <si>
    <t>Buenos días, 
Solicitamos servicio para eliminar el gancho que hay fuera de la oficina para que dejen atados a los animales debido a la nueva Ley de Bienestar Animal. 
Gracias.</t>
  </si>
  <si>
    <t>1354951</t>
  </si>
  <si>
    <t>NECESITAMOS QUE VENGAN A RETIRAR EL GANCHO PARA LOS PERROS EN LA OFICINA DE OVIEDO</t>
  </si>
  <si>
    <t>1354983</t>
  </si>
  <si>
    <t>Quitar gancho para perros de la fachada de la oficina.</t>
  </si>
  <si>
    <t>1355151</t>
  </si>
  <si>
    <t>8/11 hecho 
21/11 pendiente
5/12 hecho</t>
  </si>
  <si>
    <t>Necesitamos quitar de la fachada el "gancho" que teníamos instalado para dejar a los perros atados en la puerta de la calle.</t>
  </si>
  <si>
    <t>1355153</t>
  </si>
  <si>
    <t>8/11 hecho
14/ 11 hecho</t>
  </si>
  <si>
    <t>10/11  desde la oficina me dicen que está pendiente</t>
  </si>
  <si>
    <t>Ha aparecido un charco en el descansillo de la escalera que da acceso a la planta sótano, no se si es una fuga o acumulación de humedad</t>
  </si>
  <si>
    <t>1358898</t>
  </si>
  <si>
    <t>8/11 ya han ido, tienen que volver, de aquí lo cerramos</t>
  </si>
  <si>
    <t>Retirada de gancho exterior de perros, actualmente anclado a la pared de la entrada</t>
  </si>
  <si>
    <t>1357142</t>
  </si>
  <si>
    <t>No funciona el aire acondicionado de la Oficina. Esta aquí el técnico de mantenimiento y no puede dejarlo operativo, Le da error eléctrico desde el RAC</t>
  </si>
  <si>
    <t>1359163</t>
  </si>
  <si>
    <t>8/11 pedido
21/11 pendiente de llegar piezas
5/12 van el martes a arreglarlo
20/12 hecho</t>
  </si>
  <si>
    <t>Solicitamos venga a arreglar la cajonera que adjuntamos en foto. Gracias.</t>
  </si>
  <si>
    <t>1362090</t>
  </si>
  <si>
    <t>GOTERAS EN LAS DOS PLANTAS QUE AFECTAN A LOS REPETIDORES DE LA RED WIFI, NO PODEMOS CONECTARNOS A LA RED WIFI. SOLICITAMOS URGENTEMENTE QUE VENGAN A REPARAR LAS GOTERAS Y LOS REPETIDOORES QUE ALIMENTAN LA RED WIFI DE LA OFICIA. SUPER URGENTE</t>
  </si>
  <si>
    <t>1368627</t>
  </si>
  <si>
    <t>8/11 pendiente de aceptación del presupuesto
21/11 siguen pendientes arreglo suelo terraza
5/12 Carlos lo ha aprobado, hay que ponerlo en marcha
20/12 pendiente confirmar fecha trabajos
23/01 debería de estar hecho</t>
  </si>
  <si>
    <t>Retirada de la fachada de la oficina un gancho para atar perros de los clientes. se encuentra atornillado a la fachada</t>
  </si>
  <si>
    <t>1371293</t>
  </si>
  <si>
    <t xml:space="preserve">8/11 hecho
21/11 volver a preguntar porque está sellado como hecho el 26 de octubre </t>
  </si>
  <si>
    <t>10/11 desde la oficina me dicen que aun no se ha realizado</t>
  </si>
  <si>
    <t>El marco de entrada de la puerta del baño de clientes tiene humedades negras, y la pintura se ha saltado</t>
  </si>
  <si>
    <t>1371295</t>
  </si>
  <si>
    <t>8/11 no lo han hecho, plnificando
21/11 programado para hoy o mañana
5/12 pendiente
5/12 hecho</t>
  </si>
  <si>
    <t>MONTAR UNA BALDA EN UN ARMARIO - SOLICITADO POR CRISTINA TAPIA</t>
  </si>
  <si>
    <t>1374019</t>
  </si>
  <si>
    <t>8/11 pendientes de respuesta
21/11 pendiente respuesta
5/12 hecho</t>
  </si>
  <si>
    <t>GRIFO DEL CUARTO DE BAÑO SE MUEVE - SOLICITADO POR CRISTINA TAPIA</t>
  </si>
  <si>
    <t>1374036</t>
  </si>
  <si>
    <t>Humedades en la planta alta debido a un problema de aguas del vecino del 3Z del edificio</t>
  </si>
  <si>
    <t>1373781</t>
  </si>
  <si>
    <t>8/11 pendientes de confirmación
21/11 sigue en pendiente
5/12 en hold
10/1 pasado presupuesto
23/01 hay que hacer obras por tanto se ocupa carlos</t>
  </si>
  <si>
    <t>SPLIT A/C PRIMERA PLANTA ESTA SOLTANDO AGUA</t>
  </si>
  <si>
    <t>1375831</t>
  </si>
  <si>
    <t>CLIENTE ROMPE CERRADURA DE LA PUERTA DE ENTRADA, NECESITAMOS SERVICIO DE LA EMPRESA ESPECIALIZADA PARA ARREGLARLO, Y NECESITAMOS UNA VALORACION PARA PRESENTAR LA DENUNCIA EN LA POLICIA.</t>
  </si>
  <si>
    <t>1377908</t>
  </si>
  <si>
    <t>8/11 cerradura pedida
21/11 sigue en pendiente
5/12 cambiada cerradura, trasladado a securitas para configuración</t>
  </si>
  <si>
    <t>8 BOMBILLAS FUNDIDAS EN OFICINA</t>
  </si>
  <si>
    <t>1384888</t>
  </si>
  <si>
    <t>SUSTITUCION FILTRINA EQUIPOS A/A</t>
  </si>
  <si>
    <t>1384942</t>
  </si>
  <si>
    <t>MANECILLA DE LA PUERTA SUELTO</t>
  </si>
  <si>
    <t>1384707</t>
  </si>
  <si>
    <t>8/11 pendientes de confirmación
21/11 sigue en pendiente
5/12 hecho</t>
  </si>
  <si>
    <t>Buenos dias, solciitamos eliminar el enganche de animales que tenemos en la puerta de la oficina. YA no es necesario</t>
  </si>
  <si>
    <t>1386871</t>
  </si>
  <si>
    <t>8/11 pendientes de confirmación
21/11 hecho</t>
  </si>
  <si>
    <t>necesitamos arreglar el pomo/picaporte de la puerta, los clavos se han desenganchado y el picaporte se ha caído, necesitamos que traigáis un tubito cuadrado rectangular de los que unen los dos picaportes interior y exterior.</t>
  </si>
  <si>
    <t>1392672</t>
  </si>
  <si>
    <t>8/11 pendiente de que vayan
21/11 hecho</t>
  </si>
  <si>
    <t>La puerta de la entrada tiene el muelle flojo de manera que cuando entra un cliente y la abre la puerta no vuelve a cerrarse sola. El movimiento de cerrarse sola, no lo hace con la suficiente fuerza como para quedarse cerrada completamente.</t>
  </si>
  <si>
    <t>1389783</t>
  </si>
  <si>
    <t xml:space="preserve">8/11 pendiente
21/ 11 hecho
</t>
  </si>
  <si>
    <t>LA PUERTA DEL VESTUARIO FEMININO NO SE CIERRA BIEN</t>
  </si>
  <si>
    <t>1394453</t>
  </si>
  <si>
    <t>8/11 tienen que volver
21/11 pendiente 
20/12 solictado accesos para hoy para el cerrajero
23/01 hecho</t>
  </si>
  <si>
    <t>LA PUERTA DE LA ENTRADA DA UNO GOLPES MUY FUERTES CUANDO SE CIERRA</t>
  </si>
  <si>
    <t>La manilla/pomo del vestuario de mujeres está suelta, por favor, podéis enviar técnico para solucionarlo?
No sé si puedo aprovechar el parte, necesitamos también que instalen una balda en un armario, es simple, le falta una pieza metálica de soporte.</t>
  </si>
  <si>
    <t>1401284</t>
  </si>
  <si>
    <t>La puerta de acceso al baño de empleados está rota, no es posible acceder URGENTE</t>
  </si>
  <si>
    <t>1406355</t>
  </si>
  <si>
    <t>Como no se encienden en el horario establecido, revisar el horario de Verano a Invierno.
Identificar 3 TV y la línea eléctrica. Después hay que conectarlas a circuito 24 h de TV como el resto y después alguien configurar la TV si es necesario.</t>
  </si>
  <si>
    <t>1406606</t>
  </si>
  <si>
    <t>21/11 fueron en dos ocasiones, no es un problema tecnico que ellos puedan solucionar (no se tendrían que ocupar ellos)
5/12 se está gestionando porque no es un tema de corriente, preguntar</t>
  </si>
  <si>
    <t>7/12 tiene que ir un tecnico a mirar las TVS
10/1 pasado a helpdesk</t>
  </si>
  <si>
    <t>Tenemos rota y  desajustada la ruleta del encendido  luz interior de la oficina y cambio a  modo nocturno de luz naranja.</t>
  </si>
  <si>
    <t>1410715</t>
  </si>
  <si>
    <t>21/11 pendiente 
20/12 reclamado
10/1 hecho</t>
  </si>
  <si>
    <t>BAÑO DE LA PLANTA BAJA ATASCADO</t>
  </si>
  <si>
    <t>1422605</t>
  </si>
  <si>
    <t>21/11 sigue en pendiente
5/12 hecho</t>
  </si>
  <si>
    <t>Necesito quitar la placa para sujetar los perros que tenemos en la puerta de la oficina de Salamanca</t>
  </si>
  <si>
    <t>1422746</t>
  </si>
  <si>
    <t xml:space="preserve">21/11 no está confirmado aún
20/12 falta por conrimar y el parte, reclamado
10/1 hecho
</t>
  </si>
  <si>
    <t>Cambiar el sistema de climatización a Calor, modificar el estado de las máquinas</t>
  </si>
  <si>
    <t>1422765</t>
  </si>
  <si>
    <t>21/ 11 hecho</t>
  </si>
  <si>
    <t>Buenos días, solicitamos que se revise la cisterna del baño, ya que hemos recibido la visita del técnico del agua indicando que tenemos una fuga. Ya que se ha desbocado el consumo del agua en los dos últimos meses. Muchas gracias</t>
  </si>
  <si>
    <t>1425344</t>
  </si>
  <si>
    <t>21/11 pendiente confirmacion 
5/12 hecho</t>
  </si>
  <si>
    <t>REVISIÓN Y PUESTA EN FUNCIONAMIENTO DE LOS ROTULOS</t>
  </si>
  <si>
    <t>1427667</t>
  </si>
  <si>
    <t>Se ha roto la cinta que cierra el paso a planta -1</t>
  </si>
  <si>
    <t>1434058</t>
  </si>
  <si>
    <t>5/12 hecho</t>
  </si>
  <si>
    <t>Hola, el sofá de la planta cero se ha soltado en varios sitios y la puerta exterior no cierra bien debido al cambio de tiempo al que ajustas bisagras. Gracias</t>
  </si>
  <si>
    <t>1433708</t>
  </si>
  <si>
    <t>5/12 pendiente
20/12 abierta de nuevo por separado</t>
  </si>
  <si>
    <t>•	Incidencia para desatascar tubería de drenaje de la máquina del clima, cuarto RAC, cuadro eléctrico.</t>
  </si>
  <si>
    <t>1435994</t>
  </si>
  <si>
    <t>•	Incidencia para cambiar luz indirecta de mostrador de pantallas.</t>
  </si>
  <si>
    <t>1435995</t>
  </si>
  <si>
    <t>5/12 no hay respuesta de momento (pregunto)</t>
  </si>
  <si>
    <t>Hemos descubierto una filtración de agua en el cuarto del ascensor y está encharcado, huele mucho y sigue saliendo un goteo constante. Adjunto fotos de una pared también.</t>
  </si>
  <si>
    <t>1439113</t>
  </si>
  <si>
    <t>5/12 pertenece a la comunidad</t>
  </si>
  <si>
    <t>NECESITAMOS QUE VENGAN BORRAR LA PINTADA QUE TENEMOS EN LA FACHADA DE LA OFICINA</t>
  </si>
  <si>
    <t>1439246</t>
  </si>
  <si>
    <t xml:space="preserve">5/12 pendiente
</t>
  </si>
  <si>
    <t>Necesitamos que se ponga refuerzo en las 3 baldas del cuarto de limpieza, están arqueándose en el centro por el peso.</t>
  </si>
  <si>
    <t>1452175</t>
  </si>
  <si>
    <t>Solicitamos cambio de tipo de grifo, está suelto y se mueve, es recurrente en este grifo, hemos pedido autorización a servicios generales y solicitamos que se cambie por uno mono mando para poder controlar el gasto de agua,</t>
  </si>
  <si>
    <t>1452191</t>
  </si>
  <si>
    <t>5/12 spedido grifo
23/01 hecho</t>
  </si>
  <si>
    <t>Hay una tapa en los puestos de autoservicio, que cubre el hueco de los antiguos teléfonos llena de pegamento, por favor eliminar los restos de dicho pegamento</t>
  </si>
  <si>
    <t>1452192</t>
  </si>
  <si>
    <t>HAY UN CONDUCTO DE AIRE QUE ESTÁ SUELTO EN EL TECHO DE LA SALA DE REUNIONES</t>
  </si>
  <si>
    <t>1452208</t>
  </si>
  <si>
    <t>La cadena de unos de los wc's de la planta -1 de hombres se queda encallada perdiendo agua</t>
  </si>
  <si>
    <t>1452390</t>
  </si>
  <si>
    <t>5/12 encargada las piezas
20/12 hecho</t>
  </si>
  <si>
    <t>O´Donnell quitar las mamparas de metacrilato  3 en los PADS Sin retirar y 3 laterales podías reclamarlo para ver que ha ocurrido y conocer el motivo por el que no se pudieron completar los trabajos de retirada. Facturar a PRL según SSGG</t>
  </si>
  <si>
    <t>1457594</t>
  </si>
  <si>
    <t>05/12 pendiente
23/01 hecho</t>
  </si>
  <si>
    <t>NO FUNCIONAN LOS ROTULOS DE ILUMINACION</t>
  </si>
  <si>
    <t>1457715</t>
  </si>
  <si>
    <t>5/12 pendiente
10/1 hecho
23/01 pendiente de cambiar la pantalla</t>
  </si>
  <si>
    <t xml:space="preserve">10/1 me dice el cordi que aún no lo han hecho
6/2 puede que hasta abril no se cambien
</t>
  </si>
  <si>
    <t>EMBELLECEDOR PLANTA ALTA</t>
  </si>
  <si>
    <t>1457735</t>
  </si>
  <si>
    <t>5/12 pendiente
10/1 hasta que no esté pintado no se pondrá el embellecedor</t>
  </si>
  <si>
    <t>LA LUZ DEL CUARTO DEL CAJERO ESTÁ FUNDIDA, NECESITAMOS EL CAMBIO</t>
  </si>
  <si>
    <t>5/12 todavia sin parte
20/12 pendiente
10/1 hecho</t>
  </si>
  <si>
    <t>LOS ELEMENTOS COLOCADOS EN LOS WATER PARA SUMINISTRAR LIQUIDO DE LIMPIEZA DE LA OFICINA SE ENCUENTRAN VACIOS Y PITAN CONTINUAMENTE. REVISAR POR SI HAY QUE RELLENARLOS</t>
  </si>
  <si>
    <t>1468819</t>
  </si>
  <si>
    <t>20/12 pendiente confirmar fecha
23/01 hecho
8/5 hecho</t>
  </si>
  <si>
    <t>6/2 se siguen vaciando muy rapido</t>
  </si>
  <si>
    <t>TENEMOS UNA LUZ DE LA PARTE SUPERIOR DEL PATIO EN LAS MESAS LATERALES FUNDIDO ADEMAS DE ALGUNA EN LOS BAÑOS PRIVADOS</t>
  </si>
  <si>
    <t>1468830</t>
  </si>
  <si>
    <t>20/12 reclamado material
10/1 hecho</t>
  </si>
  <si>
    <t>Buenas, tenemos de nuevo una pintada exterior, adjuntamos foto. Solicitamos que vuelvan de nuevo a limpiarla. Gracias.</t>
  </si>
  <si>
    <t>1466452</t>
  </si>
  <si>
    <t>20/12 pendiente
10/1 hecho</t>
  </si>
  <si>
    <t>Tenemos un lavabo que pierde agua</t>
  </si>
  <si>
    <t>1477423</t>
  </si>
  <si>
    <t>20/12 reclamado
10/1  pendiente
6/2 hecho</t>
  </si>
  <si>
    <t>SUSTITUCION TIRAS LED - PLANTA ALTA</t>
  </si>
  <si>
    <t>1472553</t>
  </si>
  <si>
    <t>20/12 pendiente si han recibido el material
23/01 van mañana
6/2 pendiente
5/3 pendiente de confirmar
18/3/2024 hecho</t>
  </si>
  <si>
    <t>Buenos días, no tenemos luz en parte de la planta 1, ni 2 después de las obras. Gracias</t>
  </si>
  <si>
    <t>1472721</t>
  </si>
  <si>
    <t>20/12 pendiente
23/01 hecho</t>
  </si>
  <si>
    <t>Hola, la puerta exterior no cierra bien y se queda abierta por dilatación. Gracias</t>
  </si>
  <si>
    <t>1472722</t>
  </si>
  <si>
    <t>Hola, tenemos varios focos pequeños del baño de planta cero fundidos y 1 roto.Gracias</t>
  </si>
  <si>
    <t>1472723</t>
  </si>
  <si>
    <t>20/12 pendiente confirmacion 
23/01 hecho</t>
  </si>
  <si>
    <t>Hola, hay que ajustar clavos del sofá ya que se suelta parte del respaldo. Gracias</t>
  </si>
  <si>
    <t>1472733</t>
  </si>
  <si>
    <t>20/12 pendiente</t>
  </si>
  <si>
    <t>No funciona uno de los foco de la cocina</t>
  </si>
  <si>
    <t>1481965</t>
  </si>
  <si>
    <t>La puerta de la salita/despacho sigue descolgada, tenían pendiente hacer un arreglo más duradero pero no han venido, por favor pasar aviso. Gracias.</t>
  </si>
  <si>
    <t>1481967</t>
  </si>
  <si>
    <t>20/12 pendiente confirmacion tecnicos 
23/01 pendiente
6/2 pendiente, pasado presupuesto
5/3 hecho, falta pintar el techo
18/3 hecho</t>
  </si>
  <si>
    <t>tenemos dos maquinas Higienizantes que desprenden ambientador al tirar de la cisterna (adjunto imagenes) y uno de ellos se ha desprendido es para que avisen a la empresa que lo gestiona que vengan a colocarlo e instalarlo nuevamente</t>
  </si>
  <si>
    <t>1484690</t>
  </si>
  <si>
    <t>20/12 programado
23/01 hecho</t>
  </si>
  <si>
    <t>Tras la visita de tecnico nos indican que el cableado del PC de turnos de la Oficina de ODonnell esta muy deteriorado solicitamos que acuda un electricista a revisarlo y sustituirlo. Muchas gracias</t>
  </si>
  <si>
    <t>1486869</t>
  </si>
  <si>
    <t>20/12 reclamado
23/01 hecho</t>
  </si>
  <si>
    <t>Buenas, desde el mantenimiento las luces del pasillo para los baños y las que estan encima de la sala de espera de clientes NO FUNICONAN...hemos ido al cuadro de luces y está todo subiido..Gracias</t>
  </si>
  <si>
    <t>1487302</t>
  </si>
  <si>
    <t>20/12 reclamado
10/1 hecho</t>
  </si>
  <si>
    <t>SOLICITAMO REEMPLAZO DE LAMPARAS FUNDIDAS</t>
  </si>
  <si>
    <t>1489095</t>
  </si>
  <si>
    <t>SOLCIITAMOS PEGAR ESTRUCTURA DE LOS BACKLIGHT</t>
  </si>
  <si>
    <t>1489102</t>
  </si>
  <si>
    <t>20/12 hecho</t>
  </si>
  <si>
    <t>SOLICITAMOS REEMPLAZO TAPA WC</t>
  </si>
  <si>
    <t>1489103</t>
  </si>
  <si>
    <t>Ayer por la tarde hubo un corte de luz general en la calle de la oficina y no hemos conseguido recuperar ordenadores de la planta 0 de Recepcion, en concreto los nuevos kioskos que no instalaron, gracias</t>
  </si>
  <si>
    <t>1491675</t>
  </si>
  <si>
    <t>20/12 reclamado. Inspeccion favorable falta que nos mande el tecnico parte
10/1 hecho</t>
  </si>
  <si>
    <t>Buenos días!
En la oficina de Gijón hay un cable de red de uno de los kioscos que no está funcionando correctamente. Uno de los técnicos realizó ya la prueba con un tester y el cable esta mal. Podéis cambiarlo? El cable debería estar ya identificado.</t>
  </si>
  <si>
    <t>1491302</t>
  </si>
  <si>
    <t>Hola, tenemos una lámpara en la planta alta de las que hay en las mesas de gestor que no funciona, adjunto foto. Gracias.</t>
  </si>
  <si>
    <t>1497574</t>
  </si>
  <si>
    <t>10/1 hecho</t>
  </si>
  <si>
    <t>No nos funciona el hilo musical. Hemos probado a resetear, desenchufar, esperar y volver a enchufar y nada, no funciona. Necesitamos un técnico. Gracias.</t>
  </si>
  <si>
    <t>1498117</t>
  </si>
  <si>
    <t>Se pone en contacto con nosotros el presidente de la comunidad a la que pertenece la oficina para comentarnos que el aire acondicionado está funcionando toda la noche y los fines de semana molestando el ruido a los vecinos, necesitamos que manden tecnico.</t>
  </si>
  <si>
    <t>1497491</t>
  </si>
  <si>
    <t>Tenemos una puerta del pasillo con la maneta suelta</t>
  </si>
  <si>
    <t>1500851</t>
  </si>
  <si>
    <t>10/01 pendiente
6/2 hecho</t>
  </si>
  <si>
    <t>.LA ILUMINACION DE LA FACHADA Y DOS PUESTOS DE LA CRISTALERA ESTAN FUNDIDOS</t>
  </si>
  <si>
    <t>1500796</t>
  </si>
  <si>
    <t>10/01 preguntar si es el mismo que el anterior</t>
  </si>
  <si>
    <t>.IMPOSIBILIDAD DE ABRIR UN ARMARIO DE LA SALA DE REUNIONES</t>
  </si>
  <si>
    <t>1500801</t>
  </si>
  <si>
    <t>Adjunto fotos de una puerta de uno de los muebles de PAD de ODONNELL q se ha descolgado para que acudan a poner nuevamente la puerta</t>
  </si>
  <si>
    <t>1505383</t>
  </si>
  <si>
    <t>NECESITAMOS REEMPLAZO DE VARIAS LUCES QUE SE HAN FUNDIDO: CUARTO DE LIMPEZA, LAMPARA ENCIMA DE ESCALERAS Y LUCES NOCTURNAS.</t>
  </si>
  <si>
    <t>10/01 pendiente de visita
23/01 se han remplazado algunas, pero faltan las luces nocturnas que ya se ha pedido presupuesto de luces led
6/2 reclamado presupuesto
5/3 pendiente
8/3 FALTA CAMBIAR LUCES NOCTURNOS, PROYECTO PARA CAMBIAR TUBOS FLUORESCENTES POR TIRAS LED 
4/4 pendiente en hold
17/5 pendiente hold
23/05 sigue hold
30/05 sigue hold
06/06 sigue hold
13/06 sigue hold</t>
  </si>
  <si>
    <t>En la oficina no hace calor, teniendo el termostato de la oficina a 29 grados la temperatura no sube. En otras ocasiones hay que limpiar filtros de captación de aire que están colmatados y no permiten captar caudal de aire. Venir preparados para limpieza</t>
  </si>
  <si>
    <t>1517322</t>
  </si>
  <si>
    <t>10/1 pendiente
23/01 pendiente
6/2 hecho</t>
  </si>
  <si>
    <t>7/2 no lo han hecho, recomiendo que se limpie muy bien ahora y en primavera, lo repasen</t>
  </si>
  <si>
    <t>BUENAS TARDES. SE HA ROTO LA CISTERNA DE UNO DE LOS BAÑOS DE LA OFICINA. ES MUY URGENTE. NO PODEMOS USAR ESE BAÑO Y EL OTRO LO USAN LOS CLIENTES.</t>
  </si>
  <si>
    <t>1518253</t>
  </si>
  <si>
    <t>10/1 pendiente
23/01 hecho</t>
  </si>
  <si>
    <t>Necesitamos arreglar cerradura baño empleados ya que se ha roto y no cierra la puerta. Necesitaría instalación nueva</t>
  </si>
  <si>
    <t>1521604</t>
  </si>
  <si>
    <t>REVISAR GRIFO FUERA DE SERVICIO</t>
  </si>
  <si>
    <t>1541995</t>
  </si>
  <si>
    <t>23/01 pendiente
6/2 reclamado</t>
  </si>
  <si>
    <t>LA PERSIANA DE UNA DE LAS VENTANAS DE LA PLANTA SUPERIOR DE LA OFICINA DE PASEO DE LAS ACACIAS 6 ESTÁ ROTA, NO LA PODEMOS BAJAR</t>
  </si>
  <si>
    <t>1542241</t>
  </si>
  <si>
    <t>23/01 pendiente
6/2 sigue pendiente, porque hay que cambiarla
5/3 hecho</t>
  </si>
  <si>
    <t>TENEMOS QUE REVISAR AIRE Y CONDUCTOS YA QUE TENEMOS MUCHOS INSECTOS EN LA OFICINA</t>
  </si>
  <si>
    <t>1541915</t>
  </si>
  <si>
    <t>23/01 pendiente
6/2 no encontraron nada, preguntar</t>
  </si>
  <si>
    <t>Necesitamos cambiar plastico que va por fuera de los backlight ya que tenemos 4 despegados</t>
  </si>
  <si>
    <t>tenemos una mesa de atencion al publico que se mueve y está a punto de partirse, la han arreglado varias veces pero está otra vez igual, necesitariamos buscar una solución como le dieron a otra mesa que nos pasaba lo mismo y mandaron a un carpintero.</t>
  </si>
  <si>
    <t>1540533</t>
  </si>
  <si>
    <t>23/01 hecho</t>
  </si>
  <si>
    <t>EL LAVABO DEL BAÑO DE CLIENTES PIERDE AGUA, NO SE PUEDE UTILIZAR PORQUE TIENE UNA FUGA</t>
  </si>
  <si>
    <t>1542518</t>
  </si>
  <si>
    <t>LAS LUCES DEL EXTERIOR ESTÁN FUNDIDAS</t>
  </si>
  <si>
    <t>1544510</t>
  </si>
  <si>
    <t>23/01 pendiente
6/2 hecho</t>
  </si>
  <si>
    <t>No se puede cerrar el armario de recepción porque se ha roto el muelle.</t>
  </si>
  <si>
    <t>1545782</t>
  </si>
  <si>
    <t>Una de las bombas de los pozos de la -1 está averiada, me lo ha dicho el técnico</t>
  </si>
  <si>
    <t>1546311</t>
  </si>
  <si>
    <t>23/01 pendiente de que mañana vayan a verlo 
6/2 pendiente
5/3 aprobado presupuesto, pendiente
4/4 pendiente
22/4 hecho</t>
  </si>
  <si>
    <t>Uno de los aparatos para desinfectar el urinario se ha soltado de la pared y está colgando, es una especie de depósito con algun químico conectado por un tubo al urinario. Ese depósito estaba fijado a la pared se ha descolgado quedando suelto</t>
  </si>
  <si>
    <t>1548568</t>
  </si>
  <si>
    <t xml:space="preserve">23/01 hecho
4/6 pendiente de ir
8/7 hecho
</t>
  </si>
  <si>
    <t>7/2 no está resuelto, el aparato se ha acabado cayendo al suelo
29/4 sigue sin resolverse</t>
  </si>
  <si>
    <t>Hola, ayer nos colocaron una cristalera en la escalera y necesitamos que por favor nos lo limpien los cristaleros. Gracias</t>
  </si>
  <si>
    <t>1548643</t>
  </si>
  <si>
    <t>Hola, el sofá de la planta cero vuelve a soltarse el respaldo que nos repararon hace unos días. Gracias</t>
  </si>
  <si>
    <t>1548644</t>
  </si>
  <si>
    <t xml:space="preserve">23/01 van mañana
6/2 </t>
  </si>
  <si>
    <t>SE HA FUNDIDO LA LUZ DEL VESTUARIO FEMENINO</t>
  </si>
  <si>
    <t>1556159</t>
  </si>
  <si>
    <t>23/01 pendiente que lo hagan mañana
6/2 pendiente</t>
  </si>
  <si>
    <t>haciendo el mantenimiento de la oficina por parte de cbre, al apretar unos tornillos el lavabo se ha venido abajo Desde cbre me solicitan abrir ticket para resolverlo. Necesitamos volver a anclar el lavabo a la pared.</t>
  </si>
  <si>
    <t>1560824</t>
  </si>
  <si>
    <t>A coruña</t>
  </si>
  <si>
    <t>MOVIMIENTO MOBILIARIO
RETIRAR SOFA AZUL Y SUBIRLO A LA PLANTA 1 (ZONA SIN USO, DETRAS DE LAS MAMPARAS) Y QUE QUEDE MONTADO. SUBIR NUEVOS SOFAS (PUFs) QUE ESTAN EN EL SOTANO Y COLOCARLOS EN LA PLANTA BAJA</t>
  </si>
  <si>
    <t>1558543</t>
  </si>
  <si>
    <t>23/01/2024 hoy lo hacen
06/02 hecho</t>
  </si>
  <si>
    <t>necesitamos sustituir el muelle de la puerta de entrada. Se ha revisado y esta roto, haciendo que la puerta de portazos y haga  mucho ruido.</t>
  </si>
  <si>
    <t>1563284</t>
  </si>
  <si>
    <t>23/01 pendiente
5/3 hecho</t>
  </si>
  <si>
    <t>Ordenar y agrupar los cables de la mesa de recepción</t>
  </si>
  <si>
    <t>1565298</t>
  </si>
  <si>
    <t>6/2 hecho</t>
  </si>
  <si>
    <t>AIRE ACONDICIONADO CON GOTERAS, CHARCOS DE AGUA EN ZONA RACK DONDE SE ENCUENTRAN SISTEMAS ELECTRICOS DE LA OFICINA.</t>
  </si>
  <si>
    <t>1565831</t>
  </si>
  <si>
    <t>A</t>
  </si>
  <si>
    <t>Buenos días. Hay varias bombillas fundidas en la zona de clientes y también dos en el vestuario de empleados femenino. Esperamos vengan a reponer. Gracias.</t>
  </si>
  <si>
    <t>1573290</t>
  </si>
  <si>
    <t>6/2 planificado para esta semana 
5/3 pendiente
8/3 PROYECTO IMPLEMENTACION CAMBIO LUMINARIAS EN SUCURSALES -  LUMINARIAS DESCATALOGADAS
4/4 en hold, 13/05 hold
23/05 sigue hold
30/05 sigue hold
06/06 sigue hold
13/06 sigue hold</t>
  </si>
  <si>
    <t>se han fundido todas las bombillas que alumbran el cuartito interior de los cajeros. NO hay luz dentro del recinto de los cajeros. Necesitamos reponer las bombillas</t>
  </si>
  <si>
    <t>1583285</t>
  </si>
  <si>
    <t>El problema de luces que se reparo hace unos dias vuelve a fallar. No tenemos luz sobre uno de los cajeros y el embellecedor de la pared se ha vuelto a caer.</t>
  </si>
  <si>
    <t>1581451</t>
  </si>
  <si>
    <t xml:space="preserve">6/02 han ido los tecnicos sigue en pendiente de llamar cuando falle (preguntar a Leire)
8/3 hecho
</t>
  </si>
  <si>
    <t>4/3 hablado con Leire que vayan al medio día los tecnicos entre las 14 y las 16. ya que tienen que apagar tod la ofi</t>
  </si>
  <si>
    <t>Puerta del baño de empleados averiada, se queda cerrada y no es posible abrir desde dentro. Cierre estropeado 
ING CORDOBA</t>
  </si>
  <si>
    <t>1591578</t>
  </si>
  <si>
    <t>Llevamos 3 días seguidos que salta un diferencial por la noche en el cuadro de luces y al llegar a la Ofi tenemos que reiniciar varios sistemas que aparecen caídos y algunos recuperan y otros no. Perdemos kiosko, atender, a/a, cajeros e internet. BILBAO</t>
  </si>
  <si>
    <t>1591636</t>
  </si>
  <si>
    <t>6/02 han ido los tecnicos, sigue en pendiente de llamar cuando fall
8/3 hecho</t>
  </si>
  <si>
    <t>Buenos días, tenemos una fuga en una llave de paso de la oficina, solicitamos revision</t>
  </si>
  <si>
    <t>1595164</t>
  </si>
  <si>
    <t>Fluorescente parpadeando en cocina (planta -1)</t>
  </si>
  <si>
    <t>1596994</t>
  </si>
  <si>
    <t>6/2 pendiente
5/3 hecho</t>
  </si>
  <si>
    <t>La puerta no cierra debido al viento extremo de la oficina en el dia de hoy, se ha descolgado la puerta y choca el bastidor.</t>
  </si>
  <si>
    <t xml:space="preserve">Hay varias luminarias fundidas en la planta baja de la oficina. Sustituir bombillas </t>
  </si>
  <si>
    <t>22/4 pendiente</t>
  </si>
  <si>
    <t>Buenos días, hace unas semanas nos arreglaron la puerta de entrada, estaba caída, desde ese día la puerta no cierra bien y cuando cierra queda holgura. ING SANTANDER</t>
  </si>
  <si>
    <t>1596741</t>
  </si>
  <si>
    <t>6/2 pendiente
5/3 pendiente
4/4 pendiente, reclamado
29/4 hecho</t>
  </si>
  <si>
    <t>Al día siguiente de arreglarnos el sofa de la planta cero, se suelta de nuevo un tornillo del respaldo</t>
  </si>
  <si>
    <t>5/3 hecho</t>
  </si>
  <si>
    <t>En la fachada ext. de la oficina se posan las palomas y generan suciedad en el suelo, en los salientes donde se posan y en las cámara de seguridad. Se puede valorar colocar algún sistema que impida que se posen para evitar las consecuencias?</t>
  </si>
  <si>
    <t>5/03 pendiente, pasado a Carlos presupuesto
18/3 hecho</t>
  </si>
  <si>
    <t>Tenemos dos luces de la planta 1 fundidas, necesitamos que sean por favor con luz cálida</t>
  </si>
  <si>
    <t>1600275</t>
  </si>
  <si>
    <t xml:space="preserve">Limpieza repisa escaleras entre planta 0 y planta 1 </t>
  </si>
  <si>
    <t>1610039</t>
  </si>
  <si>
    <t>05/03 hecho</t>
  </si>
  <si>
    <t>Mando a distancia que baja las persianas de la oficina está estropeado. Revisar y cambiar. Urgente porque impide el correcto funcionamiento de las persianas que mitigan la entrada del sol</t>
  </si>
  <si>
    <t>5/3 mandado presupuesto a Carlos
4/4 hecho</t>
  </si>
  <si>
    <t>Montar mueble para piloto Advice Lab en oficina</t>
  </si>
  <si>
    <t>22/3 hecho</t>
  </si>
  <si>
    <t>La sala de reuniones vuelve a oler mal. La obra del A/A no ha solucionado el problema</t>
  </si>
  <si>
    <t>Gotera en el sótano</t>
  </si>
  <si>
    <t xml:space="preserve">5/3 pendiente
22/4 hecho
</t>
  </si>
  <si>
    <t>Hola, necesitamos que se cambie una cerradura de una taquilla del vestuario porque hemos perdido la llave. Gracias</t>
  </si>
  <si>
    <t xml:space="preserve">Luz fundida en planta 1, por favor luz cálida </t>
  </si>
  <si>
    <t>5/3 pendiente
18/3 hecho</t>
  </si>
  <si>
    <t>La puerta de acceso a la oficina no hace contacto para que se cierre en automático. Si queremos que se cierre tenemos que poner la llave porque no hace contacto en automático lo que dificulta la hora de cierre al medio día y por la tarde. Cambio de Muelle.</t>
  </si>
  <si>
    <t>5/3 hecho, pedido prespuesto para cambiarlo
8/3 HECHO - FALTA RECIBIR PRESUPUESTO PARA CAMBIAR 
EL MUELLE QUE ES ANTIGUO Y ESTÁ EMPEZANDO A FALLAR.
8/5 en hold
8/5 pasado a seguridad mando watchimochi
27/5 solucionado</t>
  </si>
  <si>
    <t>URGENTE PERDIDA DE AGUA POR UN PLAFON Y PRODUCE CORTO MITAD DE OFICINA A OSCURAS- Tenemos la mitad de la oficina sin luz porque esta haciendo corto por una pérdida de agua</t>
  </si>
  <si>
    <t>5/3 atendida, problema con el vecino de arriba
8/3 en hold</t>
  </si>
  <si>
    <t>SUMINISTRO Y SUSTITUCION DE 4 LUCES EMERGENCIA (ZONA OFFICE, PLTA 1ª EN ZONAS ACCESO ASCENSOR Y CUARTO DE MÁQUINAS)</t>
  </si>
  <si>
    <t>SUMINISTRO Y SUSTITUCION DE 7 LUCES DE EMERGENCIA Y REVISAR PUNTO DE LUZ AVERIADO  (PANTALLA SIN SERVICIO)</t>
  </si>
  <si>
    <t>UNO DE LOS ROTULOS NO TIENE LUZ-NOS COMENTAN QUE ES POR EL CABLE DE ELECTRICIDAD</t>
  </si>
  <si>
    <t>17/5 pendiente
4/6 hold</t>
  </si>
  <si>
    <t>Mal olor en la oficina</t>
  </si>
  <si>
    <t>5/3 ha ido mantenimiento y no ha visto nada</t>
  </si>
  <si>
    <t>Necesitamos se repare el cajón del cual adjunto foto.</t>
  </si>
  <si>
    <t>5/3 pendiente
18/3 hecho
4/4 hecho</t>
  </si>
  <si>
    <t>26/3 sigue en pendiente
16/4 siguen sin reparar cajón de la planta alta</t>
  </si>
  <si>
    <t>El cableado no se encuentra recogido ni embridado, el cable principal de conexión al PC no es demasiado largo. Es en los puestos de atención al clientes</t>
  </si>
  <si>
    <t xml:space="preserve">5/3 pendiente
4/4 reclamado
</t>
  </si>
  <si>
    <t>Reposición de las siguientes luces: 1 fluorescente 36W 840, 6 PLC 26W 4 PIN 840. Además necesitamos realizar la instalación de un down light, en el vestuario masculino, que no tiene instalación hecha, para lo que es necesario: 3m de cable 3x1,5.</t>
  </si>
  <si>
    <t>5/3 pendiente 
4/4 hecho</t>
  </si>
  <si>
    <t>Necesitamos cambiar un ojo de buey en baño adaptado- El ojo de buey es de los pequeños.</t>
  </si>
  <si>
    <t>05/03 pendiente
4/4 hecho</t>
  </si>
  <si>
    <t xml:space="preserve">El botón de salida de la puerta principal no funciona, no abre la puerta </t>
  </si>
  <si>
    <t>5/3 programado
18/3 hecho</t>
  </si>
  <si>
    <t>NO HA ACUDIDO NADIE A HACER LA LIMPIEZA-La persona de la limpieza ya nos dijo que no vendría a partir de Marzo (a pesar de que nosotros estamos encantados con ella) que la empresa solo le cotizaba por 30 horas y hoy ya no nos han enviado a nadie</t>
  </si>
  <si>
    <t>18/3 hecho</t>
  </si>
  <si>
    <t>después de un acto vandálico, necesitamos que vengan a desarmar los 2 puestos PADS que ha roto un cliente</t>
  </si>
  <si>
    <t>RETIRAMOS CINTA DE CARROCERO QUE HABÍA QUEDADO EN LA PARTE SUPERIOR DEL ESCAPARATE PRINCIPAL DE LA OFICINA Y QUEDA PINTURA QUE DEBERÍAMOS RETIRAR CON ALGÚN PRODUCTO ESPECÍFICO PARA ELLO</t>
  </si>
  <si>
    <t>04/04 pendiente
22/4 pendiente
7/5 hecho</t>
  </si>
  <si>
    <t xml:space="preserve">REVISAR ROTULOS DE LA PRIMERA PLANTA - NO DEJAN DE PARPADEAR </t>
  </si>
  <si>
    <t>La silla que se encuentra en el puesto PAD no rueda correctamente</t>
  </si>
  <si>
    <t>4/4 reclamado</t>
  </si>
  <si>
    <t xml:space="preserve">SALVAESCALERAS ESTROPEADA DESDE 20 FEBREO, HAN INTENTADO RPARARLA SIN EXITO.URGENTE, TENEMOS RECLAACIONES DE CLIENTES </t>
  </si>
  <si>
    <t>4/4 pendiente, ya han ido varias veces, pero falla a veces
22/4 hecho</t>
  </si>
  <si>
    <t xml:space="preserve">FOCO QUE SE ENCIENDE Y SE APAGA SOLO - ACUDIR A LA HORA DEL ALMUERZO PARA REALIZAR CORTE DE LUZ </t>
  </si>
  <si>
    <t>4/4 hecho</t>
  </si>
  <si>
    <t>NECESITAMOS QUE VEGAN A INSTALAR EL MOBILIARIO NUEVO DEL PILOTO ASESORAMIENTO INVERSION-SILLAS, MUEBLE PEQUEÑO (TIPO APARADOR), MADRES TIPO BIOMBO SEPARADOR</t>
  </si>
  <si>
    <t>18/03 hecho</t>
  </si>
  <si>
    <t xml:space="preserve">Tenemos el WC de clientes embozado </t>
  </si>
  <si>
    <t>Hola, no tenemos luz en uno de los vestuarios.</t>
  </si>
  <si>
    <t>18/3/24 hecho</t>
  </si>
  <si>
    <t xml:space="preserve">PUERTA PRINCIPAL NO CIERRA - Debido al fuerte viento sufrido en la Isla, la puerta principal de la oficina no cierra correctamente. Podemos revisar con la emnpresa que instalo la puerta Elpegar? </t>
  </si>
  <si>
    <t xml:space="preserve">TENEMOS DOS FOCOS FUNDIDOS EN EL FONDO DE LA OFICINA </t>
  </si>
  <si>
    <t>TENEMOS FUNDIDA PARTE DE LA ILUMINACION EXTERIOR DE LA OFICINA DESDE HACE 1 AÑO- REVISAR LA LUZ DE LOS ROTULOS PUBLICITARIOS EXTERIORES</t>
  </si>
  <si>
    <t>*no está en hold
22/4 pendiente
29/4 hecho</t>
  </si>
  <si>
    <t>Cordoba</t>
  </si>
  <si>
    <t>Puerta baño empleados con maneta rota</t>
  </si>
  <si>
    <t xml:space="preserve">Tenemos un armario con la cerradura rota - Necesitamos por favor una nueva cerradura. </t>
  </si>
  <si>
    <t>Mesa gestor desanclada, con movimiento constante. Retirar mampara covid y reparar mesa</t>
  </si>
  <si>
    <t xml:space="preserve">PUERTA DEL BAÑO ROZA CON EL SUELO-La puerta del Baño de clientes roza con el suelo, y es difícil poder cerrar la misma. Es posible que la puerta esté un poco "descolgada" y por eso roza con el suelo al abrir y cerrar. </t>
  </si>
  <si>
    <t>4/4 pendiente, reclamado
22/4 hecho</t>
  </si>
  <si>
    <t>LA PUERTA CHIRRIA MUY FUERTE - Hace demasiado ruido cuando se cierra automáticamente.</t>
  </si>
  <si>
    <t>4/4 pendiente
22/4 hecho</t>
  </si>
  <si>
    <t xml:space="preserve">LA PESTAÑA QUE ABRE/CIERRA LA PUERTA PRINCIPAL DE ENTRADA SE QUEDA ATASCADA- SE ADJUNTA FOTO </t>
  </si>
  <si>
    <t>Tenemos un cajón, en la planta alta, en la mesa más alejada de la salita de reuniones, que está roto.</t>
  </si>
  <si>
    <t>22/4 pendiente
8/5 hecho</t>
  </si>
  <si>
    <t xml:space="preserve">Hola, nos han colocado filtros de carbono en el aire y para evitar malos olores también unas "gominolas " que deben quitar porque el olor es muy fuerte y marea. </t>
  </si>
  <si>
    <t>PINTADA EN FACHADA</t>
  </si>
  <si>
    <t>Hola, no nos funciona el hilo musical, hemos apagado, esperado y vuelto a encender pero sigue sin funcionar</t>
  </si>
  <si>
    <t>22/3 hecho
4/4 pendiente
22/4 hecho</t>
  </si>
  <si>
    <t>Se ha roto la cerradura del aseo de clientes</t>
  </si>
  <si>
    <t>ATASCO EN EL WATER DEL BAÑO DE MINUSVALIDOS-ESTA MAÑANA HA AMANECIDO LA OFICINA CON UN ATASCO EN EL BAÑO DE MINUSVALIDOS, CON AGUA POR EL SUELO. NECESITAMOS QUE VENGAN A REVISARLO</t>
  </si>
  <si>
    <t>22/4 pendiente
8/5 pendiente de sustitución</t>
  </si>
  <si>
    <t>Asistencia Técnica para subir y bajar cajero automático Planta 1 - 12/04/2024</t>
  </si>
  <si>
    <t>22/4 pendiente
8/5 reprogramado para finales de mayo
4/6 hecho</t>
  </si>
  <si>
    <t>CABLE BACKLIST SUELTO - Tenemos un cable de los Rótulos exteriores sueltos, rogamos servicio para volver a anclarlo correctamente</t>
  </si>
  <si>
    <t>29/4 en hold
17/5 hold</t>
  </si>
  <si>
    <t>Brazo hidráulico puerta principal suelto-En el día de ayer, debido a los fuertes vientos y a los golpes que da la puerta al cerrar se le ha caído un tornillo del brazo hidráulico, por lo tanto está suelto. Ruego revisar, también falta la tapa estética</t>
  </si>
  <si>
    <t>22/4 pendiente
29/4 hecho</t>
  </si>
  <si>
    <t>WC PLANTA BAJA SIN TAPA Y CON PÉRDIDA DE AGUA-El Wc de la planta baja esta perdiendo agua por dentro del inodoro un "hilito" de agua y la tapa se ha roto.</t>
  </si>
  <si>
    <t>22/4 pendiente
29/4 hecho
14/5 vuelve a perder
4/6 hecho</t>
  </si>
  <si>
    <t>ABRAZADERA DEL RAC CON PERDIDA DE AGUA</t>
  </si>
  <si>
    <t>22/4 hecho</t>
  </si>
  <si>
    <t>El suelo nuevo que han puesto, se ha quedado levantado por un lado y es peligroso</t>
  </si>
  <si>
    <t>FILTRACIÓN OFICINA SABADELL</t>
  </si>
  <si>
    <t>22/4 pendiente
8/5 pendiente de ver con el seguro de la comunidad, pendiente de ver con Carlos para registro
4/6 aprobado registro y presupuesto
14/6 pendiente
26/6 pendiente
8/7 pendiente
12/7 pendietne
19/7 pendiente
26/7 pendiente
5/8 pendiente
9/8 pendiente
23/8 pendiente
30/8 pendiente pulir y pintar</t>
  </si>
  <si>
    <t>Pendiente de reorganizar día para hacerlo. Van el viernes
Falta pintar.</t>
  </si>
  <si>
    <t xml:space="preserve">Cisterna de baño privado masculino estropeada </t>
  </si>
  <si>
    <t xml:space="preserve">SOLICITAMOS COMPRA PRODUCTO ADICIONAL SOLICITADO POR EMPLEADA DE LIMPIEZA </t>
  </si>
  <si>
    <t>22/4 pendiente
8/5 pedir a empresa de limpieza
4/6 pendiente, producto pedido
14/6 pendiente
26/6 pendiente
8/7 pendiente
12/7 pendiente
19/7 hecho</t>
  </si>
  <si>
    <t>Está pedido</t>
  </si>
  <si>
    <t>EL BAÑO ESTA PERDIENDO BASTANTE AGUA, HEMOS CERRADO LA LLAVE DE PASO DEL WC PERO SIGUE SALIENDO BASTANTE AGUA PODEMOS MANDAR ALGUN TECNICO DE URGENCIA</t>
  </si>
  <si>
    <t xml:space="preserve">Biombo roto - Cliente tropieza con un biombo de los cajeros y se ha roto. Rogamos reparación </t>
  </si>
  <si>
    <t>22/4 hecho
7/5 pendiente
8/5 hecho</t>
  </si>
  <si>
    <t>22/4 se he vuelto a romper</t>
  </si>
  <si>
    <t xml:space="preserve">TAPA ENCHUFE TV TURNOS- Buenos días, tenemos unos enchufes de la planta baja sin tapa y los cables sueltos, se adjunta foto. Solicitamos reposición </t>
  </si>
  <si>
    <t xml:space="preserve">LA MANETA INTERIOR DE LA PUERTA DEL DESPACHO SE HA ROTO - Necesitamos que se cambie la maneta interior del despacho de la oficina, ya que se ha roto. </t>
  </si>
  <si>
    <t>22/4 hecho
29/4 hecho</t>
  </si>
  <si>
    <t xml:space="preserve">Esta pasada noche ha estado toda la maquinaria de climatización funcionando a tope, creo que con las modificaciones del cambio de hora se os debe haber desconfigurado. </t>
  </si>
  <si>
    <t>Máquina de aire acondicionado con fuga grande de agua, cuarto del aire lleno de agua y pasando al cuarto contiguo y afectando la pared colindante. LAS PALMAS</t>
  </si>
  <si>
    <t>22/4 pendiente
8/5 temporalmente reparado, falta finalizarlo
4/6 hecho</t>
  </si>
  <si>
    <t>OFICINA COSTA RICA, VINILOS PUERTA METALICA EXTERIOR</t>
  </si>
  <si>
    <t>MONTAJE BIOMBO SEPARADOR PILOTO ADVICE- COSTA RICA, MONTAJE BIOMBO SEPARADOR</t>
  </si>
  <si>
    <t>SE HA FUNDIDO UNA DE LAS LUCES DE LOS GESTORES- BUENOS DÍAS. SE HA FUNDIDO UNA DE LAS LUCES DE LAS MESAS DE LOS GESTORES, ES URGENTE (SE VE MUCHO). GRACIAS.</t>
  </si>
  <si>
    <t xml:space="preserve">El grifo derecho del vestuario de mujeres de la planta -2 pierde agua </t>
  </si>
  <si>
    <t xml:space="preserve">Necesitamos la revisión de cableado de red de una de las impresoras </t>
  </si>
  <si>
    <t>22/4 pendiente
8/5 pendiente, esta semana van 
4/6 hecho</t>
  </si>
  <si>
    <t>El flotador del wc no funciona correctamente con lo que esta malgastando agua</t>
  </si>
  <si>
    <t xml:space="preserve">El fuelle de cierre de la puerta de cristal de la sala de reuniones no funciona </t>
  </si>
  <si>
    <t>22/4 pendiente
8/5 pendiente
4/6 pendiente
21/6 hecho</t>
  </si>
  <si>
    <t>El detector de movimiento de uno de los baños no funciona correctamente, por favor que vengan a revisarlo. Gracias</t>
  </si>
  <si>
    <t xml:space="preserve">SUSTITUCIÓN LUZ GESTOR INCORRECTA </t>
  </si>
  <si>
    <t xml:space="preserve">Foco techo no funciona - Es el foco que está en el techo en el inicio de la escalera a la primera planta </t>
  </si>
  <si>
    <t>22/4 pendiente
4/6 pendiente. Han estado en la oficina
8/7 hecho</t>
  </si>
  <si>
    <t>SALTA ALARMA BOMBA DE ACHIQUE</t>
  </si>
  <si>
    <t>22/4 pendiente
7/5 Hecho</t>
  </si>
  <si>
    <t xml:space="preserve">NECESITAMOS CAMBIO DE LUZ EN BAÑO MASCULINO PLANTA ALTA </t>
  </si>
  <si>
    <t>29/4 pendiente
8/5 hecho</t>
  </si>
  <si>
    <t xml:space="preserve">REPARACION CRISTAL PUERTA ACCESO - SUSTITUCION CRISTAL, URGENTE </t>
  </si>
  <si>
    <t xml:space="preserve">En un baño la cisterna pierde y en otro baño el agua sube al tirar de la cisterna sube mucho el agua </t>
  </si>
  <si>
    <t>29/4 pendiente
10/5 abierto otro ticket</t>
  </si>
  <si>
    <t xml:space="preserve">COLOCAR BURLETES EN LAS PUERTAS EXTERIORES </t>
  </si>
  <si>
    <t>29/4 pendiente
8/5 pendiente de entrega de material</t>
  </si>
  <si>
    <t>SE HA PARTIDO EL SOPORTE QUE UNE LA PATA CON LA MESA DE UNO DE LOS GESTORES
YA HA PASADO EN ALGUNA MESA MAS Y HAN MANDADO  CARPINTERO QUE LO HA SOLUCIONADO, NECESITAMOS PF QUE VENGAN CON URGENCIA YA  NO TENEMOS MAS MESAS Y UN COMPAÑERO NO PUEDE TRRABAJAR.</t>
  </si>
  <si>
    <t>29/4 pendiente
8/5 se ha vuelto a estropear el tablero de la mesa</t>
  </si>
  <si>
    <t xml:space="preserve">Adhesivo anti acido en cristal espaparate. NEcesitamos sustituir el adhesivo transparente que se colocó en los cristales de fachada de la oficina ya que están deteriorados y han perdido transparencia. </t>
  </si>
  <si>
    <t>29/4 pendiente
8/5 pedido
4/6 pendiente
10/6 hecho</t>
  </si>
  <si>
    <t>5/6 van a oficina</t>
  </si>
  <si>
    <t xml:space="preserve">Están fundidas las luces de emergencia </t>
  </si>
  <si>
    <t>7/5 pendiente
8/5 pasado presupuesto a Carlos, pendiente de aprobar
4/6 pendiente
14/6 pendiente
8/7 hecho</t>
  </si>
  <si>
    <t>Dado el ok para cambiar. Ya se aprobo el presupuesto</t>
  </si>
  <si>
    <t xml:space="preserve">Durante el fin de semana nos han hecho unas pintadas - Hola, adjunto fotos de las pintadas que nos han hecho en los cristales y pared de la fachada. </t>
  </si>
  <si>
    <t>8/5 pendiente
8/5 esta tarde van
17/5 pendiente
27/5 solucionado</t>
  </si>
  <si>
    <t>Necesitamos retirar los soportes de la foto que hay encima de las ingresadoras</t>
  </si>
  <si>
    <t>8/5 hecho</t>
  </si>
  <si>
    <t>LA PUERTA DE ACCESO PRINCIPAL A LA OFICINA NO CIERRA.El muelle de la puerta principal de oficina está dañado y la puerta, al cerrarse, se queda abierta. Roza el muelle con el canto superior de la puerta y hace que esta se quede abierta y no cierre</t>
  </si>
  <si>
    <t>7/5  pendiente
8/5 pasado presupuesto
27/5 solucionado</t>
  </si>
  <si>
    <t>El zócalo de la puerta de emergencia está roto. Adjunto foto.</t>
  </si>
  <si>
    <t>7/5 pendiente
8/5 hecho</t>
  </si>
  <si>
    <t xml:space="preserve">NECESITAMOS UN TECNICO PARA INSATALAR TV EN LA SALA DE REUNIONES - LA TV LA TENEMOS EN LA OFICINA ES NUEVA , MODELO DB55E SAMSUMG 55PÙLGADAS , ADJUNTO FOTOS CON EL DETALLE </t>
  </si>
  <si>
    <t>hecho</t>
  </si>
  <si>
    <t>Se ha vuelto a soltar el tablero de la mesa que arreglaron la semana pasada, necesitamos que por favor llamen a un carpintero para que nos la arregle. Gracias.</t>
  </si>
  <si>
    <t>4/6 hecho, pendiente de contestación
8/7 hecho</t>
  </si>
  <si>
    <t>CONSERVACION INADECUADA DE INFRAESTRUCTURAS - ARQUETAS O BAJANTES ROTAS - HAY QUE CERRARLAS</t>
  </si>
  <si>
    <t>17/5 pendiente
4/6 pendiente
hecho</t>
  </si>
  <si>
    <t xml:space="preserve">Los 2 cisternas que tenemos en la planta -1. No pasa siempre pero se llena de agua casi hasta arriba </t>
  </si>
  <si>
    <t>17/5 pendiente</t>
  </si>
  <si>
    <t xml:space="preserve">Limpieza de las repisas entre planta y planta. Adjunto foto </t>
  </si>
  <si>
    <t>17/5 pendiente
8/7 hecho</t>
  </si>
  <si>
    <t>29/5 No está hecho. Constante cambio entre personal de limpieza</t>
  </si>
  <si>
    <t>Una de las persianas que cubre cristalera no funciona</t>
  </si>
  <si>
    <t>17/5 pendiente
4/6 pendiente
26/6 hecho</t>
  </si>
  <si>
    <t>Dado ok para pedir motores de persianas</t>
  </si>
  <si>
    <t>Buenas, necesitamos se pinte el desconchado que hay en la planta alta, junto a la puerta salida de emergencia frente a la salita. Adjunto foto.</t>
  </si>
  <si>
    <t>27/5 pendiente
4/6 hecho</t>
  </si>
  <si>
    <r>
      <t xml:space="preserve">El kiosko KPWOD1400001 de </t>
    </r>
    <r>
      <rPr>
        <strike/>
        <sz val="11"/>
        <color rgb="FF000000"/>
        <rFont val="Calibri"/>
        <family val="2"/>
        <scheme val="minor"/>
      </rPr>
      <t xml:space="preserve">Gijón </t>
    </r>
    <r>
      <rPr>
        <sz val="11"/>
        <color theme="1"/>
        <rFont val="Calibri"/>
        <family val="2"/>
        <scheme val="minor"/>
      </rPr>
      <t>ha dejado de funcionar, el martes 14/05 se cambió de puerto y funcionó solamente ese día, anteriormente ya se le había cambiado también de puerto, hay que reemplazar el cable de comunicaciones.</t>
    </r>
  </si>
  <si>
    <t>27/5 pendiente</t>
  </si>
  <si>
    <t xml:space="preserve">Han roto el anclaje del lavabo en el aseo de clientes </t>
  </si>
  <si>
    <t>27/5 hecho</t>
  </si>
  <si>
    <t xml:space="preserve">Tenemos una mesa de gestores con el taco que sirve de apoyo suelto y la mesa baila. PUESTO 7 DESANCLADO </t>
  </si>
  <si>
    <t>27/5 pendiente
4/6 pendiente
hecho</t>
  </si>
  <si>
    <t xml:space="preserve">FALSO TECHO SIN PLACA EN CUARTO DE LIMPIEZA - COLOCARLA </t>
  </si>
  <si>
    <t xml:space="preserve">SE HA ROTO EL MUELLE DE LA PUERTA PRINCIPAL - FALLA EL MUELLE QUE HACE QUE LA PUERTA PRINCIPAL SE CIERRE CADA VEZ QUE SE ABRE </t>
  </si>
  <si>
    <t>21/5 pendiente</t>
  </si>
  <si>
    <t>Se ha bloqueado la puerta de salida de Salamanca y se ha tenido que contactar con CBRE de urgencia</t>
  </si>
  <si>
    <t>4/6 hecho. Pendiente de envio de presupuesto de muelle
23/8 hecho</t>
  </si>
  <si>
    <t>Pendiente de entega en oficina para instalar</t>
  </si>
  <si>
    <t>En el baño de hombres había un jabonero collado a la pared que se ha caído. (los anclajes a la pared se han soltado por la presión al apretar para que salga el jabón). Rogamos realicen instalación con nuevos agujeros para evitar suceda de nuevo</t>
  </si>
  <si>
    <t>27/5 pendiente
4/6 pendiente
8/7 hecho</t>
  </si>
  <si>
    <t xml:space="preserve">La puerta de emergencia que va de la -1 a la 0 está rota, no se abre. Adjunto foto. </t>
  </si>
  <si>
    <t>4/6 pendiente
8/7 pendiente
12/7 pendiente
19/7 pendiente</t>
  </si>
  <si>
    <t>Cableado de Red - Tras obras la impresora 2ER42342 no tiene conexión de Red. Se ha verificado que al puerto asignado si se llega pero no a la impresora</t>
  </si>
  <si>
    <t>4/6 hecho</t>
  </si>
  <si>
    <t xml:space="preserve">La cisterna del baño de la planta baja pierde agua y necesitamos la placa de metal para tirar porque no tiene. Gracias </t>
  </si>
  <si>
    <t>4/6 pendiente de parte
26/6 pendiente</t>
  </si>
  <si>
    <t>El aire acondicionado de ODonnell no funciona no sale aire frio Oficina en 27 grados</t>
  </si>
  <si>
    <t xml:space="preserve">El lavabo de clientes está obstruido y no traga el agua. </t>
  </si>
  <si>
    <t xml:space="preserve">NO FUNCIONA BIEN EL AIRE - En la parte de abajo de la oficina hay una gran sensacion de calor y el aire acondicionado no tira lo suficiente para enfriar la sala todo el día. </t>
  </si>
  <si>
    <t>4/6 pendiente del parte
12/6 hecho</t>
  </si>
  <si>
    <t>Hay un agujero en la salita por tapar, adjunto foto, no sé a qué corresponde- Está cerca del suelo en el pilar junto a la puerta.</t>
  </si>
  <si>
    <t>4/6 pendiente
8/7 hecho</t>
  </si>
  <si>
    <t>NECESITAMOS GRIFO NUEVO PARA EL BAÑO DE CLIENTES. NOS LO HAN ROBADO</t>
  </si>
  <si>
    <t>NECESITAMOS LIMPIEZA DE LA PERSIANA ELECTRICA DE ENTRADA.</t>
  </si>
  <si>
    <t xml:space="preserve">Hola, Necesitamos que nos limpien los filtros más frecuentemente ya que la obra de la fachada está haciendo que entre mucho polvo. Gracias </t>
  </si>
  <si>
    <t>4/6 pendiente
26/6 pendiente</t>
  </si>
  <si>
    <t>La puerta exterior no abre bien</t>
  </si>
  <si>
    <t>Palma de Mallorca</t>
  </si>
  <si>
    <t>Asistencia cliente el 06 de junio a las 10:00 y revisión sucursal</t>
  </si>
  <si>
    <t>No es indicendia. Visita de Carlos a Oficina</t>
  </si>
  <si>
    <t>LOS AIRES ACONDICIONADOS NO ENFRIAN - NECESITAMOS CON URGENCIA REVISIÓN</t>
  </si>
  <si>
    <t>4/6 pendiente
10/6 hecho</t>
  </si>
  <si>
    <t>El botón para activar la cisterna del WC del baño de caballeros en la oficina de BCN Meridiana está atascada</t>
  </si>
  <si>
    <t xml:space="preserve">Uno de los inodoros del vestuario de chicos de la oficina pierde agua y necesitamos que se acuda a dar solución. </t>
  </si>
  <si>
    <t xml:space="preserve">Presencia de cucarachas en varia zonas de la oficina </t>
  </si>
  <si>
    <t>10/6 hecho</t>
  </si>
  <si>
    <t>EL AIRE ACONDICIONADO NO ENFRÍA-YA HA PASADO MÁS VECES Y SUELE SER PORQUE LAS ENTRADAS DE AIRE ESTÁN COLMATADAS POR POLVO Y POLEN DE LOS ÁRBOLES. SUELEN NECESITAR ESCALERA PARA ACCEDER A LA ENTRADA DEL AIRE</t>
  </si>
  <si>
    <t>10/6 pendiente</t>
  </si>
  <si>
    <t>Cerradura puerta de sala rota. Se cayó una pieza de la cerradura de la puerta de la sala e impide cerrarla</t>
  </si>
  <si>
    <t>10/6 pendiente
26/6 hecho</t>
  </si>
  <si>
    <t xml:space="preserve">La puerta de acceso principal hace mucho ruido al abrir y cerrarse. Chirría y produce un ruido muy desagradable. </t>
  </si>
  <si>
    <t>10/6 pendiente
8/7 pendiente
12/7 pendiente
19/7 pendiente</t>
  </si>
  <si>
    <t xml:space="preserve">REVISAR HUMEDADES COLUMNAS SOTANO 2 - SELLAR COLUMNAS Y ARQUETAS - SE ADJUNTAN FOTOS </t>
  </si>
  <si>
    <t>10/6 pendiente
6/9 pendiente</t>
  </si>
  <si>
    <t xml:space="preserve">Tenemos 3 focos fundidos </t>
  </si>
  <si>
    <t>14/6 pendiente
26/6 pendiente
8/7 hecho</t>
  </si>
  <si>
    <r>
      <t xml:space="preserve">LA LLAVE DE LA LUZ INTERIOR QUE ES UNA RUEDA CON TRES PUNTOS ESTÁ PASADA DE ROSCA Y NO SE PUEDE MANIPULAR  - </t>
    </r>
    <r>
      <rPr>
        <sz val="11"/>
        <color rgb="FFFF0000"/>
        <rFont val="Calibri"/>
        <family val="2"/>
        <scheme val="minor"/>
      </rPr>
      <t>SOLUCION PROVISIONAL, FALTA RUEDA DEFINITIVA</t>
    </r>
  </si>
  <si>
    <t>12/7 pendiente
26/7 hecho</t>
  </si>
  <si>
    <t xml:space="preserve">Se ha perdido la llave de una taquilla y esta cerrada, no podemos abrirla. La cerradura es muy basica, como de un buzon. Necesitamos abrirla y sustituir cerradura. NO ES URGENTE- </t>
  </si>
  <si>
    <t>14/6 pendiente
8/7 hecho</t>
  </si>
  <si>
    <t>Santa Engracia</t>
  </si>
  <si>
    <t>La cerradura de la puerta de entrada está estropeada y la puerta no cierra, por favor podéis enviar técnico para solucionarlo? Gracias -</t>
  </si>
  <si>
    <t>14/6 pendiente</t>
  </si>
  <si>
    <t>Se ha caído el manillar de la puerta del RAC (adjunto foto), el marco de la puerta por dentro está suelto y la puerta no cierra correctamente, por favor, podéis remediar? Gracias - VIRIATO</t>
  </si>
  <si>
    <t xml:space="preserve">Dispensador jabón baño discapacitados- Es un dispensador metálico colgado a la pared, hay holgura en los tornillos y se cae, por favor lo podéis reparar? Gracias! </t>
  </si>
  <si>
    <t>Rotura de Termo-Hemos llegado a la Oficina y estaba el baño de clientes lleno de agua. El agua sale del termo. Hemos tenido que cortar el agua ya que no conseguíamos parar la salida de agua.</t>
  </si>
  <si>
    <t>26/6 pendiente
8/7 hecho</t>
  </si>
  <si>
    <t>oficina bcn meridiana...tenemos el desagüe del grifo de la cocina roto. necesitamos técnico para repararlo. Gracias</t>
  </si>
  <si>
    <t>26/6 hecho</t>
  </si>
  <si>
    <t>Por la tormenta de ayer varias luces parpadeas, urge por favor revisar ya que es muy molesto.</t>
  </si>
  <si>
    <t>26/6 pendiente</t>
  </si>
  <si>
    <t>No funcionan varias de las luces de planta 0</t>
  </si>
  <si>
    <t>26/6 pendiente
8/7 pendiente
19/7 cerrado</t>
  </si>
  <si>
    <t>BRAZO HIDRAULICO AVERIADO - Puerta averiada</t>
  </si>
  <si>
    <t xml:space="preserve">EL GRIFO PIERDE AGUA, HAY QUE CAMBIARLO </t>
  </si>
  <si>
    <t xml:space="preserve">Tenemos una gotera del aire - Gotera del falso techo donde se sitúan las máquinas de aire </t>
  </si>
  <si>
    <t xml:space="preserve">Olor a alcantarilla Planta -1 - En planta -1 , en los 2 baños hay un olor muy fuerte de aguas fecales. </t>
  </si>
  <si>
    <t>Mallorca</t>
  </si>
  <si>
    <t>Volvemos a tener una ola de cucarachas en los vestuarios</t>
  </si>
  <si>
    <t>8/7 pendiente
12/7 pendiente
26/7 hecho</t>
  </si>
  <si>
    <t>La puerta de entrada empieza a descolgarse del marco</t>
  </si>
  <si>
    <t>8/7 hecho</t>
  </si>
  <si>
    <t>NECESITAMOS QUE VENGAN A REVISAR LA CERRADURA DE LA PUERTA DE ACCESO A LA OFICINA, HAY QUE CAMBIAR LA CERRADURA YA QUE LLEVAMOS MESES CON PROBLEMAS Y AHORA YA AUNQUE ECHEMOS 3en1 SIGUE CERRANDO MAL. GRACIAS.</t>
  </si>
  <si>
    <t xml:space="preserve">Pintada en el cristal superior del cajero externo </t>
  </si>
  <si>
    <t xml:space="preserve">EL CUARTO DE BAÑO DESPRENDE MUY MALOS OLORES </t>
  </si>
  <si>
    <t>8/7 pendiente</t>
  </si>
  <si>
    <t>comentar con la coordi</t>
  </si>
  <si>
    <t>HA DEJADO DE FUNCIONAR EL AIRE ACONDICIONADO EN LA OFICINA DE OVIEDO, NECESITAMOS QUE VENGAN A REVISARLO LO ANTES POSIBLE</t>
  </si>
  <si>
    <t>8/7 pendiente
12/7 pendiente
19/7 pendiente
26/7 pendiente
5/8 pendiente
9/8 pendiente
23/8 hecho</t>
  </si>
  <si>
    <t xml:space="preserve">SOLICITAMOS RENOVACIÓN DE LAS 2 TAPAS DEL INODORO POR MAL ESTADO </t>
  </si>
  <si>
    <t>8/7 pendiente
16/7 hecho</t>
  </si>
  <si>
    <t>En la parte de arriba de la oficina hace mucho calor y el display de las máquinas de aire, hay una luz roja parpadeando. Por favor tratarlo como algo urgente porque la temperatura que se alcanza es alta</t>
  </si>
  <si>
    <t>12/7 pendiente
19/7 pendiente
26/7 pendiente
5/8 hecho</t>
  </si>
  <si>
    <t xml:space="preserve">Tenemos una bombilla fundida en la lámpara de la entrada a la oficina </t>
  </si>
  <si>
    <t>8/7 pendiente
12/7 pendiente
19/7 pendiente
26/7 pendiente
5/8 pendiente
9/8 pendiente
23/8 pendiente
30/8 pendiente
6/9 hecho</t>
  </si>
  <si>
    <t>Necesitamos arreglo del whats and mouchi, la puerta no cierra bien y el pulsador de mesa no para de sonar.</t>
  </si>
  <si>
    <t>Zócalo despegado en pared entrada a zona privada - tenemos un zócalo despegado de la pared en la zona de acceso a la zona de personal.</t>
  </si>
  <si>
    <t>12/7 pendiente
19/7 pendiente
26/7 pendiente
5/8 pendiente
9/8 pendiente
23/8 pendiente
30/8 pendiente
6/9 hecho</t>
  </si>
  <si>
    <t>Tenemos unas pintadas en la fachada y en los cajeros. necesitamos que vengan a limpiarlas.</t>
  </si>
  <si>
    <t>12/7 hecho</t>
  </si>
  <si>
    <t xml:space="preserve">LOS AIRES NO ESTÁN ENFRIANDO URGENTE </t>
  </si>
  <si>
    <t>12/7 pendiente
30/7 hecho</t>
  </si>
  <si>
    <t xml:space="preserve">Suministro / sustitución de bloques autónomos de emergencia </t>
  </si>
  <si>
    <t>CM PREVENTIVO</t>
  </si>
  <si>
    <t>12/7 pendiente
19/7 pendiente
26/7 pendiente
9/8 pendiente
23/8 hecho</t>
  </si>
  <si>
    <t xml:space="preserve">La puerta principal de entrada se ha vuelto a descolgar, no se cierra aunque tengamos conectado el watchi ¬ Mochi - Necesitamos urgente que se repare pq la puerta queda abierta aun conectado el watch and mochi </t>
  </si>
  <si>
    <t>12/7 pendiente
19/7 pendiente
26/7 pendiente
5/8 pendiente
9/8 pendiente
23/8 pendiente
30/8 hecho</t>
  </si>
  <si>
    <t>Suministro y colocación de filtros recuperador</t>
  </si>
  <si>
    <t>12/7 pendiente
19/7 pendiente
26/7 pendiente
9/8 pendiente
23/8 pendiente
30/8 hecho</t>
  </si>
  <si>
    <t>Fallo en foco de luz de las escaleras - Foco que está en la planta baja.</t>
  </si>
  <si>
    <t xml:space="preserve">Esta mañana hemos entrado en la oficina y uno de los estores estaba en el suelo, se ha descolgado. Aparentemente el estore no se ha roto, simplemente es volverlo a colocar. </t>
  </si>
  <si>
    <t xml:space="preserve">Iluminación de muro corporativo - Buenos días, el muro corporativo de la planta baja está apagado. He comprobado los diferenciales y están todos arriba. Por favor, enviad técnico para revisión. </t>
  </si>
  <si>
    <t>19/7 pendiente
26/7 pendiente
5/8 pendiente
9/8 pendiente
23/8 hecho</t>
  </si>
  <si>
    <t xml:space="preserve">MEDIDAS CORRECTORAS PROPUESTAS POR ANTICIMEX - HUECOS EN SALITA (CUARTO LIMPIEZA) DENTRO BAÑOS HOMBRES - SELLAR - ADJUNTO FOTO </t>
  </si>
  <si>
    <t>26/7 pendiente
5/8 pendiente
9/8 pendiente
23/8 pendiente
30/8 pendiente</t>
  </si>
  <si>
    <t xml:space="preserve">CHAPAS CAIDAS PUERTA OFICINA </t>
  </si>
  <si>
    <t>26/7 pendiente
30/7 hecho</t>
  </si>
  <si>
    <t xml:space="preserve">TAQUILLA ATASCADA - Tenemos una taquilla que no se puede abrir, se ha quedado atascada, neecsitamos que alguien venga a forzar la taquilla o cambiar el bombin de la llave </t>
  </si>
  <si>
    <t>26/7 pendiente
5/8 hecho</t>
  </si>
  <si>
    <t xml:space="preserve">EL AIRE ACONDICIONADO NO ENFRÍA LO SUFICIENTE </t>
  </si>
  <si>
    <t>26/7 pendiente
5/8 pendiente
9/8 pendiente
23/8 pendiente
30/8 pendiente
6/9 hecho
27/9 hecho</t>
  </si>
  <si>
    <t>Cable del espejo de empleados está suelto.</t>
  </si>
  <si>
    <t>26/7 pendiente
5/8 pendiente
9/8 pendiente
23/8 pendiente
30/8 pendiente
6/9 pendiente
13/9 hecho</t>
  </si>
  <si>
    <t>Necesitamos poner un par de baldas en cada baño de empleados para poder colocar productos de aseo</t>
  </si>
  <si>
    <t>26/7 pendiente
5/8 pendiente
9/8 pendiente
23/8 pendiente
30/8 pendiente
6/9 pendiente</t>
  </si>
  <si>
    <t xml:space="preserve">SUSTITUCION DE LUMINARIAS FUNDIDAS </t>
  </si>
  <si>
    <t>26/7 pendiente
5/8 pendiente
9/8 pendiente
23/8 hecho</t>
  </si>
  <si>
    <t xml:space="preserve">NO FUNCIONA EL A/A </t>
  </si>
  <si>
    <t xml:space="preserve">La puerta d acceso principal se queda atascada y no cierra, hay q forzarla con la mano </t>
  </si>
  <si>
    <t>5/8 pendiente
9/8 pendiente
23/8 pendiente
30/8 pendiente
6/9 hecho</t>
  </si>
  <si>
    <t>Tienen que volver</t>
  </si>
  <si>
    <t>Problemas con cableado de datos de TV en la oficina de Salamanca</t>
  </si>
  <si>
    <t>5/8 pendiente
9/8 pendiente
23/8 pendiente
30/8 pendiente</t>
  </si>
  <si>
    <t>Vuelven la semana que viene</t>
  </si>
  <si>
    <t xml:space="preserve">SALIDA EXTERIOR DE AIRE - Necesitamos servicio para quitar el protector del balcon para impermeabilizar la pared, ya que se estan haciendo trabajos de reparacion de la fachada. </t>
  </si>
  <si>
    <t>5/8 pendiente
9/8 pendiente
23/8 hecho</t>
  </si>
  <si>
    <t>TENEMOS UNA GOTERA IMPORTANTE JUNTO A LOS BAÑOS Y VESTUARIOS TENEMOS UN CUBO PUESTO PORQUE GOTEA CONTINUAMENTE</t>
  </si>
  <si>
    <t xml:space="preserve">AIRE ACONDICIONADO ACACIAS PLANTA BAJA - Ponemos aire acondicionado en planta baja de la oficina pero no enfría. En planta alta si que funciona. </t>
  </si>
  <si>
    <t xml:space="preserve">Fallo en aire acondicionado - El aire falla, saltan los diferenciales cada pocas horas, además cuando está funcionando no le da para bajar la temperatura, estamos estos días sobrepasando los 30 grados dentro de la oficina </t>
  </si>
  <si>
    <t>5/8 pendiente
9/8 pendiente
23/8 pendiente
30/8 pendiente
3/9 hecho</t>
  </si>
  <si>
    <t>Hola, por favor revisar que el desagüe que genera olor en despacho está ok. Por favor no echar ningún producto de desinfección que luego se filtra el olor en la OFICINA. GIJÓN</t>
  </si>
  <si>
    <t>9/8 pendiente
23/8 pendiente
30/8 pendiente
6/9 pendiente</t>
  </si>
  <si>
    <t>Hola, tenemos fundida la luz del baño pequeño de empleados, planta 1.  GIJÓN</t>
  </si>
  <si>
    <t>9/8 pendiente
23/8 pendiente
30/8 pendiente
13/9 hecho</t>
  </si>
  <si>
    <t>El aire de la planta 2 no enfría bien, le falta potencia</t>
  </si>
  <si>
    <t>9/8 pendiente
23/8 hecho</t>
  </si>
  <si>
    <r>
      <t xml:space="preserve">REPORTE HUMEDAD EN TECHO MERIDIANA </t>
    </r>
    <r>
      <rPr>
        <b/>
        <sz val="11"/>
        <color rgb="FFFF0000"/>
        <rFont val="Calibri"/>
        <family val="2"/>
        <scheme val="minor"/>
      </rPr>
      <t>04/09 - FALTA PINTAR, IRAN EL LUNES 09/09</t>
    </r>
  </si>
  <si>
    <t>6/9 pendiente</t>
  </si>
  <si>
    <t>TENEMOS UNA GOTERA IMPORTANTE EN EL CUARTO VESTIDOR. VEMOS QUE LA MISMA VIENE DE UNA TUBERIA DE AIRE ACONDICIONADO</t>
  </si>
  <si>
    <t>23/8 pendiente
30/8 hecho</t>
  </si>
  <si>
    <t>Hola, necesitamos cambiar los filtros de carbón activo pues volvemos a tener olores desde hace semanas. Gracias</t>
  </si>
  <si>
    <t>23/8 pendiente
30/8 pendiente</t>
  </si>
  <si>
    <t>No tenemos sensacion de que funcione bien el aire acondicionado como es habitual, mucho calor.</t>
  </si>
  <si>
    <t>23/8 hecho</t>
  </si>
  <si>
    <t>Hay algunas luces fundidas en el vestuario femenino de la planta -2</t>
  </si>
  <si>
    <t xml:space="preserve">Uno de los zócalos de la planta 0 está levantado y podría lastimar a alguien </t>
  </si>
  <si>
    <t>23/8 pendiente
30/8 pendiente
6/9 pendiente</t>
  </si>
  <si>
    <t>Falta lijar y piintar</t>
  </si>
  <si>
    <t>Tenemos 2 luces fundidas en la plante de arriba de la oficina de Salamanca y un halogeno del vestuario de las chicas. tambien se ha roto el interruptor del vestuario de los chicos y necesitamos que se cambie</t>
  </si>
  <si>
    <t>23/8 pendiente
30/8 pendiente
27/9 pendiente
29/11 pendiente
3/12 hecho</t>
  </si>
  <si>
    <t>Falta respuesta. Se ha vuelto a reclamar</t>
  </si>
  <si>
    <t xml:space="preserve">Buenas. Necesitamos la sustitución de una de las bombillas que están en los focos que iluminan los cajeros interiores </t>
  </si>
  <si>
    <t>23/8 pendiente
30/8 pendiente
27/9 pendiente</t>
  </si>
  <si>
    <t>Reclamado</t>
  </si>
  <si>
    <t xml:space="preserve">Tenemos una persiana en la oficina de Málaga que se ha roto. Por favor, necesitamos asistencia de Técnico para su reparación </t>
  </si>
  <si>
    <t>23/8 pendiente
30/8 pendiente
27/9 hecho</t>
  </si>
  <si>
    <t>Sta Engracia</t>
  </si>
  <si>
    <t>INSTALACIÓN DE PERCHEROS</t>
  </si>
  <si>
    <t>30/8 hecho</t>
  </si>
  <si>
    <t>La puerta de entrada chirría, hay qye echar 3 en 1.</t>
  </si>
  <si>
    <t>30/8 pendiente</t>
  </si>
  <si>
    <t xml:space="preserve">La puerta de entrada a la oficina no cierra correctamente, se queda abierta y hay que empujarla para que cierre. Hay que ajustar el muelle. </t>
  </si>
  <si>
    <t>30/8 pendiente
6/9 hecho</t>
  </si>
  <si>
    <t xml:space="preserve">NO ENFRÍA EL AIRE EN PLANTA BAJA - EL AIRE ACONDICIONADO NO FUNCIONA EN PLANTA BAJA Y SE ACUMULA MUCHO CALOR </t>
  </si>
  <si>
    <t>Pedida la placa</t>
  </si>
  <si>
    <t xml:space="preserve">CIERRE DE LA PUERTA DEL RAC- SE HA SOLTADO EL MARCO DE LA PUERTA Y EL CIERRE DE SEGURIDAD. ADJUNTAMOS FOTO - </t>
  </si>
  <si>
    <t>Atendido, falta parte</t>
  </si>
  <si>
    <t xml:space="preserve">AIRE ACONDICIONADO DE TOBERA PEQUEÑA NO FUNCIONA. EL TÉCNICO NOS COMENTA QUE TIENE PERDIDA DE GAS. POR FAVOR SOLICITAMOS ASISTENCIA CUANTO ANTES </t>
  </si>
  <si>
    <t>30/8 pendiente
27/9 pendiente</t>
  </si>
  <si>
    <t>Faltaba carga de gas</t>
  </si>
  <si>
    <t xml:space="preserve">EL COMPRESOR DE AIRE ACONDICIONADO DEL RACK SE HA ROTO. NECESITAMOS POR FAVOR REEMPLAZARLO CON URGENCIA YA QUE EN ESE CUARTO LA TEMPERATURA ES MUY ALTA Y PUEDE AFECTAR A LAS COMUNICACIONES DE LA OFICINA </t>
  </si>
  <si>
    <t>PUERTA CIERRA PEGANDO PORTAZO-La puerta de entrada no se cierra lentamente, si no que si se deja suelta pega un fuerte portazo. Al parecer se habrá aflojado demasiado el muelle y no retiene la puerta</t>
  </si>
  <si>
    <t>Pendiente de parte</t>
  </si>
  <si>
    <t>NECESITAMOS RECOLOCAR EL ROTULO INDICADOR DE MESA YA QUE SE HA CAIDO</t>
  </si>
  <si>
    <t xml:space="preserve">REALIZAR OCA BAJA TENSIÓN </t>
  </si>
  <si>
    <r>
      <t xml:space="preserve">SONIDO MOLESTO AIRE ACONDICIONADO- QUEJAS DEL VECINO - </t>
    </r>
    <r>
      <rPr>
        <sz val="11"/>
        <color rgb="FFFF0000"/>
        <rFont val="Calibri"/>
        <family val="2"/>
        <scheme val="minor"/>
      </rPr>
      <t>04/09 Técnico revisando la instalación previamente a coordinar esa visita con el vecino</t>
    </r>
    <r>
      <rPr>
        <sz val="11"/>
        <color theme="1"/>
        <rFont val="Calibri"/>
        <family val="2"/>
        <scheme val="minor"/>
      </rPr>
      <t xml:space="preserve"> </t>
    </r>
    <r>
      <rPr>
        <sz val="11"/>
        <color rgb="FFFF0000"/>
        <rFont val="Calibri"/>
        <family val="2"/>
        <scheme val="minor"/>
      </rPr>
      <t>- 09/09 HAN QUEDADO TECNICOS Y VECINO A LAS 08:00</t>
    </r>
  </si>
  <si>
    <t>6/9 pendiente
27/9 pendiente</t>
  </si>
  <si>
    <r>
      <t xml:space="preserve">EL WC DE LA PLANTA BAJA PIERDE AGUA. </t>
    </r>
    <r>
      <rPr>
        <sz val="11"/>
        <color rgb="FFFF0000"/>
        <rFont val="Calibri"/>
        <family val="2"/>
        <scheme val="minor"/>
      </rPr>
      <t>04/09</t>
    </r>
  </si>
  <si>
    <r>
      <t xml:space="preserve">SUELO ESTROPEADO - Justo en el puesto 3 el perfil colocado en el nuevo suelo se ha deteriorado. Se adjunta foto para su comprobación. Hemos intentado Pegarlo sin éxito. - </t>
    </r>
    <r>
      <rPr>
        <sz val="11"/>
        <color rgb="FFFF0000"/>
        <rFont val="Calibri"/>
        <family val="2"/>
        <scheme val="minor"/>
      </rPr>
      <t>04/09</t>
    </r>
  </si>
  <si>
    <t>Puerta sala reuniones desajustadas - Tras el mantenimiento de Oficina, la puerta de la sala de reuniones ha quedado mas desencajada. Solicito acuda de nuevo el tecnico a dejarla como estaba antes, Gracias</t>
  </si>
  <si>
    <t>Pedido presupuesto</t>
  </si>
  <si>
    <t xml:space="preserve">Revision puertas oficinas - Revisión de las puertas de la oficina. Primera planta y planta baja. Especial la del baño. Algunas rozan suelo y marco y otras las manillas están sueltas. </t>
  </si>
  <si>
    <t>Pasado presupuesto a Facilities, está en marcha</t>
  </si>
  <si>
    <r>
      <t xml:space="preserve">CORRECTIVO -  INDICAN MANILLAR PUERTA BAÑO ESTROPEADO, SE ATIENDE Y SE PIDE MATERIAL , </t>
    </r>
    <r>
      <rPr>
        <sz val="11"/>
        <color rgb="FFFF0000"/>
        <rFont val="Calibri"/>
        <family val="2"/>
        <scheme val="minor"/>
      </rPr>
      <t>PENDIENTE CERRADO LUNES 09/09 ES FESTIVO EN SABADELL</t>
    </r>
  </si>
  <si>
    <t>13/9 pendiente</t>
  </si>
  <si>
    <t xml:space="preserve">QUITAR MAMPARAS LATERALES MESAS GESTORES - PROBLEMA QUE AL QUITARLAS SE ROMPE ALGO LA MESA POR LO QUE HAY QUE PINTAR DE BLANCO LO DESCONCHADO. GRACIAS </t>
  </si>
  <si>
    <t>Split  A/A sala rack pierde agua, ha hinchado pta de acceso, está justo encima. La pta se ha hinchado, no cierra sin tener que empujarla con fuerza, lo mismo al abrir.Muelle que hace que se cierre sola sola no tiene efecto pq se queda trabada al final</t>
  </si>
  <si>
    <t>Focos baño empleados - CORDOBA</t>
  </si>
  <si>
    <t>Cadiz</t>
  </si>
  <si>
    <t>Por favor enviad a un técnico a revisar el techo de la oficina. Han tenido una gotera el viernes pasado.</t>
  </si>
  <si>
    <r>
      <t xml:space="preserve">Se ha descolgado la puerta del mueble de recepción - </t>
    </r>
    <r>
      <rPr>
        <sz val="11"/>
        <color rgb="FFFF0000"/>
        <rFont val="Calibri"/>
        <family val="2"/>
        <scheme val="minor"/>
      </rPr>
      <t>PENDIENTE</t>
    </r>
  </si>
  <si>
    <r>
      <t xml:space="preserve">Desmontaje y Montaje de equipos para instalación funda de mesas - </t>
    </r>
    <r>
      <rPr>
        <sz val="11"/>
        <color rgb="FFFF0000"/>
        <rFont val="Calibri"/>
        <family val="2"/>
        <scheme val="minor"/>
      </rPr>
      <t>PROGRAMADO POR CARLOS PARA EL 19/09 DE 14:00 A 16:00</t>
    </r>
  </si>
  <si>
    <r>
      <t xml:space="preserve">Desmontaje y Montaje de equipos para instalación funda de mesas - </t>
    </r>
    <r>
      <rPr>
        <sz val="11"/>
        <color rgb="FFFF0000"/>
        <rFont val="Calibri"/>
        <family val="2"/>
        <scheme val="minor"/>
      </rPr>
      <t>PROGRAMADO POR CARLOS PARA EL 17/09 DE 14:00 A 16:00</t>
    </r>
  </si>
  <si>
    <r>
      <t xml:space="preserve">Desmontaje y Montaje de equipos para instalación funda de mesas - </t>
    </r>
    <r>
      <rPr>
        <sz val="11"/>
        <color rgb="FFFF0000"/>
        <rFont val="Calibri"/>
        <family val="2"/>
        <scheme val="minor"/>
      </rPr>
      <t>PROGRAMADO POR CARLOS PARA EL 18/09 DE 14:00 A 16:00</t>
    </r>
  </si>
  <si>
    <t xml:space="preserve">Cisterna de baño empleados estropeada </t>
  </si>
  <si>
    <t xml:space="preserve">Iluminacion de cajero 24 horas interior de oficina estropeado </t>
  </si>
  <si>
    <t xml:space="preserve">EL AIRE ACONDICIONADO DE ODONNELL NO ENFRIA ESTA ENCENDIDO EN AUTOMATICO Y NO DISPARA AIRE FRIO </t>
  </si>
  <si>
    <t>Instalan 2/10</t>
  </si>
  <si>
    <t>Necesitamos retirar telefonos en puestos autoservicio y poner chapa blanca para tapar el hueco</t>
  </si>
  <si>
    <t>27/9 pendiente
29/9 hecho</t>
  </si>
  <si>
    <t>El pomo interior de la puerta del rack se ha salido</t>
  </si>
  <si>
    <r>
      <t xml:space="preserve">2 BALDOSAS SUELTAS - ADJUNTO FOTOS - </t>
    </r>
    <r>
      <rPr>
        <sz val="11"/>
        <color rgb="FFFF0000"/>
        <rFont val="Calibri"/>
        <family val="2"/>
        <scheme val="minor"/>
      </rPr>
      <t>SE HACE A PARTIR DEL 25/09</t>
    </r>
  </si>
  <si>
    <t>27/9 pendiente</t>
  </si>
  <si>
    <t>Hola, tenemos problemas para cerrar la puerta exterior hay que limpiar el contacto porque no lo reconoce y se queda abierta. Gracias -</t>
  </si>
  <si>
    <t xml:space="preserve">REVISAR PUERTA DE ENTRADA - TIENE HOLGURA Y NO CIERRA CORRECTAMENTE. YA SE HA REVISADO EL MUELLE </t>
  </si>
  <si>
    <t>27/9 hecho</t>
  </si>
  <si>
    <t xml:space="preserve">REVISAR FOTOCELULA/SENSOR DE LOS ROTULOS EXTERIORES </t>
  </si>
  <si>
    <t xml:space="preserve">LIMPIEZA A FONDO DEL SPLIT UBICADO EN SALA DE REUNIONES. DONDE SE SIENTA EL DIRECTOR DE LA SUCURSAL </t>
  </si>
  <si>
    <t xml:space="preserve">RECUPERADOR - PROGRAMAR PARA QUE SALTE MÁS A MENUDO PARA EVITAR MALOS OLORES EN PASILLO AL LADO DE LA SALA DE JUNTAS. </t>
  </si>
  <si>
    <t xml:space="preserve">ARREGLAR TRAMPILLA ACCESO A MAQUINAS, BISAGRA ROTA </t>
  </si>
  <si>
    <t>27/9 pendiente
29/11 pendiente</t>
  </si>
  <si>
    <t>Pendiente presupuesto, quizás cambiar toda la trampilla
Ya está el presupuesto, pendiente material</t>
  </si>
  <si>
    <t>Nos hemos vuelto a encontrar cucarachas en la planta -2</t>
  </si>
  <si>
    <t>4/10 pendiente</t>
  </si>
  <si>
    <t xml:space="preserve">Los enchufes de la zona del sótano no funcionan, tan solo los enchufes de los vestuarios </t>
  </si>
  <si>
    <t xml:space="preserve">La pila de la cocina está embozada </t>
  </si>
  <si>
    <t>Van 1/10</t>
  </si>
  <si>
    <t>Solicito quitarlas mamparas de la planta baja de la oficina. Son las de separación entre mesas y una del PAD.Un saludo</t>
  </si>
  <si>
    <r>
      <t xml:space="preserve">Sale agua del aire del rac y está la zona un poco inundada  - </t>
    </r>
    <r>
      <rPr>
        <strike/>
        <sz val="11"/>
        <color rgb="FFFF0000"/>
        <rFont val="Calibri"/>
        <family val="2"/>
        <scheme val="minor"/>
      </rPr>
      <t>20/09 TECNICO ESTÁ DE CAMINO</t>
    </r>
  </si>
  <si>
    <t xml:space="preserve">MALOS OLORES - REVISAR LOS EXTRACTORES Y SISTEMA DE VENTILACION - PATINILLOS Y FALSOS TECHOS POR SI NO ES DE LOS EQUIPOS. </t>
  </si>
  <si>
    <t>Hay pedidos ambientadores</t>
  </si>
  <si>
    <r>
      <t xml:space="preserve">Fallo en motor maquina de expulsion de aire sala de maquinas  - </t>
    </r>
    <r>
      <rPr>
        <sz val="11"/>
        <color rgb="FFFF0000"/>
        <rFont val="Calibri"/>
        <family val="2"/>
        <scheme val="minor"/>
      </rPr>
      <t>NO LOCALIZAN PIEZAS MODELOS MUY ANTIGUOS</t>
    </r>
    <r>
      <rPr>
        <sz val="11"/>
        <color theme="1"/>
        <rFont val="Calibri"/>
        <family val="2"/>
        <scheme val="minor"/>
      </rPr>
      <t xml:space="preserve"> </t>
    </r>
    <r>
      <rPr>
        <sz val="11"/>
        <color rgb="FFFF0000"/>
        <rFont val="Calibri"/>
        <family val="2"/>
        <scheme val="minor"/>
      </rPr>
      <t xml:space="preserve"> - SIGUEN BUSCANDO CON VARIOS PROVEEDORES</t>
    </r>
  </si>
  <si>
    <t>Llegaría a tnf el 18 o 19 de nov, pero pasaba por valencia antes. Se va a consultar</t>
  </si>
  <si>
    <r>
      <t>Hay una liana de suciedad en la planta 2. Adjunto foto. - Además los cristales externos de la planta 2 están muy sucios también.</t>
    </r>
    <r>
      <rPr>
        <sz val="11"/>
        <color rgb="FFFF0000"/>
        <rFont val="Calibri"/>
        <family val="2"/>
        <scheme val="minor"/>
      </rPr>
      <t>Hemos pasado aviso a Garnica para que lo retiren y nos dicen que para retirar la suciedad que cuelga hay que solicitar acceso de ocupación 
de vía pública al ayuntamiento, y contratar un brazo articulado. Se informa a Seijo y estamos a la espera de que nos confirme</t>
    </r>
  </si>
  <si>
    <t xml:space="preserve">Solicitamos cambio cerradura puerta vestuario por rotura </t>
  </si>
  <si>
    <t xml:space="preserve">Averia aire acondicionado sala de reuniones interior y exterior </t>
  </si>
  <si>
    <t>Hay presupuesto, falta pedirlo de nuevo</t>
  </si>
  <si>
    <r>
      <t xml:space="preserve">El bacteriostático del baño de clientes tiene un tornillo mal encajado saliendo más de la mitad del mismo, el tornillo está firme no suelto por lo que prefiero que lo revisen y no tener que sacarlo yo y luego meterlo rompiendo el aparato-  </t>
    </r>
    <r>
      <rPr>
        <sz val="11"/>
        <color rgb="FFFF0000"/>
        <rFont val="Calibri"/>
        <family val="2"/>
        <scheme val="minor"/>
      </rPr>
      <t>SE  VAN A CAMBIAR LOS 3 
APARATOS QUE HAY EN LA OFICINA</t>
    </r>
  </si>
  <si>
    <t>Tenemos un diferencial que salta frecuentemente y que está muy caliente - Necesitamos electricista que revise por qué se sobrecalienta el cuadro eléctrico y nos salta el diferencial. Gracias.</t>
  </si>
  <si>
    <t>27/9 pendiente
1/10 hecho</t>
  </si>
  <si>
    <t>No cierra la puerta de acceso a la oficina. - ZARAGOZA</t>
  </si>
  <si>
    <t xml:space="preserve">CORTINA CAJERO - Tenemos dos cortinas corredizas que tapan el cajero y se ha caido una de ellas. Necesitamos que alguien venga para volver a ponerla </t>
  </si>
  <si>
    <t>4/10 hecho</t>
  </si>
  <si>
    <t xml:space="preserve">Hola, vuelve a oler mal la sala de reuniones, necesitamos que se revise el desagüe. Gracias </t>
  </si>
  <si>
    <t xml:space="preserve">CAMBIO DE LUZ FUNDIDA EN CUARTO DE LIMPIEZA </t>
  </si>
  <si>
    <r>
      <t xml:space="preserve">Se ha revisado el cableado de red de la televisión de debajo de los cajeros pero no conecta, necesitamos que se acuda y se revise el cable que va por dentro de la pared y se indique a que roseta o puerto del patch panel queda conectado - </t>
    </r>
    <r>
      <rPr>
        <sz val="11"/>
        <color rgb="FFFF0000"/>
        <rFont val="Calibri"/>
        <family val="2"/>
        <scheme val="minor"/>
      </rPr>
      <t>02 Y 03/10</t>
    </r>
  </si>
  <si>
    <t>SUMINISTRO Y MONTAJE DE EQUIPO 1X1 CONDUCTOS ENTREPLANTA</t>
  </si>
  <si>
    <t xml:space="preserve">COLOCAR GUIA INFERIOR EN PUERTAS CORREDERAS CAJERO </t>
  </si>
  <si>
    <t xml:space="preserve">Ayer cambiaron la enfriadora del Aire Acondicionado pero hoy ha saltado en 3 ocasiones el automatico en el RAC </t>
  </si>
  <si>
    <t xml:space="preserve">El lavabo del medio del wc de hombres de planta -1 pierde agua cuando se tira la cadena </t>
  </si>
  <si>
    <t>LA PERSIANA DEL CIERRE DE LA OFICINA ESTA FUNCIONANDO MAL SE QUEDA BLOQUEADA</t>
  </si>
  <si>
    <t>Colgar un metacrilato en la pared para incluir dentro el plan de evacuación y emergencias. Cuando vengan al mantenimiento, nos tienen que anclar a la pared un metacrilato para colgar el plan de emergencias.</t>
  </si>
  <si>
    <t>11/10 pendiente</t>
  </si>
  <si>
    <t>Planificado a mantenimiento preventivo del mes de nov</t>
  </si>
  <si>
    <t>RETIRAR TERMOSTATO HITACHI QUE ESTÁ DENTRO DEL CUARTO CAJERO</t>
  </si>
  <si>
    <t>11/10 pendiente
29/11 pendiente</t>
  </si>
  <si>
    <t xml:space="preserve">ARREGLAR DE LA MEJOR MANERA POSIBLE BALDOSAS ROTAS </t>
  </si>
  <si>
    <t xml:space="preserve">VISITA CONJUNTA ING Y CBRE - JUEVES 10 DE OCTUBRE A LAS 10:00 </t>
  </si>
  <si>
    <t>11/10 hecho</t>
  </si>
  <si>
    <t xml:space="preserve">AUDITORIA POR PARTE DE CBRE, REQUIEREN ASISTENCIA DE UN TÉCNICO EL MIERCOLES 6 DE NOVIEMBRE </t>
  </si>
  <si>
    <r>
      <t xml:space="preserve">INCIDENCIAS CON LOS MARCOS DE LAS PUERTAS. 
Arreglar el marco interior de la puerta del rack 
Marcos de las puertas de todos los vestuarios desmontados
Revisar muelle puerta de entrada - </t>
    </r>
    <r>
      <rPr>
        <sz val="11"/>
        <color rgb="FFFF0000"/>
        <rFont val="Calibri"/>
        <family val="2"/>
        <scheme val="minor"/>
      </rPr>
      <t>Visita par el 11/10</t>
    </r>
  </si>
  <si>
    <t xml:space="preserve">SUSTITUCION EMERGENCIAS FUNDIDAS </t>
  </si>
  <si>
    <t>11/10 pendiente
11/11 hecho</t>
  </si>
  <si>
    <t>Estor interior oficina no baja totalmente 
Colocar cable estor junto a puerta de emergencia
Mando de persianas oficina averiado, solicitamos 2 mandos de forma urgente</t>
  </si>
  <si>
    <t>Reclamado. Al final solo se pide 1 mando</t>
  </si>
  <si>
    <r>
      <t xml:space="preserve">Tensar sujeción de backlight oficina  - </t>
    </r>
    <r>
      <rPr>
        <strike/>
        <sz val="11"/>
        <color rgb="FFFF0000"/>
        <rFont val="Calibri"/>
        <family val="2"/>
        <scheme val="minor"/>
      </rPr>
      <t>VISITA 10/10</t>
    </r>
  </si>
  <si>
    <r>
      <t xml:space="preserve">Parte tira LED cornisa superior gestores fundida </t>
    </r>
    <r>
      <rPr>
        <sz val="11"/>
        <color rgb="FFFF0000"/>
        <rFont val="Calibri"/>
        <family val="2"/>
        <scheme val="minor"/>
      </rPr>
      <t>09/10</t>
    </r>
  </si>
  <si>
    <t xml:space="preserve">EL EXTRACTOR DEL CUARTO DE BAÑO ECHA  SUCIEDAD </t>
  </si>
  <si>
    <t xml:space="preserve">Extraer enchufe en el almacén </t>
  </si>
  <si>
    <t xml:space="preserve">Tapas puestos kioscos </t>
  </si>
  <si>
    <t xml:space="preserve">REVISAR CONEXIÓN DESAGUE CON RECUPERADOR </t>
  </si>
  <si>
    <t>Limpieza fachada parte inferior Oficina</t>
  </si>
  <si>
    <r>
      <t xml:space="preserve">TENEMOS UNA GOTERA EN EL TECHO, QUE CREEMOS ES DEL CONDUCTO DEL AIRE ACONDICIONADO - NO HA LLOVIDO - </t>
    </r>
    <r>
      <rPr>
        <sz val="11"/>
        <color rgb="FFFF0000"/>
        <rFont val="Calibri"/>
        <family val="2"/>
        <scheme val="minor"/>
      </rPr>
      <t>ACUDEN 11/10</t>
    </r>
  </si>
  <si>
    <r>
      <t xml:space="preserve">La puerta de acceso principal cruje mucho y hace un ruido insoportable - </t>
    </r>
    <r>
      <rPr>
        <sz val="11"/>
        <color rgb="FFFF0000"/>
        <rFont val="Calibri"/>
        <family val="2"/>
        <scheme val="minor"/>
      </rPr>
      <t>AVISADO</t>
    </r>
  </si>
  <si>
    <t>18/10 pendiente</t>
  </si>
  <si>
    <t>Está hecho pendiente parte</t>
  </si>
  <si>
    <r>
      <t xml:space="preserve">LUMINARIAS FUNDIDAS - </t>
    </r>
    <r>
      <rPr>
        <sz val="11"/>
        <color rgb="FFFF0000"/>
        <rFont val="Calibri"/>
        <family val="2"/>
        <scheme val="minor"/>
      </rPr>
      <t>PENDIENTE</t>
    </r>
  </si>
  <si>
    <t>18/10 pendiente 21/01 pendiente 11/04 pendiente, 13/05 sigue en hold
23/05 sigue hold
30/05 sigue hold
06/06 sigue hold
13/06 sigue hold</t>
  </si>
  <si>
    <r>
      <t xml:space="preserve">Se ha roto un fluorescente del wc de la planta -1. Adjunto fotos. </t>
    </r>
    <r>
      <rPr>
        <sz val="11"/>
        <color rgb="FFFF0000"/>
        <rFont val="Calibri"/>
        <family val="2"/>
        <scheme val="minor"/>
      </rPr>
      <t>AVISADO</t>
    </r>
  </si>
  <si>
    <t>SE HA ROTO LA CINTA QUE RECUBRE LA PUERTA DE ACCESO, CONCRETAMENTE EL PLÁSTICO NEGRO DE LA PARTE DE ABAJO, SE HA SOLTADO Y LO HEMOS TENIDO QUE RETIRAR POR LO QUE QUEDA UN HUECO</t>
  </si>
  <si>
    <t>18/10 hecho</t>
  </si>
  <si>
    <r>
      <t>SPLITS DE AIRE ACONDICIONADO NO FUNCIONAN - CUANDO SE ENCIENDE EL AIRE SE QUEDAN LAS LUCES PARPADEANDO Y NO SALE AIRE FRÍO -</t>
    </r>
    <r>
      <rPr>
        <sz val="11"/>
        <color rgb="FFFF0000"/>
        <rFont val="Calibri"/>
        <family val="2"/>
        <scheme val="minor"/>
      </rPr>
      <t xml:space="preserve"> AVISADO </t>
    </r>
  </si>
  <si>
    <r>
      <t xml:space="preserve">No funciona el segundo grifo del wc de la -1 - </t>
    </r>
    <r>
      <rPr>
        <sz val="11"/>
        <color rgb="FFFF0000"/>
        <rFont val="Calibri"/>
        <family val="2"/>
        <scheme val="minor"/>
      </rPr>
      <t>AVISADO</t>
    </r>
  </si>
  <si>
    <t>VISITA CONJUNTA ING Y CBRE - JUEVES 24 DE OCTUBRE A LAS 10:30</t>
  </si>
  <si>
    <r>
      <t>CERRADURA PUESTO PAD - UNO DE LOS PUESTOS QUE TIENE UNA PUERTECILLA TIENE LA CERRADURA MAL PUESTA Y NO CIERRA CORRECTAMENTE - SE VEN TODOS LOS CABLES  -</t>
    </r>
    <r>
      <rPr>
        <sz val="11"/>
        <color rgb="FFFF0000"/>
        <rFont val="Calibri"/>
        <family val="2"/>
        <scheme val="minor"/>
      </rPr>
      <t xml:space="preserve"> ACUDEN EL 23/10</t>
    </r>
  </si>
  <si>
    <t>25/10 pendiente</t>
  </si>
  <si>
    <t>INSTALAR ENCHUFE EN EL ALMACEN</t>
  </si>
  <si>
    <t>HAN VENIDO A CAMBIAR LA HORA DEL HILO MUSICAL PERO NECESITAMOS QUE EL HORARIO SEA COMO EL DE LA OFICINA, QUE AHORA TIENE HORARIO CONTINUO, SIN INTERRUPCIÓN AL MEDIO DÍA. HORARIO SERÍA  8:30 A 18:30 DE LUNES A JUEVES, VIERNES DE 09 A 15:00</t>
  </si>
  <si>
    <t xml:space="preserve">Subsanar deficiencia para evitar entrada de roedores. Hay una ranura entre el suelo y el pladur, debajo de los armarios de la cocina, hay que quitar el embellecedor. Sellar grieta y oquedadas. </t>
  </si>
  <si>
    <t>25/10 hecho</t>
  </si>
  <si>
    <t xml:space="preserve">Regular estor para la altura al suelo </t>
  </si>
  <si>
    <t xml:space="preserve">Regular canal de aire de sala de reuniones </t>
  </si>
  <si>
    <t xml:space="preserve">Pegar correctamente placas de autoservicio </t>
  </si>
  <si>
    <t>SOLICITAMOS PINTAR DE NARANJA LA PUERTA EXTERIOR DE ACCESO DE LA OFICINA DE COSTA RICA. LA PUERTA ES LA DE ACCESO CALLE METALICA NARANJA</t>
  </si>
  <si>
    <t/>
  </si>
  <si>
    <t>1370868</t>
  </si>
  <si>
    <t>8/11 decirle a Jardi que hable con Carlos
21/11 se ha aprobado ya para pintar todo el exterior (puertas)
5/12 todo pintado</t>
  </si>
  <si>
    <t>Buenas, necesitamos se pinte el techo en la planta +1 ya que debido a humedades está amarillento tal cual muestra la foto adjunta. Gracias.</t>
  </si>
  <si>
    <t>1370869</t>
  </si>
  <si>
    <t xml:space="preserve">8/11 pendiente
21/11 sigue en pendiente
20/12 aprobado presupuesto, pendiente confirmar fecha
23/01 hecho
</t>
  </si>
  <si>
    <t>Hace un par de semanas se ha instalado un sistema de purificación de agua para instalar una fuente de agua potable, el sistema pierde por una de las juntas. Creo que la empresa instaladora es Aquaservice</t>
  </si>
  <si>
    <t>950429</t>
  </si>
  <si>
    <t>BAÑO DE EMPLEADO DE ZONA BAJA ACUMULA HUMEDAD Y PUEDE TENER UNA PERDIDA</t>
  </si>
  <si>
    <t>23/4/024</t>
  </si>
  <si>
    <t>29/4 hecho</t>
  </si>
  <si>
    <t>TECHO PLANTA ALTA ROTO RUTURA DE AGUA</t>
  </si>
  <si>
    <t>29/1272021</t>
  </si>
  <si>
    <t>SR5541797</t>
  </si>
  <si>
    <t>(CG 15/09) Hecho</t>
  </si>
  <si>
    <t xml:space="preserve">SE HA ROTO EL TIRADOR DE LA PUERTA DE LA CALLE. EN PRINCIPIO PARECE DE SOLDADURA </t>
  </si>
  <si>
    <t>7/!0/2024</t>
  </si>
  <si>
    <t>12/7 pendiente
19/7 pendiente
26/7 pendiente
5/8 pendiente
23/8 hecho</t>
  </si>
  <si>
    <t>necesitamos una limpieza del patio de la parte trasera de la oficina de acacias, esta muy sucio el suelo y hay muchas hojas e insectos</t>
  </si>
  <si>
    <t>No tenemos</t>
  </si>
  <si>
    <t>18/04 tienen que comentarlo con Carlos
4/5 se hará una vez al mes
17/5 hecho</t>
  </si>
  <si>
    <t>Buenas tardes, necesitamos 4 sillas de clientes, se han roto. Hemos sutituido por las de la sala, pero si se rompe una más ya no tendríamos para sustituir para que los clientes se puedan sentar. Rogamos nos envíen lo antes posible.Gracias</t>
  </si>
  <si>
    <t>SF</t>
  </si>
  <si>
    <t xml:space="preserve">07/03 se encarga Carlos
</t>
  </si>
  <si>
    <t>Diversas losetas vinílicas del suelo de la oficina se han levantado, están despegadas o en mal estado. En el falso muro de cajeros algunas se están levantando y necesitan fijarse 
adecuadamente antes de que se caigan.</t>
  </si>
  <si>
    <t>1406752</t>
  </si>
  <si>
    <t>21/11 pendiente de hablar con carlos 
5/12 hecho</t>
  </si>
  <si>
    <t>Vinilo exterior cajeros 4B roto y agujereado con un diametro de unos 30 centimetros</t>
  </si>
  <si>
    <t>SR55115294</t>
  </si>
  <si>
    <t>(CG 08/03) Pendiente recibir información de marketing
CG 27/05) En breve se ejecuta</t>
  </si>
  <si>
    <t>Gotera en el techo del pasillo de los baños</t>
  </si>
  <si>
    <t>SR5515223</t>
  </si>
  <si>
    <t>(CG 08/03) Semana del 14/03
(CG 27/05) Gotera P. baja resuelta. En Sótano está pendente de la Comunidad</t>
  </si>
  <si>
    <t>CONTROL PLAGA HORMIGAS</t>
  </si>
  <si>
    <t>SR5598549</t>
  </si>
  <si>
    <t>(CG 08/03) Ejecutado, principios de febrero</t>
  </si>
  <si>
    <t>LIMPIEZA -2 , PINTURAS, MATERIAL INFLAMABLE, MATERIAL ANTIGUO ING</t>
  </si>
  <si>
    <t>SR5599698</t>
  </si>
  <si>
    <t>(CG 08/03) Retrasado por parte de la peticionaria por afluciencia de gente. Pendiente esta semana.
(CG 27/05) Hecho</t>
  </si>
  <si>
    <t xml:space="preserve">pomos puertas zona interior oficina </t>
  </si>
  <si>
    <t>SR5601417</t>
  </si>
  <si>
    <t>(CG 08/03) Ejecutado 07/02</t>
  </si>
  <si>
    <t>Chapas puestos de autoservicio</t>
  </si>
  <si>
    <t>SR5610082</t>
  </si>
  <si>
    <t>(CG 27/05) Hecho</t>
  </si>
  <si>
    <t xml:space="preserve">Mesas cojas </t>
  </si>
  <si>
    <t>SR5737474</t>
  </si>
  <si>
    <t>(CG 27/05) Se enviará a un carpintero para que lo vea</t>
  </si>
  <si>
    <t>(16/12) una de ellas sigue coja!</t>
  </si>
  <si>
    <t>Humedades sotano</t>
  </si>
  <si>
    <t>(CG 27/05) Pendiente de Aqualia
(CG 15/09) Se queda así, porque no afecta a estructura ni imagen</t>
  </si>
  <si>
    <t>ARREGLOS DE PARED DE AIRE ACONDICIONADO</t>
  </si>
  <si>
    <t>(CG 08/03) Ejecución el sábado 12/03
(CG 27/05) Hecho</t>
  </si>
  <si>
    <t xml:space="preserve">ESTORES OFICINA </t>
  </si>
  <si>
    <t>(CG 08/03) Pendiente aprobación ppto
(CG 27/05) Los estores llegaban la semana del 09/05. Pendiente de mover una cámara de seguridad para instalación</t>
  </si>
  <si>
    <t>VARIAS</t>
  </si>
  <si>
    <t>Suelo</t>
  </si>
  <si>
    <t>(26/10) Buscando nuevos proveedores y materiales más resistentes
(29/11) Pendiente de ver muestras en O'Donell
(21/12) Pendiente de recibir muestras
(24/01) no debería estar en este fichero</t>
  </si>
  <si>
    <t>Silla rota</t>
  </si>
  <si>
    <t>Se envía nueva silla. Pemndiente de ver con Vero Villasevil si hay otro modelo. Marta se encargará</t>
  </si>
  <si>
    <r>
      <t xml:space="preserve">Tenemos una gotera en el techo debido a problemas con el sistema de climatizacion. Ya han venido 3 veces a ver las goteras, pero sigue cayendo agua. necesitamos una solución urgente- </t>
    </r>
    <r>
      <rPr>
        <strike/>
        <sz val="11"/>
        <color rgb="FFFF0000"/>
        <rFont val="Calibri"/>
        <family val="2"/>
        <scheme val="minor"/>
      </rPr>
      <t>AVISADO - ACUDEN EL 28/10-SE HA ROTO OTRA BOMBA DE CONDENSADOS. AVISADO SEIJO, HABLARA CON DAIKIN YA QUE NO ES NORMAL QUE SE HAYAN REALIZADO YA 3 INDICENCIAS CON FUGA DE AGUA EN EQUIPOS NUEVOS INSTALADOS ESTE VERANO.</t>
    </r>
    <r>
      <rPr>
        <strike/>
        <sz val="11"/>
        <color indexed="8"/>
        <rFont val="Calibri"/>
        <family val="2"/>
        <scheme val="minor"/>
      </rPr>
      <t>- SE ENCARGAR CARLOS CON LOS INSTALADORES DE LOS NUEVOS EQUIPOS EN GARANTIA Y QUE ESTÁN FALLANDO</t>
    </r>
  </si>
  <si>
    <t>31/10 hecho</t>
  </si>
  <si>
    <r>
      <t xml:space="preserve">El pestillo de la puerta del wc de minusválidos no cierra - </t>
    </r>
    <r>
      <rPr>
        <sz val="11"/>
        <color rgb="FFFF0000"/>
        <rFont val="Calibri"/>
        <family val="2"/>
        <scheme val="minor"/>
      </rPr>
      <t>AVISADO</t>
    </r>
  </si>
  <si>
    <t>31/10 pendiente</t>
  </si>
  <si>
    <t>Necesitamos se ponga algo antideslizante en la rampa de entrada a la oficina ya que resbala y más cuando llueve.</t>
  </si>
  <si>
    <t>No es prioritario</t>
  </si>
  <si>
    <t xml:space="preserve">Sobrecalentamiento diferenciales rack - Seguimos teniendo problemas de sobrecalentamiento lo que hace que salten las luces, necesitamos revisen de nuevo </t>
  </si>
  <si>
    <t>Van a atanderlo</t>
  </si>
  <si>
    <t>COLOCACION DE BRIDAS PARA UNA LONA - Necesitamos de ayuda para la colocacion de unas lonas publicitarias.</t>
  </si>
  <si>
    <t>Van 5/11</t>
  </si>
  <si>
    <t xml:space="preserve">Hay una losa en la planta 0 cerca del cajero 41 despegada que se mueve al pisarla - Necesitamos se pegue bien, gracias. </t>
  </si>
  <si>
    <t>PUERTA DEL RACK - AJUSTAR MUELLE</t>
  </si>
  <si>
    <r>
      <t xml:space="preserve">Necesitamos que los transformadores que están metidos en falso techo de rótulos y cartelería de fachada de publicidad, se reubiquen en un armario metálico de pared de telecomunicaciones con fondo madera, adecuado a las medidas de los Trafos en cuarto RACK
</t>
    </r>
    <r>
      <rPr>
        <sz val="11"/>
        <color rgb="FFFF0000"/>
        <rFont val="Calibri"/>
        <family val="2"/>
        <scheme val="minor"/>
      </rPr>
      <t>PRESUPUESTO ENVIADO A SEIJO PARA SU APROBACION</t>
    </r>
  </si>
  <si>
    <t>11/11 pendiente</t>
  </si>
  <si>
    <t>Llueve mucho y cae agua dentro del ascensor derecho. Lo dejamos fuera de servicio por precaución.</t>
  </si>
  <si>
    <t>11/11 hecho</t>
  </si>
  <si>
    <t xml:space="preserve">A PETICION DE CARLOS GARCIA SEIJO - REVISAR BOMBAS DE ACHIQUE DEBIDO A FUERTES LLUVIAS EN BARCELONA </t>
  </si>
  <si>
    <r>
      <t>NECESITAMOS LIMPIEZA A FONDO DE LA TAPICERIA DE LAS SILLAS DE SABADELL - Disponemos de sillas para los clientes que están tapizadas y, por lo que sé, está acordada una limpieza periódica de las tapicerías que no se está dando. Tenemos además alguna silla con 
manchas que necesitan tratamiento especial y que hemos tenido que retirar por no estar presentables para los clientes, por lo que no podemos contar con ellas. Solicitamos la limpieza periódica de las sillas y una limpieza especial para dos de ellas, que lo requieren más que las demás.</t>
    </r>
    <r>
      <rPr>
        <sz val="11"/>
        <color rgb="FFFF0000"/>
        <rFont val="Calibri"/>
        <family val="2"/>
        <scheme val="minor"/>
      </rPr>
      <t xml:space="preserve"> Se realizará la limpieza de las sillas el día que se haga la limpieza semestral, aun no tengo fecha, se están empezando a programar</t>
    </r>
    <r>
      <rPr>
        <sz val="11"/>
        <color theme="1"/>
        <rFont val="Calibri"/>
        <family val="2"/>
        <scheme val="minor"/>
      </rPr>
      <t>.</t>
    </r>
  </si>
  <si>
    <t>11/11 pendiente 21/01 van el sábado a hacer la limpieza de 14:00 a 20:00</t>
  </si>
  <si>
    <t xml:space="preserve">El hilo musical se escucha muy flojito y mal </t>
  </si>
  <si>
    <t>15/11 pendiente</t>
  </si>
  <si>
    <t xml:space="preserve">La mitad de la oficina está a oscuras - Hay un diferencial del cuadro eléctrico bajado, cada vez que lo subimos salta. La mitad de la oficina está a oscuras y algunos puestos no se pueden usar pq no llega corriente eléctrica </t>
  </si>
  <si>
    <t>15/11 hecho</t>
  </si>
  <si>
    <t xml:space="preserve">MANILLA ROTA PUERTA RAC - En la puerta del RAC se ha partido la manilla o maneta. aunque la puerta se abre con el mecanismo de seguridad empujando, consideramos que se necesita un servicio urgente. - </t>
  </si>
  <si>
    <t>REVISAR ESTADO SUCURSAL- POSIBLES FILTRACIONES AGUA</t>
  </si>
  <si>
    <t xml:space="preserve">Store entrada principal se ha caído. Se ha doblado el soporte lateral de sujeción de la persiana. solicitamos reparación y volver a conectar a la toma de corriente el store. Adjunto imágenes. </t>
  </si>
  <si>
    <t>Necesitamos que venga a revisar la pata de una mesa de atencion al cliente. la ultima mesa de la oficina, la nueva, tiene una pata que esta bastnte inestable. Deberiamos reforzar esa pata, ya que esta torcida y corremos el riesto de que se rompa la mesa.</t>
  </si>
  <si>
    <t>ROTURA DE PUERTA DE CRISTAL ZONA ACCESO DE EMPLEADOS - HA REVENTADO POR SI SOLA POR TEMPERATURA PUERTA DE VIDRIO DE ZONA DE EMPLEADOS</t>
  </si>
  <si>
    <t>15/11 pendiente 21/01 se cambio el 24 diciembre y falta el vinilo</t>
  </si>
  <si>
    <t>Falta vinilo para instalar</t>
  </si>
  <si>
    <t>ASCENSOR VALENCIA - SIN CONFIRMAR ACTUACION -</t>
  </si>
  <si>
    <t>Llave apertura ascensor - el ascensor de la oficina funciona con una llave q es la q abre las puertas, la cerradura esta mal y cuesta mucho abrirlo y hay varias llaves q no funcionan para abrirlo.</t>
  </si>
  <si>
    <t xml:space="preserve">Reparación desconchón enlucido del techo de la escalera. Solicitamos reparación de desconchón generado en el techo de la escalera de la oficina, a consecuencia de la existencia de humedades previas. </t>
  </si>
  <si>
    <t>22/11 pendiente</t>
  </si>
  <si>
    <t xml:space="preserve">SOLICITAMOS REEMPLAZO LED CARTELERIA INTERIOR </t>
  </si>
  <si>
    <t>22/11 pendiente 21/01 pendiente encontrar tubos naranjas</t>
  </si>
  <si>
    <t xml:space="preserve">SOLICITAMOS CAMBIO DE BOMBILLOS </t>
  </si>
  <si>
    <t>22/11 hecho</t>
  </si>
  <si>
    <t>GOTERA EN EL TECHO DE LA SEGUNDA SALA - Tenemos otra vez una gotera en el techo de la segunda sala de la oficina.</t>
  </si>
  <si>
    <t xml:space="preserve">PINTURA EN PARED CARTELES DE EXTINTOR Y PARTE TRASERA DE CAJEROS INTERNOS </t>
  </si>
  <si>
    <t xml:space="preserve">VISITA CONJUNTA ING + CBRE - JUEVES 21 DE NOVIEMBRE A LAS 11:00 </t>
  </si>
  <si>
    <t>SUMINISTRO DE 2 PULSADORES DOBLES DE CISTERNA + SILICONA PARA ANCLAR MEJOR EL INODORO DEL BAÑO DE MUJERES</t>
  </si>
  <si>
    <t>Gijon</t>
  </si>
  <si>
    <t>Tenemos fundida la luz que se encuentra en el techo encima de la mesa 1 y 2 de gestores.</t>
  </si>
  <si>
    <t>Fallo aire acondicionado- El sistema de aire acondicionado planta baja salta diferencial unid exterior, dejando el termostato sin pantalla y el técnico no puede saber el código de avería esto lleva pasando reiteradamente con operaciones correctivas puntuales pero se 
necesita asistencia especialista de frio para revisión maquina completa ya que la avería no es constante</t>
  </si>
  <si>
    <t xml:space="preserve">Cambiar las válvulas del agua caliente. </t>
  </si>
  <si>
    <t>Pendiente parte</t>
  </si>
  <si>
    <t>No ha asistido personal de limpieza-Ayer 21 de Noviembre no ha asistido ninguna persona a limpiar la oficina. La chica que va todos los dias me dijo que tenia libre ayer y hoy, que le habia informado a su jefa, pero no ha ido nadie, y ayer llovió en Salamanca y está la oficina muy sucia, para que contacteis con ellos y confirmar que hoy si va a haber alguien</t>
  </si>
  <si>
    <t>22/11 pendiente
29/11 hecho</t>
  </si>
  <si>
    <t>Ambientador instalado revisarlo - Deberiamos revisar placa de ambientador instalada porque ha perdido efectividad y no huele como al principio.</t>
  </si>
  <si>
    <t xml:space="preserve">ANCLAR AL LADRILLO LOS DOS PASAMANOS DEL BANO DE MINUSVALIDOS </t>
  </si>
  <si>
    <t>29/11 pendiente</t>
  </si>
  <si>
    <t>Falta pintar</t>
  </si>
  <si>
    <t xml:space="preserve">BANDEJAS VRV EXT AZOTEA - COLOCARLAS CORRECTAMENTE </t>
  </si>
  <si>
    <t xml:space="preserve">MARCOS DE LA PUERTA DE VESTUARIOS DE CHICOS - ARREGLAR </t>
  </si>
  <si>
    <t xml:space="preserve">BACKLIGHTS - ENGANCHAR Y TENSAR </t>
  </si>
  <si>
    <t>29/11 hecho</t>
  </si>
  <si>
    <t xml:space="preserve">REVISAR PUERTA DE ENTRADA / MUELLE - NO SE QUEDA CORRECTAMENTE CERRADA </t>
  </si>
  <si>
    <t xml:space="preserve">Hay que regular la puerta de entrada. al salir da portazos. </t>
  </si>
  <si>
    <t xml:space="preserve">COLOCACION DE CANALETAS EXTERIORES </t>
  </si>
  <si>
    <t xml:space="preserve">REPARACION DE BIOMBO </t>
  </si>
  <si>
    <t xml:space="preserve">PLACA DEL SUELO </t>
  </si>
  <si>
    <t>DIFUSOR DEL BAÑO DE LA PLANTA BAJA</t>
  </si>
  <si>
    <t>CERRADURA VENTANAS ROTAS - La mayoría de las cerraduras de las ventanas que hay en la parte trasera de la oficina están rotas, tanto planta alta como baja</t>
  </si>
  <si>
    <t>29/11 pendiente 21/01 ok</t>
  </si>
  <si>
    <t xml:space="preserve">Necesitamos se pegue con adhesivo especial de alta resistencia las tapas metálicas de los kioscos para evitar se caigan </t>
  </si>
  <si>
    <t xml:space="preserve">Hay 2 focos de la planta 2 fundidos </t>
  </si>
  <si>
    <t>Tras tareas de instalacion de puerta y trampilla de la sala de reuniones necesitamos pintar el techo. La trampilla es de otro color y hay manchas de los trabajaos realizados.</t>
  </si>
  <si>
    <t>29/11 pendiente 21/01 pediente</t>
  </si>
  <si>
    <t>SUSTITUCION EMERGENCIAS ZONA DEL RACK</t>
  </si>
  <si>
    <t xml:space="preserve">No cierra la puerta de acceso a oficina, no contacta el sistema de cierre automático. Ha pasado otras veces, suele ser porque el muelle se afloja por el propio peso de la puerta. </t>
  </si>
  <si>
    <t>29/11 pendiente 21/01 cambiar puerta es la solución, pendiente presupuesto, siguen en hold 13/05
23/05 sigue hold
30/05 sigue hold
06/06 sigue hold
13/06 sigue hold</t>
  </si>
  <si>
    <t>Han ido a la oficina. Van a pasar presupuesto. Presupueso enviaod a Carlos, Lo lleva carlos</t>
  </si>
  <si>
    <t>ARMARIO EXTERIOR DE CONTROL DEL ASCENSOR PEGADO CON CINTA - FALTA PEGATINA CON TELEFONO DE URGENCIA DE MANTENIMIENTO DEL ASCENSOR</t>
  </si>
  <si>
    <t xml:space="preserve">Persiana motorizada anulada </t>
  </si>
  <si>
    <t xml:space="preserve">SALTA EL FUSIBLE DE LA PLANTA BAJA - Cada 3 minutos salta el fusible de la planta baja por lo que estamos teniendo problemas de conexión, de cajeros, kioskos, etc... </t>
  </si>
  <si>
    <t xml:space="preserve">La puerta de entrada no cierra del todo, se queda abierta un centímetro y no se cierra - Necesitamos se ajuste el muelle para asegurarnos que se cierra sola. </t>
  </si>
  <si>
    <t>Rotura del brazo-guia del muelle de la puerta de entrada - La tarde del 02/12/2024 un cliente golpeó a propósito y con mucha fuerza la puerta, provocando la rotura del brazo guía del muelle de la puerta de entrada. Hemos dado aviso esa misma tarde y la puerta se puede cerrar, 
pero no ha quedado arreglada. Necesitamos que se arregle para que funcione con normalidad.</t>
  </si>
  <si>
    <t>5/12 pendiente</t>
  </si>
  <si>
    <t>Los tubos fluorescentes del almacén, en la planta -1, parpadean mucho y no se ve  - hay que reponer los tubos para tener buena luz en el almacén de material.</t>
  </si>
  <si>
    <t>LUZ INTERIOR TECHO CUARTO DE ALMACENAMIENTO DE MATERIAL NO FUNCIONA. SUPUESTAMENTE ESTA FUNDIDA. -</t>
  </si>
  <si>
    <t xml:space="preserve">5/12 pendiente 21/01 pendiente </t>
  </si>
  <si>
    <t>Sale muy poca agua de los grifos de los baños y uno de los WC no recarga agua</t>
  </si>
  <si>
    <t xml:space="preserve">Tenemos silla con el respaldo roto  </t>
  </si>
  <si>
    <t>Adjunto imagen de una caja de electricidad de una mesa que se ha desmontado para que acudan a colocarla bien -</t>
  </si>
  <si>
    <t>Córdoba, no funciona la calefacción. URGE reparación</t>
  </si>
  <si>
    <t>19/12 pendiente 21/01 pendiente, aprobación de presupuesto. Es un tema complejo y lo trata una empresa de climatización, 13/05 sigue en hold
23/05 sigue hold
30/05 sigue hold
06/06 sigue hold
13/06 sigue hold</t>
  </si>
  <si>
    <t>Mandado presupuesto a Carlos</t>
  </si>
  <si>
    <t>Atasco importante en el baño de chicos de ING Móstoles</t>
  </si>
  <si>
    <t>19/12 pendiente</t>
  </si>
  <si>
    <t>ING MOSTOLES Puerta de acceso no cierra. Según indican los empleados, se ha roto un muelle.</t>
  </si>
  <si>
    <t>19/12 hecho</t>
  </si>
  <si>
    <t>Se necesita cambiar el cable que va del hilo musical al amplificador ya que está dañado y suena el aparato distorsionado.</t>
  </si>
  <si>
    <t>13/12/24</t>
  </si>
  <si>
    <t>Ahora que ha empezado el frío no hace calor en la oficina a pesar de estar puesta la calefacción. Calentamos la oficina con la cortina de aire caliente.</t>
  </si>
  <si>
    <t>19/12 pendiente 21/01 pendiente</t>
  </si>
  <si>
    <t xml:space="preserve">Instalar 2 tablones de anuncios. Adjunto foto de los tablones que están actualmente, y se necesitan instalar otros 2 tablones </t>
  </si>
  <si>
    <t xml:space="preserve">NECESITAMOS QUE ACOMPAÑE  UN TÉCNICO A LA EMPRESA ARYSE PARA SUBIR A LA AZOTEA MARTES 17/12 A LAS 13:30 </t>
  </si>
  <si>
    <t>No cierra la puerta exterior. Nos urge revisión</t>
  </si>
  <si>
    <t xml:space="preserve">Tenemos la luz del baño de las chicas fundidas y 2 focos de la oficina </t>
  </si>
  <si>
    <t>19/12 pendiente 21/01 pendiente 11/04 pendiente
23/05 sigue en hold
30/05 sigue hold
06/06 sigue hold
13/06 sigue hold</t>
  </si>
  <si>
    <t>Reclamado. Tema de seguridad</t>
  </si>
  <si>
    <t>Tenemos una gotera en el pasillo del sótano, parece una bajante de la comunidad del edificio</t>
  </si>
  <si>
    <t xml:space="preserve">La oficina vuelve a sufrir de olores muy fuerte - En la zona de atención a clientes hay de nuevo un fuerte olor a tubería , en sótano que parecía que era el origen no sucede. En especial es por la tarde </t>
  </si>
  <si>
    <t xml:space="preserve">MANDO PRINCIPAL DE LUCES PASADO DE VUELTAS, SIN LUZ EN VARIAS ZONAS </t>
  </si>
  <si>
    <t>27/12 pendiente</t>
  </si>
  <si>
    <t>Hilo persiana averiado</t>
  </si>
  <si>
    <t>23/12/24</t>
  </si>
  <si>
    <t>27/12 pendiente 21/01 pendiente</t>
  </si>
  <si>
    <t>se ha roto un marco de la puerta</t>
  </si>
  <si>
    <t>24/12/24</t>
  </si>
  <si>
    <t>Puerta de entrada no cierra</t>
  </si>
  <si>
    <t>26/12/24</t>
  </si>
  <si>
    <t>PUERTA PRINCIPAL NO CIERRA</t>
  </si>
  <si>
    <t>27/12/24</t>
  </si>
  <si>
    <t>La puerta de entrada no cierra sola, hay que regular el brazo superior</t>
  </si>
  <si>
    <t>14/05/2025 hecho</t>
  </si>
  <si>
    <t>Reclamado. Previsto para 19-25 marzo</t>
  </si>
  <si>
    <t>Suministro y sustitución de placa neutralizadora de olores - SEVILLA</t>
  </si>
  <si>
    <t>13/1 hecho</t>
  </si>
  <si>
    <t xml:space="preserve">Luminarias fundidas:
- Foco luz de la escalera de subida a la primera planta
- La luz del espacio del cajero 20 no funciona (sustituida ya)
</t>
  </si>
  <si>
    <t>13/1 pendiente 21/01 pedidos</t>
  </si>
  <si>
    <t xml:space="preserve">SUMINISTRO SANITRIL BAÑO MUJER/CABALLERO PARA TENER EN STOCK </t>
  </si>
  <si>
    <t>13/1 pendiente 21/01</t>
  </si>
  <si>
    <t xml:space="preserve">La puerta de uno de los baños tiene roto el cerrojo, el pestillo el mecanismo de cierre y el tirador interior </t>
  </si>
  <si>
    <t>13/1 pendiente 21/01 ok</t>
  </si>
  <si>
    <t xml:space="preserve">TENEMOS UN GRAFITI EN LA FACHADA </t>
  </si>
  <si>
    <t>Se ha caído la máquina de turnos y han saltado los muelles que cierran la tapa</t>
  </si>
  <si>
    <t>13/1 pendiente</t>
  </si>
  <si>
    <t>En el habitáculo de la oficina hay solo una bombilla encendia de 5-6 que hay. Necesitamos que se repongan. Gracias</t>
  </si>
  <si>
    <t>NO HAY LUZ EN EL VESTUARIO MASCULINO, HAY QUE CAMBIAR LA BOMBILLA</t>
  </si>
  <si>
    <t>Tienen que revisar desagüe por olor en despacho. Gracias</t>
  </si>
  <si>
    <t>13/1 pendiente 21/01 pendiente</t>
  </si>
  <si>
    <t>Viene de atrás esta incidencia. Falta parte</t>
  </si>
  <si>
    <t>Hola, vuelve a cerrar mal la puerta de acceso. Gracias</t>
  </si>
  <si>
    <t>PUERTA LATERAL DESCOLGADA - Buenos días, tenemos la puerta lateral descolgada y no cierra correctamente, tenemos que darle un golpe fuerte para cerrarla. ¿podemos revisar?</t>
  </si>
  <si>
    <t>Pestillo baño roto</t>
  </si>
  <si>
    <t>19/1 hecho</t>
  </si>
  <si>
    <t>Necesitamos colgar una pizarra en la sala de reuniones de dimensiones grandes</t>
  </si>
  <si>
    <t>CORRECTIVO - SELLAR CRISTALERA DE LA FACHADA</t>
  </si>
  <si>
    <t>19/1 pendiente 21/01 pendiente</t>
  </si>
  <si>
    <t>VISITA CONJUNTA ING + CBRE - JUEVES 16 DE ENERO DE 10:30h  A 13h</t>
  </si>
  <si>
    <t>Necesitamos un nuevo dispensador de gel para el cuarto de baño. Tenemos uno de metal anclado a la pared que tiene un boquete en la base y se derrama el gel.</t>
  </si>
  <si>
    <t>19/1 pendiente 21/01 ok</t>
  </si>
  <si>
    <t>Los clientes se lo llevan. En Granada se implemento el proyecto</t>
  </si>
  <si>
    <t>Falta el pulsador de la cisterna del baño femenino</t>
  </si>
  <si>
    <t>El escalón entre el patio de operaciones y la entrada a la oficina está roto</t>
  </si>
  <si>
    <t>19/1 pendiente</t>
  </si>
  <si>
    <t>Tenemos una gotera en el cuarto donde esta el cuadro eléctrico. entendemos que puede ser del aire acondicionado que esta dentro del falso techo.</t>
  </si>
  <si>
    <t>SALE AGUA POR EL TECHO A UNOS 30 CM DE UN APARATO DE AIRE ACONDICIONADO, Y SEESTA FORMACNDO CHARCO EN EL SUELO</t>
  </si>
  <si>
    <t xml:space="preserve">FOCO BAÑO CABALLEROS Y LED FALSO TECHO ZONA CLIENTES </t>
  </si>
  <si>
    <t xml:space="preserve">REPOSICIÓN DE LA LUZ DE LA MESA 1 </t>
  </si>
  <si>
    <t>19/1 pendiente 21/01 pendeinte</t>
  </si>
  <si>
    <t>Falta parte</t>
  </si>
  <si>
    <t xml:space="preserve">Luces de los rótulos exteriores del lateral algunos fundidos </t>
  </si>
  <si>
    <t xml:space="preserve">LOS AIRES ACONDICIONADOS ECHAN AIRE FRIO  </t>
  </si>
  <si>
    <t>19/1 pendiente 21/01 pendiente presupuesto</t>
  </si>
  <si>
    <t>Se han comprado calefactores como solución momentanea</t>
  </si>
  <si>
    <t xml:space="preserve">Estropeado foco interior - Foco que está cerca de la escalera al lado de los cajeros </t>
  </si>
  <si>
    <t xml:space="preserve">CISTERNA QUE DESDE ESTA TARDE PIERDE AGUA, COMO SI ESTUVIERA CONTINUAMENTE PULSADA. VESTUARIO FEMENINO </t>
  </si>
  <si>
    <t>Los bordes entre la moqueta del suelo y las partes de suelo sin moqueta se están soltando</t>
  </si>
  <si>
    <t>19/1 pendiente 21/01 asisten hoy los técnicos</t>
  </si>
  <si>
    <t xml:space="preserve">La maneta de la puerta del rack está con los tornillos aflojados y a punto de caerse </t>
  </si>
  <si>
    <t xml:space="preserve">OCA BT - ACOMPAÑAR BUREAU VERITAS - 24/01 14:30  </t>
  </si>
  <si>
    <t>24/1 pendiente</t>
  </si>
  <si>
    <t xml:space="preserve">OCA BT - ACOMPAÑAR BUREAU VERITAS - 31/01 14:30  </t>
  </si>
  <si>
    <t xml:space="preserve">Reclamamos cambio luces fundidas tras el puesto de gestores </t>
  </si>
  <si>
    <t xml:space="preserve">Persiana estore caida, se ha descolgado del techo </t>
  </si>
  <si>
    <t>RUIDO EN EL TECHO DONDE HAY UN SPLIT DEL AIRE ACONDICIONADO. NO SABEMOS EXACTAMENTE DE DONDE PROVIENE EL RUIDO, HEMOS APAGADO EL SPLIT Y EL RUIDO SIGUE. EL RUIDO ES BASTANTE MOLESTO - MALAGA</t>
  </si>
  <si>
    <t>24/1 pendiente, 11/04 cerrado, se añadió otra incidencia a la celda que 13/06 sigue hold</t>
  </si>
  <si>
    <t>Hicieron visita. Hay que hacer fuera de horario. Pendiente presupuesto. Hold</t>
  </si>
  <si>
    <t xml:space="preserve">Estropeado uno de los focos del vestuario del personal de limpieza en planta -1 </t>
  </si>
  <si>
    <t>REclamado</t>
  </si>
  <si>
    <t xml:space="preserve">Llevamos una temporada en la que si encendemos 3 estufas a la vez de las individuales salta el plomo de la oficina. Revisar potencia o problemas de conexiones </t>
  </si>
  <si>
    <t xml:space="preserve">MANECILLA PUERTA VESTUARIO MASCULINO AVERIADA - La parte interior de la manecilla de la puerta se cayo y se desmonto. Rogamos sutitucion </t>
  </si>
  <si>
    <t xml:space="preserve">TENEMOS EL STORE DE LA PUERTA AL PATIO ROTO Y NO PODEMOS ABRIR LA PUERTA </t>
  </si>
  <si>
    <t>LLEVAMOS UNOS MESES CON LOS CRISTALES SUCIOS POR FAVOR NECESITAMOS RECLAMAR SERVICIO Y QUE VENGAN CON LA PERIODICIDAD PACTADA. MUCHAS GRACIAS</t>
  </si>
  <si>
    <t xml:space="preserve">CAMBIO 2 PANTALLAS ILUMINACION 2X36- Se han fundido las luces del RAC, necesitamos cambio. Son 2 pantallas de 2x36 </t>
  </si>
  <si>
    <t>31/1 pendiente</t>
  </si>
  <si>
    <t xml:space="preserve">En la puerta de cajeros se ha soltado un tornillo de la cerradura adjunto imagen  </t>
  </si>
  <si>
    <t>31/1 hecho</t>
  </si>
  <si>
    <t xml:space="preserve">Un detector de CO2 de la oficina ha empezado a pitar -  Tenemos un detector de temperatura y CO2 está dando señales de alarma, está pitando </t>
  </si>
  <si>
    <t>HACEN RUIDO LAS BISAGRAS DE LA PUERTA DE ENTRADA AL ABRIR Y CERRAR. LE HEMOS PUESTO 3 EN 1 PERO CONTINUAN IGUAL.POR OTRA PARTE SEGUIMOS A LA ESPERA DEL CAMBIO DEL BRAZO DE CIERRE</t>
  </si>
  <si>
    <t xml:space="preserve">No encienden ni la Turnomatic de la oficina ni las impresoras Ricoh. Necesitamos revisión urgente! </t>
  </si>
  <si>
    <t>7/2 hecho</t>
  </si>
  <si>
    <t>Necesitamos cambiar las cintas antideslizantes negras que hay en las escaleras, tanto de la entrada como de la planta alta, ya que se encuentran muy desgastadas y no hacen su función ya hemos tenido varias caídas en las escaleras de la entrada.</t>
  </si>
  <si>
    <t>11/04 cerrado. Se añadió otra ticket en la misma celda.</t>
  </si>
  <si>
    <t>OFICINA SIN LUZ</t>
  </si>
  <si>
    <t>7/2 pendiente</t>
  </si>
  <si>
    <t>El monitor del mobile pad no es estandar, la cerradura del mobile pad esta rota y no se puede abrir la puerta del mueble</t>
  </si>
  <si>
    <t xml:space="preserve">REVISAR CUADRO ELECTRICO DENTRO DEL RAC </t>
  </si>
  <si>
    <t xml:space="preserve">SUSTITUCION DE LUMINARIAS INTERIOR FUNDIDAS </t>
  </si>
  <si>
    <t xml:space="preserve">SUMINISTRO Y SUSTITUCIÓN DE PULSADOR WC </t>
  </si>
  <si>
    <t xml:space="preserve">Siguen filtrándose olores de la obra del patio en la sala, por favor revisar. Gracias </t>
  </si>
  <si>
    <t>11/04 pendiente
30/05 no pone cerrado
06/06 sigue hold</t>
  </si>
  <si>
    <t>14/05 DONE</t>
  </si>
  <si>
    <t>TECHO DESPRENDIDO - RETIRAR ESCOMBROS Y AVERIGUAR ORIGEN DE LA HUMEDAD.</t>
  </si>
  <si>
    <t>14/2 hecho</t>
  </si>
  <si>
    <t xml:space="preserve">Pierde agua el baño de los chicos - El baño de los chicos de la oficina de Salamanca pierde un poco de agua, para revisarlo y arreglarlo </t>
  </si>
  <si>
    <t>14/2 pendiente</t>
  </si>
  <si>
    <t>Puerta entrada con el agarre (barra) manual para apertura se está aflojando, el soporte superior que guia la puerta y fuerza el cierre, tb se está aflojando, ya le falta uno de los tornillos.  El pomo de la puerta del baño superior se está soltando.</t>
  </si>
  <si>
    <t>Hemos extraviado la llave del armarito que guarda el cableado del PAD. Adjuntamos foto del mueble.</t>
  </si>
  <si>
    <t xml:space="preserve">Foco del sótano averiado - Tenemos un foco del sótano que parpadea de forma continua, puede estar a punto de fundirse o bien un mal contacto </t>
  </si>
  <si>
    <t>ROTULO EXTERIOR PARPADEANDO - El rótulo exterior ha empezado a parpadear constantemente</t>
  </si>
  <si>
    <t xml:space="preserve">Se ha roto el mecanismo de cierre automatico de la puerta de entrada. </t>
  </si>
  <si>
    <t xml:space="preserve">LUCES FUNDIDAS  </t>
  </si>
  <si>
    <t>2819427
2826794</t>
  </si>
  <si>
    <t xml:space="preserve">CORRECTIVOS ACONSEJADOS POR ANTICIMEX </t>
  </si>
  <si>
    <t>21/2 pendiente</t>
  </si>
  <si>
    <t xml:space="preserve">AL QUITAR EXTINTOR DE LA PARED, HA SALTADO LA PINTURA, NECESITAMOS QUE VENGAN A REVISARLO Y PINTARLO </t>
  </si>
  <si>
    <t xml:space="preserve">El pomo de la puerta interior del rack se ha roto </t>
  </si>
  <si>
    <t>21/2 hecho</t>
  </si>
  <si>
    <t xml:space="preserve">EL LAVABO DEL BAÑO DE CILENTES ESTÁ ATASCADO </t>
  </si>
  <si>
    <t xml:space="preserve">Necesitamos que se repare la puerta/panel que da acceso a los cajeros 4B </t>
  </si>
  <si>
    <t>11/04 pendiente
23/05 sigue en hold
30/05 sigue hold
06/06 sigue hold
13/06 sigue hold</t>
  </si>
  <si>
    <t>pendiente presupuesto. Pasado a Carlos. 14/05 HOLD</t>
  </si>
  <si>
    <t xml:space="preserve">Necesitamos que se revise el cableado que de red que va desde patch panel del CPD etiquetado como wifi a una de las bocas de la oficina. </t>
  </si>
  <si>
    <t>Se necesita revisar el cable de red que va desde no de los AP Wifi contra el patch panel. En concreto el puerto que esta etiquetado como wifi.</t>
  </si>
  <si>
    <t xml:space="preserve">Revision cableado de red impresora clientes. </t>
  </si>
  <si>
    <t xml:space="preserve">La puerta del patio comunitario de la oficina de Acacias tiene el cierre roto. </t>
  </si>
  <si>
    <t>28/2 pendiente</t>
  </si>
  <si>
    <t>Se ha fundido el halógeno pequeño que hay en los baños de los vestuarios.</t>
  </si>
  <si>
    <t xml:space="preserve">LETREROS FACHADA -  SE SOLICITA CAMBIO DE LAS PEGATINAS DE LA ENTRADA, YA ESTAN DETERIORADAS </t>
  </si>
  <si>
    <t>11/04 pendiente, 23/05 pendiente
30/05 pendiente
06/06 pendiente
13/06 pendiente
20/06 pendiente
27/06 pendiente
04/07 pendiente
11/07 pendiente
18/07 pendiente
24/07 pendiente</t>
  </si>
  <si>
    <t>14/05 PENDIENTE
Se dijo de hablar con una empresa especializada
14/07 instalados</t>
  </si>
  <si>
    <t xml:space="preserve">En la planta -2 se ha salido agua de la bomba de achique son aguas fecales ya que el olor es insoportable - el suelo está inundado además el olor es horrible llega a la planta 0 en la atención de clientes, por favor acudir cuanto antes </t>
  </si>
  <si>
    <t xml:space="preserve">El marco de la puerta de los baños de clientes está sacado del sitio. </t>
  </si>
  <si>
    <t>7/3 cerrado</t>
  </si>
  <si>
    <t xml:space="preserve">La oficina de granada presenta desconexiones en el sistema de aire acondicionado y con ruidos. </t>
  </si>
  <si>
    <t>7/3 pendiente</t>
  </si>
  <si>
    <t>Por golpes que propinó un cliente a la puerta de acceso no cierra correctamente. Podemos cerrarla a mano y con la llave, pero creemos que lo que se ha estropeado es el muelle, ya que la hoja no se cierra sola como antes despues de abrirla.</t>
  </si>
  <si>
    <t>Gotea en la sala de espera, zona moqueta</t>
  </si>
  <si>
    <t>14/3 hecho</t>
  </si>
  <si>
    <t xml:space="preserve">Tope puerta de entrada  - Rogamos la instalación de un tope para la puerta de entrada, para que no se abra en exceso estropeando el mecanismo de cierre automático. gracias </t>
  </si>
  <si>
    <t>14/3 pendiente</t>
  </si>
  <si>
    <t xml:space="preserve">Estropeado el mecanismo del WC - Se rompió el pulsador del WX, no se puede usar </t>
  </si>
  <si>
    <t>14/05 hecho</t>
  </si>
  <si>
    <t xml:space="preserve">TENEMOS UN FOCO FUNDIDO </t>
  </si>
  <si>
    <t xml:space="preserve">REVISAR TODOS LOS BAÑOS DE LA SUCURSAL PONIENDO ESPECIAL ATENCION A LOS INODOROS </t>
  </si>
  <si>
    <t xml:space="preserve">Aplique moqueta levantado </t>
  </si>
  <si>
    <t>11/04 pendiente, se añadió otra incidencia en la celda, 23/05 pendiente
30/05 pendiente
06/06 se crea otro incidencia en la misma celda
13/06 pendiente
20/06 pendiente
27/06 pendiente
04/07 pendiente
11/07 pendiente
18/07 cerrado</t>
  </si>
  <si>
    <t>Pedir presupuesto para cambiar perfiles de moqueta a suelo
Presupuesto aprobado, esperando planificación para fin de semana
Se ha reclamado, se quedaron pegados los bordes, quedamos pendientes</t>
  </si>
  <si>
    <t xml:space="preserve">Se ha roto el pulsador de la cisterna del inodoro, la pieza se ha roto y hay que poner una nueva ya que no podemos pulsarlo. Gracias. </t>
  </si>
  <si>
    <t>Se nos ha descolgado uno de los separadores que hay entre dos mesas</t>
  </si>
  <si>
    <t>DE NUEVO PROBLEMA CON LAS LUCES, ALGUNAS ESTAN PARPADEANDO</t>
  </si>
  <si>
    <t>21/3 hecho</t>
  </si>
  <si>
    <t>La puerta de entrada a la oficina se ha quedado enganchada y no se podia abrir ni cerrar.</t>
  </si>
  <si>
    <t>21/3 pendiente 11/04 pendiente, 23/05 pendiente
30/05 pendiente
06/06 pendiente
13/06 pendiente
20/06 cerrado</t>
  </si>
  <si>
    <t>Presupeusto aprobado. Pendiente obra a 15/05, retraso de cambio por muelle defectuoso</t>
  </si>
  <si>
    <t xml:space="preserve">ROTURA DE POMO DE PUERTA DEL BAÑO DE EMPLEADOS </t>
  </si>
  <si>
    <t>21/3 pendiente</t>
  </si>
  <si>
    <t xml:space="preserve">No cierrra bien la puerta de la entrada </t>
  </si>
  <si>
    <t>PUERTA DE EMERGENCIA - Se ha desprendido el cristal de abajo de la puerta de emergencia.</t>
  </si>
  <si>
    <t>Puerta de entrada mecanismo de cierre -El mecanismo superior que hace que la puerta se cierre, vuelve a estar flojo, le faltan 2 tornillos de agarre</t>
  </si>
  <si>
    <t>28/3 hecho</t>
  </si>
  <si>
    <t>ROTURA PICAPORTE DE PUERTA DE BAÑO Y AJUSTAR TIRADOR DE PUERTA DE CRISTAL ZONA DE EMPLEADOS</t>
  </si>
  <si>
    <t>28/3 pendiente</t>
  </si>
  <si>
    <t>LAVABO BAÑO CABALLERO EXPULSA AGUA, CERRAMOS LLAVE DE PASO HASTA QUE ACUDA TECNICO-</t>
  </si>
  <si>
    <t>Alfombra de la entrada levantada choca con la puerta de entrada y se necesitaría pegar al suelo. Además reivsar puerta de entrada porque pega unos portazos muy grandes. Intentar colocar algún elemento que frene</t>
  </si>
  <si>
    <t>14/05/2025 hecho Se creó otra incidencia en la misma celda</t>
  </si>
  <si>
    <t xml:space="preserve">Hacer seguimiento durante dos semanas tomando lecturas del contador. A ver si va a estar mal su funcionamiento. </t>
  </si>
  <si>
    <t>11/04 pendiente</t>
  </si>
  <si>
    <t>NO FUNCIONA SALVA ESCALERAS - se llega a bajar la rampa para subir la silla de ruedas, pero cuando tiene que descender las escaleras empieza a pitar y no se mueve</t>
  </si>
  <si>
    <t xml:space="preserve">El baño de clientes cuando tiramos de la cisterna suelta agua </t>
  </si>
  <si>
    <t>11/04 cerrado</t>
  </si>
  <si>
    <t>VALENCIA</t>
  </si>
  <si>
    <t>LA PUERTA DEL RACK NO CIERRA CORRECTAMENTE - NUESTRA PUERTA DEL RACK QUE ESTA CON CLAVE DE ACCESO NO CIERRA CORRECTAMENTE. POR FAVOR, MANDAD A UN TÉCNICO A REVISAR.</t>
  </si>
  <si>
    <t>04/04 hecho</t>
  </si>
  <si>
    <t>GIJON</t>
  </si>
  <si>
    <t xml:space="preserve">Hola, el filtro del aire está suelto. Gracias </t>
  </si>
  <si>
    <t>04/04 hecho, se añadió otra incidencia en la misma fila. 13/05 cerrado</t>
  </si>
  <si>
    <t xml:space="preserve">Cerradura de armario en planta cero estropeada y hay que cambiar la hora del hilo musical. Gracias </t>
  </si>
  <si>
    <t>MOSTOLES</t>
  </si>
  <si>
    <t>ACCESO A VESTUARIO MASCULINO - El pomo de la puerta del vestuario masculino no funciona</t>
  </si>
  <si>
    <t>01/04/2025 se da aviso al servicio técnico</t>
  </si>
  <si>
    <t>O'DONNELL</t>
  </si>
  <si>
    <t>LA PUERTA DE ACCESO A CAJEROS DE ODONNELL SE HA SOLTADO EL MECANISMO DE APERTURA</t>
  </si>
  <si>
    <t xml:space="preserve">Sustituir iluminación fundida </t>
  </si>
  <si>
    <t>TENEMOS EN LA OFICINA VARIAS ZONAS SIN LA TAPITA QUE CUBRE LOS CABLES. OS MANDO FOTO PARA QUE PODAIS VER A LO QUE NOS REFERIMOS. HE VISTO 4, REDONDOS Y CUADRADOS, PERO PUEDE SER QUE HAYA ALGUNO MÁS.</t>
  </si>
  <si>
    <t>SALAMANCA</t>
  </si>
  <si>
    <t>Se ha ido la luz de la sucursal</t>
  </si>
  <si>
    <t>02/04/2025 Se da aviso al servicio técnico - SOLUCIONADO</t>
  </si>
  <si>
    <t>TENERIFE</t>
  </si>
  <si>
    <t>Se ha roto el mango de desague del lavabo. solicitamos reemplazo</t>
  </si>
  <si>
    <t>Solicitamos reemplazo de bombillas que no funcionan</t>
  </si>
  <si>
    <t xml:space="preserve">Hay atasco en las tuberías del baño </t>
  </si>
  <si>
    <t xml:space="preserve">Se ha despegado un Backlight exterior </t>
  </si>
  <si>
    <t xml:space="preserve">LUNES 07/04 9:00 - ACOMPAÑAR AL TECNICO DE SECURITAS PARA REVISAR LA INCIDENCIA DE LA SIRENA PUERTA LATERAL DE EMERGENCIA Y REVISAR LUCES DE EMERGENCIA </t>
  </si>
  <si>
    <t>ACACIAS</t>
  </si>
  <si>
    <t>WC PLANTA BAJA PIERDE AGUA - Me comenta la persona de limpieza que el baño de planta baja pierde agua, y el lavabo cuando se abre el grifo también.</t>
  </si>
  <si>
    <t>14/05 Done</t>
  </si>
  <si>
    <t>DIAGONAL</t>
  </si>
  <si>
    <t xml:space="preserve">La luz de la cocina parpadea y molesta bastante, hay q cambiarla </t>
  </si>
  <si>
    <t xml:space="preserve">El hierro de la alfombra está despegado y puede tropezarse alguien. </t>
  </si>
  <si>
    <t xml:space="preserve">El palo que indica el número de la mesa está despegado y muy torcido. </t>
  </si>
  <si>
    <t>15/05 hecho</t>
  </si>
  <si>
    <t>PALMA DE MALLORCA</t>
  </si>
  <si>
    <t>Sustitución grifo WC.</t>
  </si>
  <si>
    <t>VIGO</t>
  </si>
  <si>
    <t xml:space="preserve">Retrasar los carteles de identificación de puesto para evitar choques de clientes </t>
  </si>
  <si>
    <t>MURCIA</t>
  </si>
  <si>
    <r>
      <t xml:space="preserve">AVERIA EN PUERTA SALA - Se ha soltado la pestaña que estaba enganchada arriba y </t>
    </r>
    <r>
      <rPr>
        <strike/>
        <sz val="11"/>
        <rFont val="Calibri"/>
        <family val="2"/>
        <scheme val="minor"/>
      </rPr>
      <t>por ello no podemos armar la alarma de la oficina....</t>
    </r>
  </si>
  <si>
    <t>14/05/2025 done</t>
  </si>
  <si>
    <t>16/05 DONE
Securitas rearmó ayer la alarma</t>
  </si>
  <si>
    <t>VALLADOLID</t>
  </si>
  <si>
    <t>Fuga de agua por fisura de una tuberia, en la parte de abajo de la oficina, en lo que parece una tubería "condenada" hay un fisura por la sale agua con abundancia, está generando acumulación de agua preocupante-</t>
  </si>
  <si>
    <t>16/04/2025 se da aviso urgente, técnico ya está atendiendo la incidencia
Hablan con el dministrador, hay una avería en el edificio, es de la Comunidad de propietarios, ya han dado parte al seguro que acudirá hoy antes de las 13:00. Indico a José María que cierro ticket ya que esto lo tienen que llevar ellos con el seguro pero que si necesitan algo más por nuestra parte, nos avisen.</t>
  </si>
  <si>
    <t>ALICANTE</t>
  </si>
  <si>
    <t>Puerta no cierra. El muelle de la puerta ha perdido fuerza y no se cierra la puerta, dejando entre abierta</t>
  </si>
  <si>
    <t>14/05 Pending, 23/05 cerrado</t>
  </si>
  <si>
    <t>CORDOBA</t>
  </si>
  <si>
    <t>Los grifos de los aseos no disponen de agua, los de las fuentes si -</t>
  </si>
  <si>
    <t>COSTA RICA</t>
  </si>
  <si>
    <t>Desde el día 10 de abril no funciona la plataforma, por lo visto tienen que cambiar una pieza. NO FUNCIONA PLATAFORMA MINUSVALIDOS COSTA RICA</t>
  </si>
  <si>
    <t>06/06 cerrado</t>
  </si>
  <si>
    <t>14/05 Pending</t>
  </si>
  <si>
    <t xml:space="preserve">Hay varias luces fundidas en planta 0 </t>
  </si>
  <si>
    <t xml:space="preserve">Varios focos de la planta 2 no funcionan. Adjunto fotos.- </t>
  </si>
  <si>
    <t>Hemos encontrado cucarachas pequeñas en la cocina</t>
  </si>
  <si>
    <t>06/06 pendiente</t>
  </si>
  <si>
    <t>El grifo del vestuario femenino de la planta -2 no funciona</t>
  </si>
  <si>
    <t>30/05 cerrado</t>
  </si>
  <si>
    <t>23/05 Pending</t>
  </si>
  <si>
    <t>Suena la alarma de la bomba de achique y está en rojo. Pone: nivel elevado. Necesitamos que venga un técnico y lorevisa para que no suceda lo que sucedió hace unos meses que superó el límite y rebosó</t>
  </si>
  <si>
    <t>Cambiar el cristal de la fachada en la planta baja.</t>
  </si>
  <si>
    <t>14/04/2025 se da aviso
06/05/2025 Reclamado
14/05 RECLAMADO, ME INDICAN QUE CON LLUVIA NO PUEDEN HACER EL CAMBIO. NOS AVISARAN
19/05 RECLAMADO
26/05 RECLAMADO                                                                                                               30/05 pendiente
06/06 pendiente
13/06 pendiente
20/06 pendiente
27/06 pendiente
04/07 pendiente            
13/10 DOY OK A EIFFAGE PARA SUSTITUCION DE CRISTAL
31/10/2025 RECLAMADO, INDICAN QUE EN PRINCIPIO EL CRISTAL ESTARÁ LISTO PARA LA SEMANA QUE VIENE
04/11/2025 RECLAMADO                                                                         
07/11/2025 AGENDADO PARA EL LUNES 11/11 CON CAE A MEDIAS, SE PIDEN ACCESOS CON DOCUMENTO DE ACTIVIDADES NO PROGRAMADAS
11/11/2025 NO ACUDEN LOS TECNICO PENSANDO QUE NO IBAN A PODER REALIZAR LOS TRABAJOS POR EL CAE. 
19/11/2025 ME DICEN QUE PUEDEN IR EL 20/11, CANCELO CON ELLOS PORQUE HAY VISITA DE MADRID- INDICAR OTRA FECHA Y CON MARGEN PARA SOLICITAR ACCESOS                                                                                         24/11/2025 RECLAMADO
01/12 reclamado                                                                                                 03/12/2025 VAN HOY A CAMBIAR EL CRISTAL</t>
  </si>
  <si>
    <t>Esperando aprobación de presupuesto por Carlos, pendiente 01/07. Quedamos pendientes a la aprobación de Carlos.
Se pone en hold 31/07
Hold sacado 27/10</t>
  </si>
  <si>
    <t>Hola, necesitamos que se haga una limpieza de los estores de la oficina. Gracias</t>
  </si>
  <si>
    <t>14/05 Pending
03/06 done</t>
  </si>
  <si>
    <t>RACK - REVISAR INSTALACION PINGÜINO</t>
  </si>
  <si>
    <t>GRANADA</t>
  </si>
  <si>
    <t>Hidraulico silla - Nos han mandado hidraulico para sustituir de una silla que vino rota, nos dice Carlos que abramos inci para que vengan a cambiarlo. Gracias</t>
  </si>
  <si>
    <t xml:space="preserve">LUZ DE ROTULO DE FACHADA FUNDIDA </t>
  </si>
  <si>
    <t>MALAGA</t>
  </si>
  <si>
    <t>Buenos días, necesitamos asistencia tecnica para desbloqueo de verja de acceso a la oficina. La verja sube y baja electronicamente pero no funciona. Ahora mismo se encuentra en su parte mas alta y no podemos bajarla. Es urgente porque se acerca el puente. Gracias</t>
  </si>
  <si>
    <t>14/05 Pending y aprobado presupuesto
03/06 done</t>
  </si>
  <si>
    <t>NECESITAMOS QUE VENGAN A PULIR Y ABRILLANTAR LA ZONA DE LA NUEVA TURNOMATIC.CON EL CAMBIO DE LA MAQUINA DE TURNOS, LAS BALDOSAS HAN QUEDADO SUCIAS Y RUGOSAS, INCLUSO TIENEN ALGUNA ROTUTA. PREVIO A SOLICITAR EL CAMBIO DE BALDOSAS,
 QUEREMOS LIMPIAR, PULIR Y ABIRLLANTAR LA ZONA. POR FAVOR, SI NECESITAIS FOTOS, PEDIDMELAS.</t>
  </si>
  <si>
    <t>SABADELL</t>
  </si>
  <si>
    <t xml:space="preserve">MANETA PUERTA DESPACHO COORDINADOR ROTA - LA MANETA QUE HACE DE POMO DE LA PUERTA DEL DESPACHO DEL COORDINADOR ESTÁ A PUNTO DE ROMPERSE, LO QUE IMPEDIRIA ENTRAR EN EL DESPACHO. </t>
  </si>
  <si>
    <t>23/05 cerrado</t>
  </si>
  <si>
    <t>SEVILLA</t>
  </si>
  <si>
    <t>Backlight caído - Hace unas semanas se acude a arreglar backlight pero nuevamente está caído, ver que solución podemos darle porque no podemos poner la publicidad al haberse caído el soporte</t>
  </si>
  <si>
    <t>23/05 pendiente
30/05 cerrado</t>
  </si>
  <si>
    <t>Diferencial bajado - Hay un diferencial que está bajado y al intentar subirlo no se queda en posición. Da luz a una parte de la oficina que no tiene luz natural, con lo que solo se puede acceder con linterna-</t>
  </si>
  <si>
    <t>Sustitución de la luminaria de la azotea en el acceso de la segunda escalera escamoteable, esta fundida.</t>
  </si>
  <si>
    <t>11/04 pendiente. 13/05 cerrado</t>
  </si>
  <si>
    <t>13/05 Done</t>
  </si>
  <si>
    <t>La ventana de la planta 1 no se puede cerrar</t>
  </si>
  <si>
    <t>05/05/2025 Se da aviso al servicio técnico</t>
  </si>
  <si>
    <t xml:space="preserve">Tenemos goteras en uno de los almacenes de la planta -1. Empezaron ayer con la lluvia. Adjunto foto. </t>
  </si>
  <si>
    <t>06/05/2025 se da aviso urgente
Se acude a la sucursal y se visita la sala donde ha caído agua. Se cuentan metros para ubicarnos en la planta de
arriba. El almacén donde cae agua está debajo de la vía pública.
Se detecta arqueta en muy mal estado y suelo de la calle completamente suelto y levantado. El agua filtra
desde la calle y cae al almacén. Como el punto de filtración está en la vía pública, la reparación no está en
nuestras competencias.</t>
  </si>
  <si>
    <t>LAVABO BAÑO MUJERES EXPULSA AGUA POR ABAJO, HEMOS TENIDO QUE CORTAR LLAVE DE PASO</t>
  </si>
  <si>
    <t xml:space="preserve">05/05/2025 Se da aviso al servicio técnico </t>
  </si>
  <si>
    <t>OVIEDO</t>
  </si>
  <si>
    <t>Nos hemos quedado sin luz en la mesa 4</t>
  </si>
  <si>
    <t>07/04/2025 se da aviso al servicio técnico
21/04/2025 reclamado
06/05/2025 reclamado</t>
  </si>
  <si>
    <t>HAY UN BAÑO EMBOZADO EN EL CUARTO DE BAÑO DE LOS CHICOS.CADA VEZ QUE SE TIRA DE LA CADENA, SE LLENA MÁS Y NO TRAGA. SUBE HASTA EL TOPE DEL WC. ES EL ÚLTIMO VATER DE LOS CHICOS.</t>
  </si>
  <si>
    <t>22/04/2025 se da aviso al servicio técnico</t>
  </si>
  <si>
    <t xml:space="preserve">Tenemos 3 focos fundidos en el despacho de la coordinadora. Además de esto tenemos una maneta del baño de mujeres roto. Adjuntamos foto de ambas cosas. </t>
  </si>
  <si>
    <t>06/05/2025 se da aviso al servicio técnico</t>
  </si>
  <si>
    <t xml:space="preserve">Se suelta soporte de puerta de entrada de nuevo - el tornillo del soporte superior puerta de entrada vuelve a fallar, se queda suelto y dificulta la apertura y cierre </t>
  </si>
  <si>
    <t>VIRIATO</t>
  </si>
  <si>
    <t xml:space="preserve">GOTERAS, SUELO INUNDANO, Y PLADUR DE TECHO CON MUCHA HUMEDAD CON RIESGO DE QUIEBRA- Hemos entrado hoy viernes a la oficina con suelos inundados, y goteras en el techo, se ve como el pladur está podrido </t>
  </si>
  <si>
    <t>16/05/2025 SE DA AVISO URGENTE AL SERVICIO TÉCNICO, 23/05 cerrado</t>
  </si>
  <si>
    <t>MUCHO CALOR POR LAS MAÑANAS - Durante las mañanas no se consigue refrigerar el ambiente en la planta baja y hace mucho calor.</t>
  </si>
  <si>
    <t>20/05/2025 SE DA AVISO AL SERVICIO TÉCNICO
30/05 pendiente
06/06 pendiente
13/06 pendiente
20/06 pendiente
27/06 pendiente
04/07 pendiente
11/07 cerrado</t>
  </si>
  <si>
    <t>Se ha vuelto a reclamar el presupuesto para el reloj programador del aire. A la espera de prespuesto. Seguimos pendientes</t>
  </si>
  <si>
    <t xml:space="preserve">Muelle inexistente puerta emergencia planta -2 acceso vestuarios por eso se queda siempre abierta y salta alarma- </t>
  </si>
  <si>
    <t>21/05/2025 SE DA AVISO AL SERVICIO TECNICO
30/05 pendiente</t>
  </si>
  <si>
    <t>03/06 done</t>
  </si>
  <si>
    <t>El lavabo de hombres, el cual se reparó hace un mes escaso, hace un ruido, nos ha dicho un cliente fontanero que esta a punto de atascarse, por eso hace ese ruido.... necesitariamos que viniese un tecnico y que lo revisara</t>
  </si>
  <si>
    <t>20/05/2025 SE DA AVISO AL SERVICIO TÉCNICO
30/05 cerrado</t>
  </si>
  <si>
    <t>Sisitema de climatizacion averiado - Desde ayer, diversas zonas del sistema de climatización están dando error en el panel de control. Necesitamos que vengan a revisarlo</t>
  </si>
  <si>
    <t>23/05/2025 SE DA AVISO URGENTE A SERVICIO TECNICO
No tienen acceso a unidades condensadoras, hay que abrir un registro.
Se avisa a Bojuna
Se crea otra incidencia en la misma celda 30/05
06/06 pendiente
13/06 pendiente
20/06 pendiente
27/06 cerrado</t>
  </si>
  <si>
    <t>Van el 04/06 los técnicos y equipo, el equipo está en garantía y es de difícil acceso</t>
  </si>
  <si>
    <t>Atasco en el baño masculino. el suelo esta encharcado - Al tocar la cisterna, el baño se ha atascado, llenado el suelo de agua y desechos. necesitamos que vengan</t>
  </si>
  <si>
    <t>23/05/2025 SE DA AVISO URGENTE A SERVICIO TECNICO
30/05 cerrado</t>
  </si>
  <si>
    <t>OFICINA SIN LUZ - REVISAR CABLES ARRANCADOS MESA GESTOR POR EMEGENCIA EN LA SUCURSAL-</t>
  </si>
  <si>
    <t>19/05/2025 SE DA AVISO URGENTE
30/05 cerrado</t>
  </si>
  <si>
    <t>La puerta de entrada no cierra. Se traba con el suelo y se dificulta pasar llave para cierre de la oficina. Entendemos que esto tampoco permite que funcione la raba del W&amp;M. Por favor necesitamos intervencion urgente-</t>
  </si>
  <si>
    <t>19/05/2025 SE DA AVISO URGENTE - Acude el técnico y cuadra la puerta para que cierre bien pero nos piden visita conjunta con Securitas que también estuvo hace unos días porque no funcionaba el Watch&amp; Mochi. 
El W&amp;M sigue sin activarse correctamente. Solicitado a Salvatore de Securitas pero aún no me ha dado fecha.
22/05/2025 reclamado a Securitas, visita conjunta
30/05 pendiente
06/06 pendiente
13/06 cerrado</t>
  </si>
  <si>
    <t>04/06 visita para examinar el problema</t>
  </si>
  <si>
    <t>SERVICIO CERRAJERO URGENTE-NO ABRE PUERTA ENTRADA SUCURSAL</t>
  </si>
  <si>
    <t>URGENTE - PUERTA OFICINA NO SE ABRE</t>
  </si>
  <si>
    <t>29/05/2025 SE DA AVISO URGENTE AL SERVICIO TÉCNICO Y A SECURITAS</t>
  </si>
  <si>
    <t>LUMINARIAS VUELVEN A PARPADEAR. HAY QUE CAMBIAR FUSIBLE.</t>
  </si>
  <si>
    <t>30/05/2025 SE DA AVISO URGENTE AL SERVICIO TÉCNICO</t>
  </si>
  <si>
    <t>3/06 done</t>
  </si>
  <si>
    <t>MÁLAGA</t>
  </si>
  <si>
    <t xml:space="preserve">La puerta de acceso da portazos </t>
  </si>
  <si>
    <t>30/05/2025 SE DA AVISO  AL SERVICIO TÉCNICO
06/06 done</t>
  </si>
  <si>
    <t>03/06 pending</t>
  </si>
  <si>
    <t>UNO DE LOS SPLITS DE LA OFI TIRA UNA PELUSILLA NEGRA-Creemos que es algo de los filtros del A/A que tenemos en la sala de reuniones. Sale como una especie de pelusa negra que mancha todo. Por favor, envien a un técnico para su revisión.</t>
  </si>
  <si>
    <t>27/05/2025 SE DA AVISO  AL SERVICIO TÉCNICO
06/06 done</t>
  </si>
  <si>
    <t>03/06 pendiente</t>
  </si>
  <si>
    <t xml:space="preserve">TENGO UN FOCO QUE URGE QUE VENGAN A COLOCAR </t>
  </si>
  <si>
    <t>28/05/2025 SE DA AVISO  AL SERVICIO TÉCNICO
30/05 cerrado</t>
  </si>
  <si>
    <t>EL AIRE ACONDICIONADO DE LA OFICINA DE ODONNELL NO SALE AIRE FRIO ROGAMOS ACUDAN A REVISARLO(MAQUINA EN VERANO Y TEMPERATURA OK)</t>
  </si>
  <si>
    <t>30/05/2025 SE DA AVISO URGENTE AL SERVICIO TÉCNICO
30/05 cerrado
06/06 abierto de nuevo?
13/06 cerrado</t>
  </si>
  <si>
    <t>El Split del AA de la sala del rack no funciona</t>
  </si>
  <si>
    <t>19/05/2025 SE DA AVISO AL SERVICIO TÉCNICO
22/05/2025 Ha realizado la visita nuestra subcontrata y ha dejado en marcha el clima del RACK, pero ha perdido gas y van a realizar una segunda visita para poder presurizar con nitrógeno en búsqueda de fuga, repararla y volver a cargar el equipo, ya que no llevaban los materiales
30/05 cerrado</t>
  </si>
  <si>
    <t>FUGA DE AGUA EN EL BAÑO DE CLIENTES Y PENSAMOS QUE PUEDE VENIR DE LA MAQUINA DEL AIRE</t>
  </si>
  <si>
    <t>Sale agua de la maquina de aire y cayendo en baño común de la oficina - sale agua de la maquina de aire y cayendo en baño común de la oficina, corre riesgo de corte eléctrico porque está cayendo sobre un foco y puede inundarse el baño</t>
  </si>
  <si>
    <t>26/05/2025 SE DA AVISO URGENTE AL SERVICIO TÉCNICO
30/05 cerrado</t>
  </si>
  <si>
    <t>Baño de la primera planta, de nuevo se rompe el mecanismo de la cisterna del wc</t>
  </si>
  <si>
    <t>19/05/2025 SE DA AVISO AL SERVICIO TÉCNICO
26/05/2025 RECLAMADO
30/05 cerrado</t>
  </si>
  <si>
    <t>ZARAGOZA</t>
  </si>
  <si>
    <t>Equilibrar las rejillas por las que sale el aire.</t>
  </si>
  <si>
    <t>27/05/2025 SE DA AVISO AL SERVICIO TÉCNICO
06/06 pendiente
13/06 cerrado</t>
  </si>
  <si>
    <t xml:space="preserve">02/06 fueron a verlo, queda pendiente </t>
  </si>
  <si>
    <t xml:space="preserve">PLAGA CUCARACHAS  - PLANTA BAJA (COCINA) </t>
  </si>
  <si>
    <t>28/05/2025 SE DA AVISO A DDD
06/06 cerrado</t>
  </si>
  <si>
    <t>LA PUERTA DE ENTRADA NO SE CIERRA- El mecanismo de la puerta no empuja de forma suficiente a la puerta para que se cierre y esta ahora mismo abierta.</t>
  </si>
  <si>
    <t xml:space="preserve">02/06/2025 se da aviso urgente y se pide presupuesto para cambio de muelle a aereo 
03/06/2025 la puerta no abre, acude el técnico, va a sustituir ya el muelle 
20/06 cerrado
</t>
  </si>
  <si>
    <t xml:space="preserve">BOMBIN en una de las taquillas -Necesitaríamos poner un bombin en una de las taquillas, ya que el que había se ha roto </t>
  </si>
  <si>
    <t>04/06/2025 SE DA AVISO AL SERVICIO TECNICO
13/06 cerrado</t>
  </si>
  <si>
    <t>EL AIRE ACONDICIONADO DE LA PLANTA 2 NO ENFRIA BIEN</t>
  </si>
  <si>
    <t>03/06/2025 SE DA AVISO AL SERVICIO TÉCNICO - VAN DE CAMINO
13/06 cerrado</t>
  </si>
  <si>
    <t>La puerta de acceso principal se queda abierta. Cada año pasa lo mismo con al aumento de las temperaturas</t>
  </si>
  <si>
    <t>04/06/2025 SE DA AVISO AL SERVICIO TECNICO
13/06 pendiente
20/06 cerrado</t>
  </si>
  <si>
    <t>Hola, necesitamos que nos quiten los 4 estores de la sala de reuniones y se guarden en la oficina. Si es posible traer una caja alargada para almacenar. Gracias - GIJON</t>
  </si>
  <si>
    <t>05/06/2025 SE DA AVISO AL SERVICIO TÉCNICO
13/06 pendiente
20/06 pendiente
27/06 cerrado</t>
  </si>
  <si>
    <t>MÓSTOLES</t>
  </si>
  <si>
    <t xml:space="preserve">PANTALLA CENTRAL A/A SE HA CAÍDO/ROTO - ENVIAR TECNICO </t>
  </si>
  <si>
    <t>04/06/2025 SE DA AVISO AL SERVICIO TECNICO - ACUDEN, HABLAN CON SAT DE DAKIN, TIENE QUE ACUDIR TECNICO DE DAIKIN, NO TENEMOS FECHA AÚN
13/06 pendiente
20/06 pendiente
27/06 cerrado</t>
  </si>
  <si>
    <t>Hay muchos mosquitos en la oficina, aparecen muertos por la mañana en el suelo y durante el día son molestos. Las luminarias de emergencia están llenas de estos insectos, creo que es porque se quedan por la noche encendidas y se meten ahí. 
Sería posible ver si se puede hacer algún tipo de fumigación de cara al fin de semana para eliminarlos? Hace unos semanas hemos tenido una fuga de agua y no sé si puede ser divido a la humedad de algunas zonas que han aparecido estos insectos</t>
  </si>
  <si>
    <t>28/05/2025 SE DA AVISO A DDD
29/05 ACUDIRAN EL 30/05
30/05 Ha venido la empresa Anticimex y han fumigado en algunos sitios de la oficina. Nos recomienda eliminar agua retenida por una fuga de agua en la comunidad, calcula que con una bomba de achique 10-15 min ayudará a eliminar a estos mosquitos de "poza", que se crían y ponen sus larvas en el agua estancada- Damos aviso al servicio técnico para que elimine agua acumulada
03/06/2025 RECLAMADO
13/06 cerrado</t>
  </si>
  <si>
    <t xml:space="preserve">Diferencial saltado y que no se puede reestablecer - Hay un diferencial saldo que no puede reestablecerse, eso provoca que los backligths no fucionan y tampoco haya luz en el sótano 2 </t>
  </si>
  <si>
    <t>06/06/2025 SE DA AVISO AL SERVICIO TÉCNICO
13/06 cerrado</t>
  </si>
  <si>
    <t>SE HA ESTROPEADO EL MUELLE DE LA PUERTA PRINCIPAL- Al tener tanto uso y no funcionar el muelle se está dando portazos todo el tiempo y se acaba dañando incluso el cristal.</t>
  </si>
  <si>
    <t>12/06/2025 SE DA AVISO AL SERVICIO TECNICO - ACUDIRAN EL 13/06 A PRIMERA HORA
13/06 SE AJUSTA MUELLE PARA QUE NO DÉ GOLPES LA PUERTA PERO SE VA A SUSTITUIR, CRISTAL SUELTO, SE SELLA CON SILICONA PROVISIONALMENTE TAMBIÉN HAY UNA PARTE CON ROTURA, RIESGO DE ROTURA TOTAL, SE DA AVISO A CRISTALERO PARA ARREGLO DEFINITIVO Y TOMAR MEDIDAS DEL CRISTAL CON ROTURA
20/06 pendiente
27/06 pendiente
04/07 cerrado</t>
  </si>
  <si>
    <t>Se ha cambiado el muelle pero el cristal sigue roto, se espera al nuevo cristal que está en fabricación</t>
  </si>
  <si>
    <t>APARECEN EN ROJO LOS INDICADORES DE LA PLANTA ALTA - No podemos poner aire en la planta alta ya que los iconos aparecen cun un fallo en rojo</t>
  </si>
  <si>
    <t>12/06/2025 SE DA AVISO AL SERVICIO TECNICO - ACUDIRAN EL 13/06 A PRIMERA HORA
20/06 cerrado</t>
  </si>
  <si>
    <t>CADIZ</t>
  </si>
  <si>
    <t xml:space="preserve">COLOCACION DEL CARTEL DE SALIDA </t>
  </si>
  <si>
    <t>11/06/2025 SE DA AVISO AL SERVICIO TÉCNICO
20/06 cerrado</t>
  </si>
  <si>
    <t>Cisterna baño clientes suelta agua</t>
  </si>
  <si>
    <t>09/06/2025 SE DA AVISO AL SERVICIO TÉCNICO
20/06 cerrado</t>
  </si>
  <si>
    <t>Puerta de emergencia muelle no funciona, se cierra</t>
  </si>
  <si>
    <t>09/06/2025 SE DA AVISO AL SERVICIO TÉCNICO
20/06 pendiente</t>
  </si>
  <si>
    <t>Cerrado 01/07</t>
  </si>
  <si>
    <t xml:space="preserve">No tenemos luz ni agua en la planta -1 ni en la -2. Creemos que es algún diferencial que falla. </t>
  </si>
  <si>
    <t>10/06/2025 SE DA AVISO URGENTE AL SERVICIO TÉCNICO
20/06 cerrado</t>
  </si>
  <si>
    <t xml:space="preserve">INCIDENCIA LUMINARIAS  - SUSTITUIR FUSIBLE </t>
  </si>
  <si>
    <t>09/06/2025 SE DA AVISO URGENTE
20/06 cerrado</t>
  </si>
  <si>
    <t xml:space="preserve">Hola, acude el propietario del local que se encuentra debajo de la oficina de Oviedo porque tiene goteras, dice que es de nuestro A/A. Es urgente revisar. Gracias- </t>
  </si>
  <si>
    <t>09/06/2025 SE DA AVISO URGENTE AL SERVICIO TÉCNICO
20/06 cerrado</t>
  </si>
  <si>
    <t>¿Sería posible incorporar a la oficina ambientadores industriales?</t>
  </si>
  <si>
    <t>09/06/2025 SE DA AVISO URGENTE AL SERVICIO TÉCNICO
20/06 cerrado
04/07 pendiente, de momento no se va a poner</t>
  </si>
  <si>
    <t>Se revisó los posibles orígenes del mal olor, se consulta con los técnicos para instalar un reloj programador del aire para que se renueve más el aire. 31/07 HOLD</t>
  </si>
  <si>
    <t xml:space="preserve">ARREGLAR CAJAS DE SUELO DE LOS ENCHUFES HUNDIDAS </t>
  </si>
  <si>
    <t>17/06/2025 SE SOLICITA PRESUPUESTO
27/06 pendiente
04/07 pendiente
11/07 cerrado</t>
  </si>
  <si>
    <t>Seguimos esperando presupuesto</t>
  </si>
  <si>
    <t>CÓRDOBA</t>
  </si>
  <si>
    <t>URGE! Avería en la consola del RAC, gotea agua</t>
  </si>
  <si>
    <t>18/06/2025 SE DA AVISO URGENTE
27/06 cerrado</t>
  </si>
  <si>
    <t>Ayer repararon la válvula pero volvemos a estar sin agua.</t>
  </si>
  <si>
    <t>17/06/2025 DAMOS AVISO URGENTE AL SERVICIO TÉCNICO
20/06 cerrado</t>
  </si>
  <si>
    <t xml:space="preserve">Agujero en el suelo causado al caerse una herramienta. Dentro de la oficina, en la zona de los cajeros externos. Adjunto foto. </t>
  </si>
  <si>
    <t>19/06/2025 SE DA AVISO AL SERVICIO TÉCNICO
27/06 cerrado</t>
  </si>
  <si>
    <t>Hoy ha saltado 3 veces el diferencial del cuadro del aire acondicionado, Y ayer también salto el diferencial</t>
  </si>
  <si>
    <t>17/06/2025 DAMOS AVISO URGENTE AL SERVICIO TÉCNICO
27/06 pendiente
04/07 se crea otra incidencia en la misma celda, pendiente
11/07 pendiente
18/07 pendiente
24/07 pendiente</t>
  </si>
  <si>
    <t>Ya saben que es la placa del equipo Lenox la que está fallando. Tarda 8 semanas en llegar la placa. Se instalan 02/07 los humectadores como solución temporal
31/07 cerrado</t>
  </si>
  <si>
    <t xml:space="preserve">EL DUEÑO DEL LOCAL DE AL LADO NOS DICE QUE TIENE HUMEDADES DEBIDO A NUESTRO AIRE ACONDICIONADO </t>
  </si>
  <si>
    <t>16/06/2025 DAMOS AVISO AL SERVICIO TECNICO
27/06 pendiente
04/07 cerrado</t>
  </si>
  <si>
    <t>Fuga solucionada, a la espera de la confirmación del vecino y de la situación de la respuetsa del seguro</t>
  </si>
  <si>
    <t xml:space="preserve">COLOCAR PLACA QUE SE ROMPIO AL SOLUCIONAR INCIDENCIA ATASCO EQUIPO CLIMA </t>
  </si>
  <si>
    <t>16/06/2025 SE DA AVISO AL SERVICIO TÉCNICO
20/06 CERRADO</t>
  </si>
  <si>
    <t>Bombilla fundida - Se ha fundido unas lámpara de las que están suspendidas del techo, por la altura que hay tienen que venir con una escalera que cubra bastante altura.</t>
  </si>
  <si>
    <t>19/06/2025 SE DA AVISO AL SERVICIO TÉCNICO</t>
  </si>
  <si>
    <t>01/07 cerrado, bombillas cambiadas</t>
  </si>
  <si>
    <t xml:space="preserve">NO FUNCIONA AIRE EN PLANTA BAJA Y SALA DE ESPERA </t>
  </si>
  <si>
    <t>24/06/2025 SE DA AVISO AL SERVCIO TÉCNICO
25/06/2025 ACUDEN TECNICOS, MAÑANA SE VA A REALIZAR LIMPIEZA DE UNIDAD INTERIOR CON DESENGRASANTE
04/07 cerrado</t>
  </si>
  <si>
    <t>Revisaron y limpiaron las máquinas, leve mejoría. Se ha detectado una fuga. 02/07 va el técnico para localizar la fuga y repararla</t>
  </si>
  <si>
    <t xml:space="preserve">Los kioscos de la Oficina de Córdoba no funcionan, tan solo enciende uno de ellos </t>
  </si>
  <si>
    <t>23/06/2025 SE DA AVISO AL SERVICIO TECNICO</t>
  </si>
  <si>
    <t>Se pasa al técnico porque no es un problema del electricista, se pasa al departamento de sistemas, se cierra 01/07 porque es un problema de conexión. Faltan 2 por recuperar todavía.</t>
  </si>
  <si>
    <t xml:space="preserve">La puerta blanca de entrada a la oficina se queda totalmente abierta, hay que tocar el muelle, para que tenga algo más de fuerza - PUERTA ACCESO CRISTAL OFICINA </t>
  </si>
  <si>
    <t>25/06/2025 SE DA AVISO A CERRAJERO. NUESTRO TECNICO INDICA QUE EL MARCO DE LA PUERTA ESTÁ DESCOLGADO</t>
  </si>
  <si>
    <t xml:space="preserve">EL A/C no enfría en planta 0 ni en 1 ni en 2 </t>
  </si>
  <si>
    <t>23/06/2025 SE DA AVISO AL SERVICIO TECNICO
SONDA AVERIDA, ESTA PEDIDA, ESTAN INTENTANDO BUSCAR ALTERNATIVA PARA QUE NO HAGA TANTO CALOR MIENTRAS LLEGA EL MATERIAL
04/07 pendiente
11/07 pendiente
18/07 cerrado</t>
  </si>
  <si>
    <t>Se han llevado 6 pinguinos mientras, van mañana los técnicos del proveedor de las máquinas, van el 02/07 a verlo</t>
  </si>
  <si>
    <t xml:space="preserve">Hola, una niña ha metido unos papeles por las rejillas del aire y no podemos abrir. Seguimos ptes de que retiren los estores de la sala de reuniones. Gracias </t>
  </si>
  <si>
    <t>24/06/2025 SE DA AVISO AL SERVCIO TÉCNICO</t>
  </si>
  <si>
    <t>LUZ BAÑO MUJERES FUNDIDA  - Tenemos dos luces del baño de las mujeres fundidas</t>
  </si>
  <si>
    <t>La puerta de entrada da portazos -  Necesitamos otro aparato retenedor de la puerta de entrada. se ha quedado sin aceite y no funciona, da portazos continuamente. un técnico la ha revisado hoy y nos comenta que necesitamos reemplazarla.</t>
  </si>
  <si>
    <t>26/06/2025 SE DA AVISO AL SERVICIO TÉCNICO
04/07 pendiente
11/07 pendiente
18/07 cerrado</t>
  </si>
  <si>
    <t>Hay que cambiar el retenedor, se va a mandar el presupuesto a Carlos para sustituirlo</t>
  </si>
  <si>
    <t xml:space="preserve">Television apagada - Tenemos una television de la oficina apagada, parece que no le llega la corriente. Necesitamos que vengais a revisarlo. Gracias </t>
  </si>
  <si>
    <t>26/06/2025 SE DA AVISO AL SERVICIO TÉCNICO</t>
  </si>
  <si>
    <t>01/07 cerrado</t>
  </si>
  <si>
    <t xml:space="preserve">Problema con los aires acondicionados, hay una fuga </t>
  </si>
  <si>
    <t>Llevaron pinguinos del año pasado y estamos a la espera de que vayan los técnicos
Solucionado</t>
  </si>
  <si>
    <t>Problema con el aire acondicionado</t>
  </si>
  <si>
    <t>Se resetean los termostatos provisionales que pusieron tras la obra en Móstoles. Siguen saltando y se tiene que avisar al prveedor que entra dentro de garantía
31/07 cerrado</t>
  </si>
  <si>
    <t>No funcionaba el aire en la planta 1</t>
  </si>
  <si>
    <t xml:space="preserve">Visita de Stilcase, quedamos pendientes, 31/07 cerrado  </t>
  </si>
  <si>
    <t xml:space="preserve">Subsanaciones recepcion de obra clima </t>
  </si>
  <si>
    <t>30/06/2025 SE DA OK A SP PARA INICIAR SUBSANACIONES
11/07 pendiente
18/07 pendiente
24/07 pendiente
31/07/2025 RECLAMADO
01/08/2025 TRABAJOS PENDIENTES
05/09/2025 RECLAMADA PLANIFICACIÓN</t>
  </si>
  <si>
    <t>Volver a reclamar las subsaciones, se vuleve a pedir.
02/09 estamos pendientes de que se haga en septiembre</t>
  </si>
  <si>
    <t xml:space="preserve">LA PUERTA DEL RACK NO CIERRA BIEN, NECESITAMOS UN CARPINTERO PARA QUE SE LIJE Y ENCAJE BIEN, ADEMÁS PARA QUE ASEGURE LOS POMOS </t>
  </si>
  <si>
    <t>01/07/2025 SE DA AVISO AL SERVICIO TÉCNICO
11/07 pendiente
18/07 cerrado</t>
  </si>
  <si>
    <t>LAS PALMAS</t>
  </si>
  <si>
    <t xml:space="preserve">AIRE ACONDICIONADO AVERIADO - Nos hemos encontrado esta mañana el aire acondicionado averiado. Solicitamos revision </t>
  </si>
  <si>
    <t>30/06/2025 SE DA AVISO AL SERVICIO TECNICO URGENTE
Indican fuga de gas, tienen que localizarla. Instalaran pingüino
01/07 INSTALACION DE PINGÜINO Y TECNICO INTENTANDO LOCALIZAR FUGA, TIENE QUE VOLVER EL 02/07
11/07 pendiente
18/07 pendiente
24/07 pendiente</t>
  </si>
  <si>
    <t>Se acuerda un cambio de equipos, Carlos ha ido a verlo</t>
  </si>
  <si>
    <t>MERIDIANA</t>
  </si>
  <si>
    <t>El desagüe del fregadero de la cocina se ha taponado y el agua no sale correctamente.</t>
  </si>
  <si>
    <t>04/07/2025 SE DA AVISO AL SERVICIO TECNICO
11/07 pendiente
18/07 cerrado</t>
  </si>
  <si>
    <t xml:space="preserve">Revisar capacidad de refrigeración - Los clientes y gestores se quejan de que el sistema no refrigera lo suficiente </t>
  </si>
  <si>
    <t>04/07/2025 SE DA AVISIO AL SERVICIO TECNICO
ACUDIRAN EL LUNES/MARTES APROVECHANDO QUE VAN A SUSTITUIR EL EQUIPO DEL RACK - HABLADO CON JAVIER, NO HACE CALOR, NECESITAN REVISAR CAPACIDAD PORQUE TIENEN QUE PONER TERMOSTATO A 19 GRADOS PARA ESTAR BIEN - YA LO COMENTARON CON EQUIPO TECNICO
11/07 pendiente
18/07 cerrado</t>
  </si>
  <si>
    <t>Volvemos a tener goteras en el sótano por una bajante - Es posiblemente una gotera por fuga en una bajante que ya nos dio problemas en el pasado, en el sótano. Llena casi un cubo de agua al día</t>
  </si>
  <si>
    <t>04/07/2025 SE DA AVISO AL SERVICIO TÉCNICO COMPROBAR QUE ES LA MISMA GOTERA Y SI ES DE LA BAJANTE TENDRÁ QUE AVISAR A LA COMUNIDAD
11/07 cerrado</t>
  </si>
  <si>
    <t>Parece que el aire no funciona correctamente, sobre todo al mediodía echa aire pero no fresco</t>
  </si>
  <si>
    <t>02/07/2025 SE DA AVISO AL SERVICIO TECNICO SP Y BOJUNA SATURADOS
04/07/2025 ACUDE AL MEDIO DIA SP CON TECNICO HABITUAL
11/07 pendiente
18/07 cerrado</t>
  </si>
  <si>
    <t xml:space="preserve">Cambio tubos iluminacion techo </t>
  </si>
  <si>
    <t>01/07/2025 SE DA AVISO AL SERVICIO TÉCNICO
11/07 pendiente
18/07 pendiente
24/07 pendiente
08/07/2025 SE PASA PRESUPUESTO A SEIJO
16/07/2025 RECIBIDO OK SOLICITAMOS MATERIAL
28/07/2025 RECLAMADO, INDICAR PLAZOS REALIZACION TRABAJOS- LOS TRABAJOS SE VAN A REALIZAR EL 01/08
29/08/2025 RECLAMADO - pidieron retrasar los trabajos por no estar el director y por gran afluencia, pues las luces que hay que sustituir están sobre los puestos de trabajo. Estan a la espera de que el director de visto bueno y una fecha para realizar el trabajo. Consulto también con Diego
03/09/2025 Me indican que pueden acudir el 15 o 16 a las 07:30 y finalizar los trabajos a las 09:00 antes de la apertura de la sucursal. Consulto con Diego
04/08/2025 Diego me indica que esos días está en el comité en Madrid, propone el 23/09 a las 07:30 e indica que no hace falta pedir seguridad, acude él.</t>
  </si>
  <si>
    <t>31/07: se va a hacer mañana
15 o 16 de septiembre irán probablemente a cambiarlo temprano, se tiene que consultar con Diego</t>
  </si>
  <si>
    <t xml:space="preserve">Colocar zócalos despegados en columnas - </t>
  </si>
  <si>
    <t>02/07/2025 SE DA AVISO AL SERVICIO TECNICO
1/07/2025 RECLAMADO - PEGADO, PENDIENTE REMATES
23/07/2025 RECLAMADO - LO TERMINAN LA SEMANA QUE VIENE</t>
  </si>
  <si>
    <t>31/07: se remata esta semana</t>
  </si>
  <si>
    <t>Tapar hueco vestuario hombres y en techo de kioscos</t>
  </si>
  <si>
    <t>02/07/2025 SE DA AVISO AL SERVICIO TECNICO
11/07/2025 RECLAMADO - PENDIENTE ALGUNOS HUECOS, SECADO Y REMATES DE PINTURA
23/07/2025 RECLAMADO - LO TERMINAN LA SEMANA QUE VIENE</t>
  </si>
  <si>
    <t>En la planta 1 el aire acondicionado sale sin fuerza y a temperatura alta aunque la pongamos baja.
Necesitamos por favor se repare lo antes posible. Gracias.</t>
  </si>
  <si>
    <t>30/06/2025 SE DA AVISO AL SERVICIO TECNICO URGENTE - ACUDEN Y SE PONEN EN CONTACTO CON STEEL CASE. EQUIPO BAJO RENDIMIENTO.
01/07 STEEL CASE AVISA A MITSUBISHI, POR LA TARDE GOTERA, CREEN QUE FUGA DE DESAGUE DE CONDENSADOS A RAIZ DE DESPLAZAR EQUIPOS. 
02/07 ALMU ME PIDE ACUDA TECNICO INVALEC A LAS 13:30. CONFIRMADO
11/07 cerrado</t>
  </si>
  <si>
    <t>INCIDENCIA CERRADURA - NO PUEDEN ACCEDER A LA SUCURSAL</t>
  </si>
  <si>
    <t>03/07/2025 SE DA AVISO URGENTE AL SERVICIO TECNICO
11/07 cerrado</t>
  </si>
  <si>
    <t>Desde este lunes hemos detectado numerosos moscardones en la oficina - Necesitamos eliminar estos molestos moscardones que dan mala imagen y no paran de volar por toda la oficina.</t>
  </si>
  <si>
    <t>04/07/2025 SE DA AVISO AL SERVICIO ANTICIMEX</t>
  </si>
  <si>
    <t xml:space="preserve">Aumento de la temperatura en la oficina de repente - Estos días había una temperatura en la oficina y de repente ha empezado a subir, por favor dadas las temperaturas que estamos teniendo se puede agilizar la visita de un técnico? </t>
  </si>
  <si>
    <t>02/07/2025 SE DA AVISO URGENTE AL SERVICIO TECNICO
11/07 cerrado</t>
  </si>
  <si>
    <t>cajas de suelo que hacen "chisporroteos".</t>
  </si>
  <si>
    <t>10/07/2025 SE DA AVISO AL SERVICIO TECNICO- ACUDIRA HOY RUBEN TRIVIÑO
18/07 cerrado</t>
  </si>
  <si>
    <t xml:space="preserve">SE HA QUITADO UN TORNILLO DE LA TAPADERA DEL INODORO, NECESITAMOS SE ARREGLE LO ANTES POSIBLE </t>
  </si>
  <si>
    <t>04/07/2025 SE DA AVISO AL SERVICIO TECNICO
11/07/2025 RECLAMADO
18/07 cerrado</t>
  </si>
  <si>
    <t xml:space="preserve">SUSTITUCION FILTRO DE RECUPERADOR </t>
  </si>
  <si>
    <t>08/07/2025 INFORMAN DE CORRECTIVO DETECTADO DURANTE MANTENIMIENTO PREVENTIVO. DAMOS OK PARA SUBSANACION
18/07 pendiente
24/07 pendiente
31/07/2025 RECLAMADO
NOS COMENTAN QUE LOS FILTROS SE RECIBIRÁN EN SEPTIEMBRE</t>
  </si>
  <si>
    <t>Sustitución de reloj programador cuadro eléctrico</t>
  </si>
  <si>
    <t>08/07/2025 INFORMAN DE CORRECTIVO DETECTADO DURANTE MANTENIMIENTO PREVENTIVO. DAMOS OK PARA SUBSANACION
18/07 pendiente
24/07 pendiente
31/07/2025 RECLAMADO</t>
  </si>
  <si>
    <t xml:space="preserve">Hola, necesitamos que cambiar las dos luces de la escalera a los nuevos focos que no tiene embellecedor. Gracias </t>
  </si>
  <si>
    <t>08/07/2025 SE DA AVISO AL SERVICO TECNICO
18/07 pendiente
24/07 pendiente</t>
  </si>
  <si>
    <t>31/07 hecho</t>
  </si>
  <si>
    <t xml:space="preserve">Hola, necesitamos que se cambien los filtros de carbón activo, pues vuelve a oler a fritanga zonas de la ofcina, como baños, escalera. Gracias </t>
  </si>
  <si>
    <t>08/07/2025 SE DA AVISO AL SERVICO TECNICO
18/07 pendiente. 18/07/2025 RECLAMADO, ME INDICAN QUE ESTAN A LA ESPERA DEL MATERIAL, FILTROS DE CARBONO
24/07 pendiente
01/08/2025 . El filtro no lo han recibido y han tomado medidas par poner también de carbono en las tomas de aire en el patio que están en la sala de máquinas por el olor de churros.
01/09 pendiente
23/09/2025 RECLAMADO
03/10/2025 RECLAMADO</t>
  </si>
  <si>
    <t>Todavía no les han llegado 31/07
Han tomado más medidas para otros equipos de aire para colocar más filtros de carbono 02/09</t>
  </si>
  <si>
    <t>PETICION MATERIAL LIMPIEZA OFICINA COSTA RICA- Le empleada de la limpieza ha hecho el pedido de material a Garnica el 20 de Junio por Whatshapp (siempre lo hace asi) y aun no lo hemos recibido. NO TENEMOS NI SI QUIERA PAPEL HIGIENICO. Reclamar. Gracias</t>
  </si>
  <si>
    <t>08/07/2025 RECLAMADO A GARNICA
11/07/2025 RECLAMADO A GARNICA - LO ENTREGAN EL LUNES 14/07, INFORMADO LUIS</t>
  </si>
  <si>
    <t>MAJADAHONDA</t>
  </si>
  <si>
    <t>Verificar enchufe de la televisión de turnos, por favor. Gracias</t>
  </si>
  <si>
    <t>08/07/2025 SE DA AVISO A NUESTRO TECNICO</t>
  </si>
  <si>
    <t>ATENCION AVERIA CLIMATIZACION</t>
  </si>
  <si>
    <t>30/06/2025 SE DA AVISO AL SERVICIO TECNICO URGENTE</t>
  </si>
  <si>
    <t xml:space="preserve">FUGA AGUA MAQUINA AA EN BAÑOS CLIENTES </t>
  </si>
  <si>
    <t>07/07/2025 SE DA AVISO AL SERVICIO TÉCNICO
08/07/2025 ACUDE TÉCNICO
09/07/2025 ACUDEN DOS TÉCNICOS - PENDIENTE INFORMAR
 EL DESAGÜE DE LA UNIDAD INTERIOR DEL BAÑO, SE HA SUSTITUIDO
24/07 cerrado</t>
  </si>
  <si>
    <t>El AA  perdiendo fuerza tb en plta baja-Añadido a nuestra incidencia con aire en plra 1, desde finales de la semana pasada tb está fallando en la plta baja. El termostato está a 19 y la sensación de 26 o así. Necesitamos se repare lo posible</t>
  </si>
  <si>
    <t>08/07/2025 SE DA AVISO AL SERVICO TECNICO
18/07 cerrado</t>
  </si>
  <si>
    <t>Para dar soporte a Steelcase se solicita técnico aire acondionado- Para dar con el origen de la avería del aire acondicionado en la planta 1 Steelcase nos solicita soporte por parte de uno de nuestros técnicos. Gracias.-</t>
  </si>
  <si>
    <t>08/07/2025 SE DA AVISO AL SERVICO TECNICO
NO PUEDEN ACUDIR POR EL POCO MARGEN DADO EN EL AVISO - INFORMADO ING
18/07 cerrado</t>
  </si>
  <si>
    <t xml:space="preserve">Necesitamos se tape un agujero en un armario de la cocina por donde entra un ratón. Adjunto foto </t>
  </si>
  <si>
    <t>09/07/2025 SE DA AVISO AL SERVICIO TECNICO
18/07 cerrado</t>
  </si>
  <si>
    <t xml:space="preserve">En planta principal cae agua por la pared de los kioskos - Hemos detectado en varios puntos que cae agua detrás de varios ordenadores, adjuntamos video donde se ve que el techo tiene agua. </t>
  </si>
  <si>
    <t>10/07/2025 SE DA AVISO AL SERVICIO TECNICO- ACUDIRAN EL 11/07 A PRIMERA HORA
La altura de los kioscos así como de los parabanes impide la correcta circulación del aire. Esto hace que en el centro se forme calor, este calor sube, y del contraste del calor con el frío de la máquina que es metálica, condensa el agua y gotea. Es posible que la incidencia del aire en la planta alta también contribuya a esa condensación, se juntan ambos factores pero me indican que con un correcto estudio de clima no habría puesto parabanes tan altos.
Se propone forrar con armaflex de color negro (en un espesor medio de 25 – 32 mm) y con eso se aislaría el cajón y se quitaría la condensación.
15/07 RECLAMADO MATERIAL
21/07 A la espera de fecha por parte de STEELCASE para dar soporte en los trabajos. Para el tema de la condensación de las rejillas, se van a aislar con forro armaflex para evitar la condensación.
25/07 A la espera de fecha por parte de STEELCASE para dar soporte en los trabajos. Para el tema de la condensación de las rejillas, se van a aislar con forro armaflex para evitar la condensación.
18/07 cerrado
01/09 abierto?</t>
  </si>
  <si>
    <t>Se pasó el presupuesto a Carlos pero no se sabe nada, ya no hay condensación por un cambio que se hizo en las máquinas.
Desde la obra hay problemas</t>
  </si>
  <si>
    <t xml:space="preserve">SE HA CAIDO UN STORE Y SE HA ROTO UNA DE LAS CUERDAS </t>
  </si>
  <si>
    <t>15/07/2025 SE DA AVISO AL SERVICIO TECNICO
24/07 pendiente
22/07/2025 RECLAMADO
13/08/2025 INFORMAN QUE PUEDE ACUDIR TÉCNICO - PROBLEMAS CAE
29/08/2025 RECLAMADO - ACUDIRAN EL 01/09
29/07/2025 RECLAMADO
01/08/2025 RECLAMADO
13/08/2025 INFORMAN QUE PUEDE ACUDIR TÉCNICO - PROBLEMAS CAE
29/08/2025 RECLAMADO - ACUDIRAN EL 01/09 -  SE TIENE QUE CAMBIAR TODO EL ESTOR, ENGANCHES Y CORDON ROTOS. PENDIENTE RECIBIR PRESUPUESTO
05/09/2025 RECLAMADO
12/09/2025 RECLAMADO - ME INDICAN QUE YA LO HAN SUSTITUIDO</t>
  </si>
  <si>
    <t>Fueron el 01/09, hay que cambiar el store, a la espera de presupuesto</t>
  </si>
  <si>
    <t>FREGADERO DE LA COCINA PRESENTA ATASCO Y NO DESAGUA CON FLUIDEZ</t>
  </si>
  <si>
    <t>16/07/2025 SE DA AVISO URGENTE AL SERVICIO TÉCNICO
24/07 pendiente
29/07 Se realiza limpieza, no había atasco de alimentos como en otras ocaciones, se utiliza pistola de desatascador para
limpiar desagüe hasta Sanitril después de varios intentos sigue lo mismo nos comentan que después de la obra de la oficina, el fregadero siempre ha tenido este problema, se comprueba que el tubo no tiene suficiente inclinación para que tire agua bien.
Hablado con Cristian, opciones poner otro Sanitrit para que sirva de bomba de impulsión, solucón cara ... abrir la pared y abrir el armario el office para cambiar el tubo que está dentro de la parede. José Luis quiere presupuesto para las 2 opciones, le indico que hay que consultar también con Seijo
31/07/2025 Pido presupuestos a SP para arreglo definitivo del desagüe</t>
  </si>
  <si>
    <t>Se revisó el fregadero, se necesita un sanitrid (bomba para desaguar). Se tienen que proponer soluciones a Carlos. Se pone en HOLD, pendiente presupuesto</t>
  </si>
  <si>
    <t>SANTANDER</t>
  </si>
  <si>
    <t>Alumbrado de cuarto de cajero 4b - En el cuarto del cajero 4b se han fundido 4 bombillas y otras están parpadeando. Se solicita asistencia para su cambio. SANTANDER</t>
  </si>
  <si>
    <t>18/07/2025 SE DA AVISO AL SERVICIO TECNICO
24/07 cerrado</t>
  </si>
  <si>
    <t>EN CAJERO 41 NOS COMENTA TÉCNICO DE PROSEGUR QUE HAY UN CABLE DE TENSION SUELTO Y HAY QUE ARREGLARLO PORQUE NO ENCIENDE EL CAJERO. TIENE QUE VENIR CON PROSEGUR PORQUE HAY QUE ABRIR CAJA FUERTE</t>
  </si>
  <si>
    <t>18/07/2025 SE DA AVISO AL SERVICIO TECNICO, NOS TIENEN QUE INDICAR FECHA DE LA VISITA PARA COORDINAR CON PROSEGUR
24/07 pendiente</t>
  </si>
  <si>
    <t>31/07 cerrado</t>
  </si>
  <si>
    <t>04/07/2025 SE DA AVISO AL SERVICIO ANTICIMEX
10/07/2025 RECLAMADO</t>
  </si>
  <si>
    <t>Necesitamos se limpien los tubos negros del aire en la planta baja - Buenas, necesitamos limpiar esos tubos, hace falta hacerlo en escalera, por tanto la limpiadora no puede encargarse sola. Gracias!</t>
  </si>
  <si>
    <t xml:space="preserve">16/07/2025 SE DA AVISO AL SERVICIO DE LIMPIEZA </t>
  </si>
  <si>
    <t>31/07 cerrado, el 25 se hizo la limpieza</t>
  </si>
  <si>
    <t xml:space="preserve">No funciona aire en sala RACK. LLevamos días observando que está a muy alta temperatura lo que no sabemos si puede ser peligroso. Hemos cambiado pilas del mando y sigue sin funcionar.No sabemos que más podemos hacer por lo que pasamos incidencia. </t>
  </si>
  <si>
    <t>14/07/2025 SE DA AVISO URGENTE AL SERVICIO TECNICO
24/07 cerrado</t>
  </si>
  <si>
    <t>SUMINISTRO Y SUSTITUCION DE CAJA SUELO 
CAJETIN ABIERTO CON CABLES EN LA ZONA DE LOS CAJEROS EXTENOS - Hay un cajetín que no cierra, contiene cables y enchufes, situado entre los do cajeros externos. Puede ser peligroso si no se tapa bien</t>
  </si>
  <si>
    <t>22/07/2025 CORRECTIVO, PENDIENTE VALORACIÓN Y MATERIAL
30/07/2025 RECLAMADO
01/08/2025 ABREN TICKET - SE LES INFORMA DE QUE INCIDENCIA DETECTADA Y QUE ESTÁ PENDIENTE MATERIAL</t>
  </si>
  <si>
    <t xml:space="preserve">Pestillo de una ventana que da al patio trasero estropeado </t>
  </si>
  <si>
    <t>23/07/2025 SE DA AVISO AL SERVICIO TECNICO
31/07 cerrado</t>
  </si>
  <si>
    <t>BILBAO</t>
  </si>
  <si>
    <t xml:space="preserve">PUERTA DE LA ENTRADA. TIRADOR - LA PUERTA DE ACCESO TIENE UNA BARRA QUE ES EL TIRADOR PARA ENTRAR. DICHO TIRADOR TIENE DOS PUNTOS DE ANCLAJE, EL PUNTO DE ANCLAJE SUPERIOR ESTA SUELTO. SOLICITAMOS REPARACION- </t>
  </si>
  <si>
    <t>23/07/2025 SE DA AVISO AL SERVICIO TECNICO
31/07 cerrado, soldaron la barra</t>
  </si>
  <si>
    <t>LA PUERTA DEL RACK SIGUE SIN CERRARSE BIEN, HA VENIDO EL TÉCNICO DE CBRE PERO SE SIGUE QUEDANDO ENTREABIERTA - CORREMOS EL RIESGO QUE SE VUELVA A QUEDAR ATASCADA</t>
  </si>
  <si>
    <t>22/07/2025 SE DA AVISO AL SERVICIO TECNICO</t>
  </si>
  <si>
    <t xml:space="preserve">ASISTENCIA CARPINTERO PARA CAMBIO DE PUERTA </t>
  </si>
  <si>
    <t>22/07/2025 SE DA AVISO A CARPINTERO - YA NO SE PUEDE APRETAR MÁS LAS BISAGRAS, ZONA RAJADA
24/07 acude carpintero
28/07 se indica cambiar solo puerta, no el marco - Pendiente recibir presupuesto
01/08/2025 RECLAMADO
RECIBIDO PRESUPUESTO Y ENVIADO AL CLIENTE 
25/08/2025 RECLAMADO  CARPINTERO ESTABA DE VACACIONES EN AGOSTO - NOS INFOMARAN DE PLAZOS
05/09/2025 RECLAMADO Se iba a pedir a principio de este mes y para colocarla, de mitad a finales de mes. 
Van a confirmar con almacén que ya está operativo el tiempo estimado de servir material.</t>
  </si>
  <si>
    <t>Tienen que sustituir toda la puerta, pedir presupuesto</t>
  </si>
  <si>
    <t xml:space="preserve">La puerta de entrada no se cierra - Con el mecanismo de cierre la puerta no llega a quedarse cerrada por completo y el mecanismo de cierre no deja la puerta cerrada </t>
  </si>
  <si>
    <t>24/07/2025 SE DA AVISO AL SERVICIO TÉCNICO</t>
  </si>
  <si>
    <t>Han ido a ajustar el muelle y está ok  31/07</t>
  </si>
  <si>
    <t xml:space="preserve">Instalación Store para ventanal de fachada a la calle - Tenemos un ventanal que requiere de la instalación de un Store para mitigar la entrada de luz solar en esa zona </t>
  </si>
  <si>
    <t>22/07/2025 DAMOS AVISO PARA QUE REALICEN VISITA Y NOS ENVIEN PRESUPUESTO
29/07/2025 RECLAMADO
31/07/2025 RECLAMADO
29/08/2025 RECLAMADO - HAN ESTADO CERRADOS EN AGOSTO - PENDIENTE NOS INFORMEN
05/09/2025 RECLAMADO
09/09 ENVIADO PRESUPUESTO A SEIJO
30/09/2025 APROBADO PRESUPUESTO - DOY OK A BOJUNA - PENDIENTE MATERIALES Y PLANIFICACION
10/10/2025 RECLAMADO
13/10/2025 El metraje que tenían para nosotros les llegó tarado y me han dado plazo de envío ahora para el 04 de noviembre, por lo que sumarle la entrega, fabricación y logotipo… se nos va el estor a mediados… más luego el transporte a Mallorca… Por lo que te ofrezco cambiar el tejido a un Ibiza 390 que es diferente trama y urdimbre, la composición del n203 es de 100% fibra de vidrio y la del Ibiza 390 es 36 %fibra de vidrio y 64% PVP , la apertura es la misma del 3% y el color también. Carlos me indica esperar. Aviso a Francisco 
20/11/2025 RECLAMADO
24/11/2025 RECLAMADO - Nos indican lo siguente Ya tenemos el tejido aquí, ya lo hemos cortado y vamos a llevarlo para que hagan el logo, en cuanto esté y lo fabriquemos te aviso para sacarlo por agencia.
11/12/2025 YA TIENEN EL ESTOR, PENDIENTE DARNOS FECHA               17/12/2025 SE INSTALA HOY</t>
  </si>
  <si>
    <t>16/07/2025 SE DA AVISO AL SERVICIO DE LIMPIEZA 
22/07/2025 LIMPIEZA PROGRAMADA PARA EL 25/07</t>
  </si>
  <si>
    <t>Limpieza de moqueta - el 22-07-2025 se realizó la limpieza de la moqueta, pero después de la limpieza se han quedado unas manchas que antes no había, pensé que tenía que secar bien, pero después de 2 días siguen las manchas.</t>
  </si>
  <si>
    <t>23/07/2025 SE DA AVISO AL SERVICIO DE LIMPIEZA
24/07/2025 LIMPIEZA PROGRAMADA PARA EL VIERNES 25/07</t>
  </si>
  <si>
    <t>Tapar el hueco del vestuario</t>
  </si>
  <si>
    <t xml:space="preserve">NO FUNCIONA BIEN EL AIRE ACONDICIONADO EN LA PLANTA 0 DE LA OFICINA, NO SALE AIRE Y DESPUES DE LA ÚLTIMA AVERIA PORFAVOR NECESITAMOS QUE LO REVISEN </t>
  </si>
  <si>
    <t>31/07/2025 SE DA AVISO URGENTE AL SERVICIO TECNICO - ACUDE RICARDO - TEMPERATURA 23º Y DE RETORNO 13º - TODO NORMAL - CONFIRMADO CON ESTEFANIA</t>
  </si>
  <si>
    <t>LAMPARAS PUESTOS - Las lamparas de los puestos se encienden y se apagan continuamente sin control, dando destellos, no las podemos mantener encendidas proque son muy molestas</t>
  </si>
  <si>
    <t>29/07/2025 SE DA AVISO AL SERVICIO TECNICO</t>
  </si>
  <si>
    <t xml:space="preserve">Nos comunican desde Acacias un fallo eléctrico el cual impide la apertura del cuarto RACK. </t>
  </si>
  <si>
    <t xml:space="preserve">04/08/2025 SE DA AVISO A SP ACACIAS, abrieron y están esperando a que securitas diga algo más. </t>
  </si>
  <si>
    <t>MANIVELA ESTROPEADA DE LA PUERTA ALMACEN</t>
  </si>
  <si>
    <t>19/08/2025 SE DA AVISO A SP ACACIAS</t>
  </si>
  <si>
    <t>CISTERNA ROTA VESTUARIO CHICAS OF ACACIAS. No Funciona Bien la CISTERNA del Baño de las chicas y la tapa del Water está suelta</t>
  </si>
  <si>
    <t xml:space="preserve">19/08/25 SE DA AVISO A SP MADRID ; 20/08 se le reenvia a Bojuna; pueden ir el 22 de Agosto 
29/08 el fontanero indica que alguien ha manipulado porque faltan las varillas y el pulsador, cuesta encontrar el recambio puesto que es un modelo descatalogado. Estamos a la espera de que nos indiquen si queda algún recambio para poder llevar a cabo la reparación, sino habrá que cambiar el wc. Ya ocurrión en enero. Pido igualmente nos pasen presupuesto para cambio de WC por problema recurrente y que decida el cliente. 
05/09/2025 RECLAMADO
08/09 RECIBIDO PRESUPUESTO PARA CAMBIO WC - LOCALIZADO REPUESTO - PENDIENTE CONFIRMAR SI ESTÁ SOLUCIONADO, HA ACUDIDO HOY UN TECNICO DE CBRE PARA ATENDER OTRA INCIDENCIA Y SE LO HAN COMENTADO, PARECE QUE LLEVABA UN RESPUESTO EN LA FURGONETA ...
10/09/2025 ES NECESARIO EL REPUESTO, ARREGLO PARA SALIR DEL PASO ... INFORMO A BOJUNA                                                                        15/01/2026 ESTAMOS A LA ESPERA DE QUE NOS SIRVAN EL WC COMPLETO PARA SUSTITUIR MODELO DESCATALOGADO DEBIDO AL PROBLEMA PARA ENCONTRAR LAS PIEZAS NECESARIAS PARA ARREGLO DEFINITIVO DE LAS INCIDENCIAS CON LA CISTERNA. </t>
  </si>
  <si>
    <t>02/09 a la espera de material y presupuesto para ca,biar todo el baño</t>
  </si>
  <si>
    <t>A CORUÑA</t>
  </si>
  <si>
    <t>Tenemos una plaga de moscas en el sótano de la oficina</t>
  </si>
  <si>
    <t>8/08/2025 SE DA AVISO A ANTICIMEX.</t>
  </si>
  <si>
    <t>ALICANTE: Existe una incidencia previa, que finalmente no acaba de solucionarse, riesgo de quedarse cerrada, por favor es urgente.</t>
  </si>
  <si>
    <t xml:space="preserve">07/08/2025 SE DA AVISO A INVALEC , solución parcial </t>
  </si>
  <si>
    <t>ALICANTE: LA PUERTA DE ACCESO A LA OFICINA DE ALICANTE NO CIERRA, HAY QUE CERRAR FORZANDO.</t>
  </si>
  <si>
    <t>11/08/2025 SE DA AVISO A INVALEC, les pedimos solución definitiva
19/08 pendiente de que vuelva de vacaciones para dar presupuesto de la puerta
05/09/2025 SE RECLAMA PRESUPUESTO
12/09/2025 RECLAMADO</t>
  </si>
  <si>
    <t>Se cierra el 02/09 pero a la espera de prespuesto de cambio de puerta</t>
  </si>
  <si>
    <t>CADIZ: ACUDE SECURITAS Y NOS COMENTA QUE SE NECISTA UN SERVICIO DE CERRAJERÍA PARA SUSTITUIR LA ACTUAL QUE ESTÁ DEFECTUOSA Y SE PUEDE CERRAR LA OFICINA. GRACIAS</t>
  </si>
  <si>
    <t>04/08/2025 SE DA AVISO A SP ANDALUCÍA, 05/08/2025 van mañana dia 6, 7/08/25 TENEMOS PARTE</t>
  </si>
  <si>
    <t>SE HAN ROTO LOSAS DE LA FACHADA - CADIZ</t>
  </si>
  <si>
    <t>25/08/2025 SE DA AVISO AL SERVICIO TÉCNICO. INFORMO A BOJUNA, SOLICITADAS FOTOS A JUANA
28/08/2025 SE ENVIA FOTO A BOJUNA Y SE LES INDICA QUE NO TIENEN LOSAS DE REPUESTO, ARREGLAR DE LA MEJOR MANERA POSIBLE - PENDIENTE CONFIRMAR FECHA VISITA ALBAÑIL
05/09/2025 RECLAMADO</t>
  </si>
  <si>
    <t>Pendiente de que vaya el albañil 02/09</t>
  </si>
  <si>
    <t>CORDOBA: Solicitamos servicio puntual por abundancia de mosquitos en la oficina</t>
  </si>
  <si>
    <t>05/08/2025 SE DA AVISO A ANTICIMEX , derivan al técnico  07/08/2025 NOS PASAN OF PARA SU EXTINCION 
02/09/2025 MARTA INDICA QUE SIGUE PLAGA DE MOSQUITOS - LA PULVERIZACIÓN REALIZADA NO ESTÁ SURGIENDO EFECTO- PASAN 2 OFERTAS PARA INSTALACION DE INSECTOCAPTOR, EN ALQUILER O COMPRA - SE PASA OFERTA A CLIENTE
Se insiste con Seijo pero no da instrucciones al respecto</t>
  </si>
  <si>
    <t>Goteras en almacén abierto de material planta -1</t>
  </si>
  <si>
    <t>28/07 SE TRATA DE UNA GOTERA ANTIGUA, YA SE AVISO QUE LA REJILLA DE LA CALLE ESTÁ EN MAL ESTADO Y POR AHÍ ENTRA EL AGUA. ARREGLO LE CORRESPONDE AL AYUNTAMIENTO DE BARCELONA COMO YA SE INDICÓ A LAURA Y SEIJO. VUELVO A MANDAR MAIL A SEIJO, NO TIENE SENTIDO SUBSANAR LAS MANCHAS DE HUMEDADES SINO SE HA SOLUCIONADO EL PROBLEMA CON EL AYUNTAMIENTO. 
29/07 ME INDICA CRISTIAN QUE AYER LLOVIÓ MUCHO EN BARCELONA, TIENE UN TÉCNICO CERCA, DICE QUE LO VA A MANDAR PARA VER DE NUEVO LA INCIDENCIA.</t>
  </si>
  <si>
    <t>Se tiene que gestionar desde el ayuntamiento, pendiente de un arreglo si se pudiera</t>
  </si>
  <si>
    <t>El A/C no enfría bien. Lo tenemos a 16 grados y apenas se nota. Necesitamos que acuda algún técnico a revisar si hay alguna incidencia.</t>
  </si>
  <si>
    <t>12/8/2025 SE DA AVISO A SP BARCELONA, se pasan hoy nos dan feedback</t>
  </si>
  <si>
    <t>Hay cucarachas en la oficina otra vez</t>
  </si>
  <si>
    <t>19/08/25 SE DA AVISO A ANTICIMEX</t>
  </si>
  <si>
    <t>No funciona el grifo izquierdo del vestuario femenino de la planta -2</t>
  </si>
  <si>
    <t>25/08/2025 SE DA AVISO A SERVICIO TÉCNICO
26/08/2025 HAY QUE CAMBIAR GRIFO - LO PIDEN
28/08/2025 SE INSTALA GRIFO</t>
  </si>
  <si>
    <t>El pulsador externo de la puerta principal en muchas ocasiones falla y no se oye el timbre desde dentro de la oficina.</t>
  </si>
  <si>
    <t>27/08/25 SE DA AVISO A SP BARCELONA</t>
  </si>
  <si>
    <t>02/09 se pasa a securitas</t>
  </si>
  <si>
    <t>Aire acondicionado apagado</t>
  </si>
  <si>
    <t>19/08/25 JOSE DA AVISO A PETELEC , se ha roto el compresor y hay que cambiarlo (quedamos en espera)
01/09/2025 se ha descartado que sea el compresor, hay que sustituir un contactor y el termostato. El termostato esta descatalogado, hoy PETELEC iba a ver si podía hacer un apaño, si no puede, hay que hacer una oferta al cliente (ver el correo solicitud oferta termostato) y mandarle el termostato desde Madrid a la dirección que nos diga PETELEC. 
02/09/2025 ME DICEN QUE LOCALIZADO Y QUE REMATAN EL MIERCOLES
04/09/2025 HABLO CON ROBERTO, SIGUE PENDIENTE, TENIAN QUE VOLVER HOY ...
05/09 CONFIRMAN HAN DEJADO CLIMA OPERATIVO REALIZAR LIMPIEZA MENSUAL DE LA COLMENA CON AGUA A PRESIÓN.</t>
  </si>
  <si>
    <t>Se ha descartado que fuera el compresor, hay que sustituir el termostato y el contactor. Hay que hacer una oferta al cliente del termostato 02/09 pendiente de confirmar</t>
  </si>
  <si>
    <t>Necesitamos que vengan a revisar la maquina del aire acondicionado.</t>
  </si>
  <si>
    <t>13/08/25 SE DA AVISO A SP MADRID, van mañana 19/08 arreglado</t>
  </si>
  <si>
    <t>Las lámparas de gestor se apagan y encienden sin motivo aparente. hemos enviado videos a Carlos Garcia</t>
  </si>
  <si>
    <t>20/08/25 se da aviso a HECTOR Y ALVARO PORQUE ES D PROYECTOS (a la vuelta de vacaciones)
HAN ACUDIDO, SE HAN DESATIVADO SENSORES PERO SIGUE EL PROBLEMA AUNQUE ES MENOS MOLESTO, PENDIENTE VISITA DEL PROVEEDOR PARECE QUE HAY UN PROBLEMA DE ACTUALIZACION DE SOFTWARE GENERAL A TODAS LAS OFICINAS DONDE SE HAN CAMBIDO LAS LAMPARAS
03/08/2025 ACUDE ALVARO DE PROYECTOS PARA ACTUALIZAR FIRMWARE. 
04/08/2025 RECIBIDO MAIL DE ALVARO INDICANDO QUE TODO FUNCIONA CORRECTAMENTE Y QUE AVISARÍA SI SURGIERA ALGUNA INCIDENCIA MÁS.</t>
  </si>
  <si>
    <t>Las lámparas nuevas de mesa de gestor están dando problemas, va desde CBRE proyectos se está intentando deshabilitar los sensores</t>
  </si>
  <si>
    <t>Murcia: No funciona la iluminacion en el vestuario masculino</t>
  </si>
  <si>
    <t>20/08/25 SE DA AVISO A INVALEC irán mañana día 22/08
29/08/2025 RECLAMADO
05/09 cerrado</t>
  </si>
  <si>
    <t>Una de los WC de los vestuarios de caballero pierde bastante agua</t>
  </si>
  <si>
    <t>8/22/2025 SE DA AVISO A SP BARCELONA
26/08/2025 SE ATIENDE INCIDENCIA Y SE INDICA QUE SE DESATASCA PICA 
29/08/2025 CONSULTO CON MARC SI ESTÁ SOLUCIONADO PROBLEMA WC- TENGO PENDIENTE PRESUPUESTOS SOLUCIÓN DEFINITIVA PARA ARREGLO DE LA PICA QUE ESTÁ RELACIONADO CON EL WC/SANITRIT. PENDIENTE CONFIRMAR</t>
  </si>
  <si>
    <t>Manilla puerta del baño rota y botón de whatchymochi atascado-</t>
  </si>
  <si>
    <t>25/08/2025 se DA AVISO A SERVICIO TÉCNICO, sino pueden solucionar fácilmente lo del botón del Watch &amp; Mochi, avisar a Salvatore, ya está al tanto.</t>
  </si>
  <si>
    <t>Necesitamos reparar los programadores horarios del aire acondicionado de la oficina de Santander</t>
  </si>
  <si>
    <t xml:space="preserve">20/08/25 SE DA AVISO A EIFFAGE parte de trabajo </t>
  </si>
  <si>
    <t>Revisión de filtraciones</t>
  </si>
  <si>
    <t>25/08/25 SE DA AVISO A SERVICIO TÉCNICO</t>
  </si>
  <si>
    <t>Se revisó en el mismo día, el 12 de septiembre empiezan las obras de restylying en la oficina y se encargarán en ese momento</t>
  </si>
  <si>
    <t xml:space="preserve">Avería cisterna - Rotura del botón de la cisterna del baño de los clientes. </t>
  </si>
  <si>
    <t>28/08/25 SE DA AVISO  A SERVICIO TECNICO</t>
  </si>
  <si>
    <t>Cambiado</t>
  </si>
  <si>
    <t>SEVILLA: EL TERMO SALE AGUA DE LAS CONEXIONES QUE TIENE DE LOS TUBOS POR DONDE ENTRA EL AGUA. HEMOS CERRADO LAS LLAVES DE PASO PARA QUE NO SALGA AGUA Y HAN DEJADO DE SALIR.</t>
  </si>
  <si>
    <t>04/08/2025 SE DA AVISO A SP ANDALUCÍA  05/08/25 se pasa aviso a Aryse, tienen que pedir un termo nuevo. 19/08/25 van con el termo nuevo</t>
  </si>
  <si>
    <t>Tenemos la mayoría de las tomas de luz de las mesas sin corriente</t>
  </si>
  <si>
    <t>19/08/25 SE DA AVISO A INVALEC
29/08/2025 RECLAMADO
05/09 cerrado</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</si>
  <si>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</si>
  <si>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01/09/2025 Son como 2 lamparas Vulcano, hablar con Seijo para ver si se lo pedimos a Proyectos dentro del Relamping.
04/09/2025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t>
  </si>
  <si>
    <t>Hay bastantes lámparas con este problema, plantearse cambiar las lámparas o el relamping de CBRE proyectos, pendiente hablar con Carlos 02/09</t>
  </si>
  <si>
    <t>VIRIATO: Después de la limpieza, en la planta baja, quedó suelta una sujeción metálica de la moqueta y .la han tenido que arrancar porque una de las gestoras se la clavó en el pie con la consiguiente herida</t>
  </si>
  <si>
    <t>8/08/2025 MAICA AVISA A GARNICA, lo pagan ellos pues fue error suyo 12/08 iba Jesus a ver que pueden hacer 19/08 falta presupuesto bojuna
25/08, ENVIARAN PERFILES QUE TIENEN EN STOCK EN VALENCIA PARA ARREGLO DE ZONA DAÑADA (SE QUITARON PERFILES LEVANTADOS PARA EVITAR MÁS ACCIDENTES)
05/09/2025 RECLAMADO</t>
  </si>
  <si>
    <t>Tienen que enviar desde Valencia los perfiles 02/09</t>
  </si>
  <si>
    <t>En la última semana hemos visto dos cucarachas en zona de cliente.</t>
  </si>
  <si>
    <t>14/08/25 SE DA AVISO A ANTiCIMEX; van el lunes 18/08</t>
  </si>
  <si>
    <t xml:space="preserve">La puerta de acceso a la oficina pega un portazo tremendo con riesgo de partirse el cristal </t>
  </si>
  <si>
    <t>3675994
368023</t>
  </si>
  <si>
    <t>01/09/2025 SE DA AVISO URGENTE A SERVICIO TECNICO
02/09/2025 ACUDEN HOY, INDICAN QUE HAY QUE SUSTITUIR EL MUELLE Y QUE ES NECESARIO SOLICITARLO A EMPRESA EXTERNA
02/09/2025 DOY AVISO URGENTE A BOJUNA, ADJUNTO ANOTACIONES DE NUESTROS TÉCNICO Y FOTOS FACILITADAS. INFORMAN DE QUE ACUDIRAR CERRAJERO EL 03/09 POR LA MAÑANA
03/09/2025 ACUDEN LOS CERRAJEROS, MECANISMO DESGASTADO Y MEDIO ROTO, IBAN AL ALMACEN A VER SI TIENEN PIEZA, SINO TIENEN LA PEDIRAN. INSISTO URGENCIA.
04/09/2025 RECLAMADO - ACUDIRAN EL 05/09 PARA SUSTITUIR MUELLE RETENEDOR
05/09 SE SUSTITUYE MUELLE, CERRAJEROS INDICAN QUE HAY QUE CAMBIAR LA ALMOHADILLA QUE CHOCA LA PUERTA AL CERRAR, ES COMO UNA TIRA DE PLASTICO QUE HACE QUE AL CERRARLA PUERTA NO SUENE TAN METÁLICO. 
08/09/2025 AVISO A SP PARA QUE REVISEN ALMOHADILLA Y LA SUSTITUYAN
10/09/2025 ENVIO FOTOS -  ACUDIRAN JUEVES O VIERNES
11/09/2025 ACUDEN HOY, HAN PEDIDO GOMA</t>
  </si>
  <si>
    <t xml:space="preserve">Grifo baño femenino planta alta se sale y habrá que sustituirlo </t>
  </si>
  <si>
    <t>02/09/2025 Damos aviso al Servicio técnico - Acudirán el 03/09
10/09/2025 RECLAMADO -  TIENEN MATERIAL PEDIDO, ESTA COSTANDO ENCONTRAR MODELO</t>
  </si>
  <si>
    <t xml:space="preserve">Solicitamos cambio de 6 bombillos que estan quemados </t>
  </si>
  <si>
    <t>05/09/2025 SE DA AVISO AL SERVICIO TECNICO</t>
  </si>
  <si>
    <t xml:space="preserve">El calentador de agua se ha roto y pierde agua - Hemos cerrado las 2 llaves que llevan al calentador pero sigue perdiendo agua,
 entendemos que no parara hasta que vacie el deposito. Por favor enviad asistencia técnica </t>
  </si>
  <si>
    <t>05/09/2025 SE DA AVISO AL SERVICIO TECNICO - ACUDIRAN ANGEL HOY- CIERRAN CORRECTAMENTE TODAS LAS LLAVES Y VACIA DE AGUA EL TERMO - PENDIENTE RECIBIR PRESUPUESTO PARA SU SUSTITUCIÓN.
12/09/2025 RECIBIDO PRESUPUESTO - ENVIADO A SEIJO</t>
  </si>
  <si>
    <t xml:space="preserve">INCIDENCIA ELECTRICA </t>
  </si>
  <si>
    <t>05/09/2025 SE DA AVISO URGENTE, ACUDEN A LAS 09:00 - SE SUSTITUYE DIFERENCIAL CUADRO ELECTRICO</t>
  </si>
  <si>
    <t>A RAIZ DE CAMBIAR LA LUMINARIA D ELA OFICNA, LAS LUCES SE APAGAN Y SE ENCIENDEN SOLAS TODO EL RATO.</t>
  </si>
  <si>
    <t>05/09/2025 AVISO A PROYECTOS PARA QUE LO TENGAN EN CUENTA. SE REALIZÓ ACTUALIZACION DE FIRMWARE EN MOSTOLES Y YA FUNCIONAN CORRECTAMENTE. SE TENDRÁ QUE ACTUALIZAR EN TODAS LAS SUCURSALES DONDE SE PUSO EN MARCHA EL PROYECTO RELAMPING</t>
  </si>
  <si>
    <t>URGE MUELLE ROTO PUERTA ENTRADA  - Se ha roto el muelle de la puerta de entrada principal, por favor, necesitamos que acudan a arreglarlo, gracias 
ATASCO URINARIO WC HOMBRES
ATASCO WC MUJERES
Lavabo baño mujeres pierde agua
Ventanas Planta alta  - Poner pestañas en 2 ventanas planta alta porque están descolocadas</t>
  </si>
  <si>
    <t xml:space="preserve">09/09/2025 SE DA AVISO URGENTE - ACUDEN ESTA MAÑANA
INCIDENCIA LAVABO BAÑO DUPLICADA, EL TECNICO LLEVABA REPUESTO MODELO DESCARGA CISTERNA … PENDIENTE CONFIRMACION POR PARTE DE LUIS ANTES DE CONFIRMAR CON BOJUNA QUE NO HACE FALTA EL REPUESTO FINALMENTE
10/09/2025 LAVABO SIGUE PERDIENDO AGUA
</t>
  </si>
  <si>
    <t>LAVABO BAÑO MUJERES PIERDE AGUA</t>
  </si>
  <si>
    <t>10/09/2025 SE DA AVISO AL SERVICIO TECNICO  - ACUDIRAN EL 11/09</t>
  </si>
  <si>
    <t xml:space="preserve">Cajon de madera gestor roto - Solicitamos reparacion de cajon de madera de puesto de gestor, han quedado los tornillos por 
fuera y puede ser peligroso que el gestor se pueda hacer daño. </t>
  </si>
  <si>
    <t>12/09/2025 SE DA AVISO AL SERVICIO TECNICO</t>
  </si>
  <si>
    <t>URGENTE: DEBIDO A FILTRACION POR AGUA TENEMOS DESPERFECTOS EN LA OFICINA</t>
  </si>
  <si>
    <t>09/09/2025 SE DA AVISO URGENTE - ACUDEN ESTA MAÑANA - AGUA PROVIENE DE LA PLANTA DE ARRIBA COMO EN OTRAS OCASIONES. RETIRAN LO QUE PODRÍA CAERSE PO HUMEDO- VOLVERAN EL VIERNES 12/09 A REVISAR SI YA ESTÁ SECO. 
12/09 NO ESTA SECO Y PARECE QUE HA SALIDO UNA SEGUNDA GOTERA A 3 METROS DE LA OTRA. VUELVEN EL LUNES PARA RETIRAR PLACAS Y MOVER LUMINARIAS, EN PRINCIPIO NO DEBERIA DE HABER RIESGO DE CAÍDA, MANTENER ZONA DELIMITADA. SEIJO TIENE QUE HABLAR CON COMUNIDAD PARA QUE SOLUCIONEN INCIDENCIA DE LA BAJANTE.</t>
  </si>
  <si>
    <t>No depende de nosotros</t>
  </si>
  <si>
    <t xml:space="preserve">CISTERNA ROTA BAÑO UNISEX PLANTA BAJA </t>
  </si>
  <si>
    <t>10/09/2025 DAMOS AVISO AL SERVICIO TECNICO - ACUDIRAN EL 11/09</t>
  </si>
  <si>
    <t xml:space="preserve">Solicitamos reparar backlight de publicidad de metacrilato </t>
  </si>
  <si>
    <t>08/09/2025 SE DA AVISO AL SERVICIO TÉCNICO</t>
  </si>
  <si>
    <t>DESCUELGUE DEL DISPENSADOR DE JABON DE LA PARED - DESCOLGADO DE LA PARED EL DISPENSADOR DEL JABON DE MANOS. 
ES UNA PIEZA METALICA QUE PESA... SE HA GENERADO UNA HOLGURA EN LOS TACOS DE LA PARED Y SE HA DESCOLGADO.</t>
  </si>
  <si>
    <t>11/09/2025 SE DA AVISO A MANTENIMIENTO - ROBERTO ACUDIRA EL LUNES 15/09</t>
  </si>
  <si>
    <t>EN LA ZONA DE ESPERA, DEBAJO DE LOS ASIENTO DONDE SE SIENTAN LOS CLIENTES, HAY UNA ARQUETA DE ENCHUFES ROTA, 
POR FAVOR, SI PODÉIS ACUDIR A REVISARLA</t>
  </si>
  <si>
    <t>16/09/2025  SE DA AVISO A SERVICIO TECNICO - EL TECNICO ACUDIRÁ EL 17/09/2025</t>
  </si>
  <si>
    <t>EL AIRE ACONDICIONADO DE LA PLANTA BAJA NO ESTÁ FUNCIONANDO, YA TUVIMOS INCIDENCIA ESTE VERANO Y RECARGARON
 LA MÁQUINA DE GAS, PERO VUELVE A NO ENFRIAR. POR FAVOR, PODEIS ACUDIR A REVISARLO Y EN SU CASO A VOLVER A CARGAR DE GAS?</t>
  </si>
  <si>
    <t>3749893
3759272</t>
  </si>
  <si>
    <t>17/09/2025 SE DA AVISO URGENTE AL SERVICIO TECNICO- ACUDEN HOY
La climatizacion de la planta baja está baja de rendimiento a causa de estar más baja de refrigerante, la
temperatura de aspiración y descargar son mas altas y las presiones mas bajas de las óptimas de rendimiento. Van  buscar la fuga.
19/09/2025 SE TIENE QUE PEDIR MATERIAL (Nitrogeno, refrigerante y Valvulas de Obus nuevas)  SE PLANIFICA PARA EL MARTES 23 A PRIMERA HORA</t>
  </si>
  <si>
    <t>LA ASPIRADORA QUE TENEMOS EN LA OFICINA ES MUY ANTIGUA Y NO ASPIRA BIEN. SOLICITAMOS UNA NUEVA, YA QUE EL 
PERSONAL INFORMATICO QUE NOS HACE LA AUDITORIA NOS SOLICITA QUE ASPIREMOS LOS EQUIPOS Y CON LA ACTUAL NO PODEMOS</t>
  </si>
  <si>
    <t>19/09/2025 SE DE AVISO A GARNICA -HAN SOLICITADO NUEVA ASPIRADORA Y SE ENTREGARA PROXIMAMENTE</t>
  </si>
  <si>
    <t>Solicitamos servicio puntual por abundancia de mosquitos en la oficina</t>
  </si>
  <si>
    <r>
      <rPr>
        <sz val="12"/>
        <color rgb="FF000000"/>
        <rFont val="ING Me"/>
      </rPr>
      <t xml:space="preserve">05/08/2025 SE DA AVISO A ANTICIMEX , derivan al técnico  07/08/2025 NOS PASAN OF PARA SU EXTINCION 
</t>
    </r>
    <r>
      <rPr>
        <sz val="11"/>
        <color rgb="FF000000"/>
        <rFont val="Calibri"/>
        <scheme val="minor"/>
      </rPr>
      <t>02/09/2025 MARTA INDICA QUE SIGUE PLAGA DE MOSQUITOS - LA PULVERIZACIÓN REALIZADA NO ESTÁ SURGIENDO EFECTO- PASAN 2 OFERTAS PARA INSTALACION DE INSECTOCAPTOR, EN ALQUILER O COMPRA - SE PASA OFERTA A CLIENTE
Se insiste con Seijo pero no da instrucciones al respecto</t>
    </r>
  </si>
  <si>
    <t>Se han mandado presupuestos para solución definitva
04/11 se pone en hold</t>
  </si>
  <si>
    <t>Tapadera baño femenino arrancada - GRANADA</t>
  </si>
  <si>
    <t>15/09/2025 SE DA AVISO AL SERVICIO TECNICO</t>
  </si>
  <si>
    <t xml:space="preserve">MESA DE GESTOR ( PUESTO 6) A PUNTO DE CAERSE - La mesa de atencion al publico 6, esta moviendose y esta a punto de partirse 
del todo, ya ha pasado en otras mesas y ha tenido que venir un carpintero a su reparación. </t>
  </si>
  <si>
    <t>15/09/2025 SE DA AVISO A CARPINTERO - SE SOLICITAN FOTOS
16/09/2025 FOTOS RECIBIDAS Y ENVIADAS AL CARPINTERO - ACUDIRA EL 17/09/2025 POR LA TARDE
19/09/2025 RECLAMA JOSE MANUEL NO HAN ACUDIDO. ACUDIRAN HOY SIN FALTA</t>
  </si>
  <si>
    <t xml:space="preserve">SELLO DE PLACAS EN EL PUESTO DE AUTOSERVICIO - PEGAR LAS PLACAS DE ACERO EN LOS PUESTOS DE AUTOSERVICIO PARA QUE
 LOS CLIENTES NO TENGAN ACCESO A LOS CABLES </t>
  </si>
  <si>
    <t>19/09/2025 SE DA AVISO AL SERVICIO TÉCNICO</t>
  </si>
  <si>
    <t xml:space="preserve">Cristal roto de cajeros debe venir un cristalero a tomar medidas para la sustitución del mismo </t>
  </si>
  <si>
    <t>17/09/2025 SE DA AVISO A SIGLASS                                                   
19/09/2025 SE ENVIA PRESUPUESTO A SEIJO. PENDIENTE APROBACIÓN                                                                                                                                     05/12/2025 SEIJO DA INSTRUCCIONES SUSTITUIR CRISTAL O'DONNELL
09//12/2025 ACUDEN PARA VERIFICAR MEDIDAS
07/01/2026 RECLAMO PREVISIÓN/PLANIFICACIÓN SUSTITUCIÓN VIDRIO                                                                                 09/01/2026 ESTÁ EN FABRICACIÓN, CON LAS FIESTAS CERRÓ LA FÁBRICA- LO VAN A RECLAMAR PREVISIÓN
15/01/2026 RECLAMADO                                                                         29/01/2026 RECLAMADO                                                                                                           13/02/2026 ACUDIRAN EL MARTES 17/02 A LAS 15:00                           17/02/2026 Hemos ido a recoger el vidrio y tenía un golpe, nos vemos obligados a suspender el trabajo de hoy, lo están repitiendo muy urgente, en cuanto me digan que está hecho fijamos nueva fecha. - AVISO A LA SUCURSAL</t>
  </si>
  <si>
    <t>tiene que dar el ok Carlos García
04/11 se pasa a hold. Deben pedir permiso de ocupación en la calzada</t>
  </si>
  <si>
    <t>01/07/2025 SE DA AVISO AL SERVICIO TÉCNICO
08/07/2025 SE PASA PRESUPUESTO A SEIJO
16/07/2025 RECIBIDO OK SOLICITAMOS MATERIAL
28/07/2025 RECLAMADO, INDICAR PLAZOS REALIZACION TRABAJOS- LOS TRABAJOS SE VAN A REALIZAR EL 01/08
29/08/2025 RECLAMADO - pidieron retrasar los trabajos por no estar el director y por gran afluencia, pues las luces que hay que sustituir están sobre los puestos de trabajo. Estan a la espera de que el director de visto bueno y una fecha para realizar el trabajo. Consulto también con Diego
03/08/2025 Me indican que pueden acudir el 15 o 16 a las 07:30 y finalizar los trabajos a las 09:00 antes de la apertura de la sucursal. Consulto con Diego
04/08/2025 Diego me indica que esos días está en el comité en Madrid, propone el 23/09 a las 07:30 e indica que no hace falta pedir seguridad, acude él.</t>
  </si>
  <si>
    <t xml:space="preserve">SE NOS HAN APAGADO 5 ORDENADORES DE LA PLANTA ALTA, HEMOS VISTO QUE EL DIFERENCIAL ESTABA SALTADO Y HEMOS
 INTENTADO SUBIRLO PERO HA SALTADO 3 VECES. POR FAVOR, PODEIS MANDARNOS UN TECNICO? </t>
  </si>
  <si>
    <t>18/09/2025 SE DA AVISO A SERVICIO TÉCNICO - ACUDE TECNICO</t>
  </si>
  <si>
    <t>ADJUNTAMOS FOTOS DE ZONAS DE OFICINA DE ACACIAS QUE ROGAMOS PROGRAMEN SERVICIO DE LIMPIEZA CON ESCALERA/
ANDAMIO - RANURA DE AIRES ACONDACIONADOS Y POLLETES PLANTA SUPERIOR ACCESIBLE SOLO CN ANDAMIO</t>
  </si>
  <si>
    <t>19/09/2025 SE  DA AVISO A SERVICIO DE LIMPIEZA
22/09/2025 ACUDEN HOY, LIMPIEZA SE TIENE QUE REALIZAR FUERA DE HORARIO DE APERTURA Y TIENEN QUE ACUDIR VARIOS OPERARIOS. PENDIENTE CONFIRMAR FECHA DE ACTUACION.</t>
  </si>
  <si>
    <t xml:space="preserve">MAMPARA SEPARACIÓN CAJEROS INTERNOS-  SOLICITAMOS PERSONAL PARA ARREGLAR O CAMBIAR ALAMBRE DE MAMPARA QUE 
SEPARA LOS CAJEROS INTERNOS DE LA OFICINA DE ACACIAS YA QUE SE HA SOLTADO, GRACIAS </t>
  </si>
  <si>
    <t>24/09/2025 SE DA AVISO AL SERVICIO TÉCNICO</t>
  </si>
  <si>
    <t>Facade ATM offline - Hello team, we are requesting your support with the ATM 1465033001, because is offline. Is needed to check the connection.
ATM info: 1465033001 172.27.14.34 172.27.14.33 /29 Gijón Plaza del Seis de Agosto 9 33206 WINCOR NCR 6684</t>
  </si>
  <si>
    <t>23/09/2025 SE DA AVISO AL SERVICIO TÉCNICO REVISAR CABLEADO QUE VA DESDE EL CAJERO HASTA EL CUARTO DE COMUNICACIONES -  SE FACILITA T DE CONTACTO DE HELPDESK PARA CUANDO ESTÉ ALLI EL 
24/09/2025 ACUDE HOY VLAD - COMPRUEBA CON EQUIPO QUE HAY RED
25/09/2025 INDICAN QUE PERSISTE PROBLEMAS Y QUE DEBE SER CABLEADO/CLAVIJA - HABLO CON ANTONIO SANCHEZ Y QUEDAMOS QUE VUELVA VLAD EL VIERNES A LAS 11:30 Y QUE LE LLAME DESDE ALLÍ</t>
  </si>
  <si>
    <t xml:space="preserve">PALANCA GENERAL CUADRO ENFIRADORA </t>
  </si>
  <si>
    <t>22/09/2025 SE DA AVISO AL SERVICIO TÉCNICO
23/09/2025 NO SE PUEDE HACER NADA MAS DE MOMENTO- SE HIZO ARREGLO PROVISIONAL COMO SOLICITÓ EL CLIENTE Y NO SE PUEDE REGULAR EQUIPO, SIEMPRE FUNCIONA AL 100%. INICIOS OBRA CAMBIO CLIMA PARA OCTUBRE. LO LLEVA CARLOS GARCIA SEIJO Y SE HAN SEGUIDO SUS INSTRUCCIONES</t>
  </si>
  <si>
    <t>Se ha caído backlight de publicidad que da al exterior y ver si se puede reparar con silicona o algo parecido.</t>
  </si>
  <si>
    <t>25/09/2025 APROVECHANDO AVISO ARREGLAN BACKLIGHT</t>
  </si>
  <si>
    <t xml:space="preserve">TENEMOS UNA GOTERA QUE JUSTO SALE DE UNA DE LAS ILUMINACIONES DE EMERGENCIA. APORTAMOS FOTOS. </t>
  </si>
  <si>
    <t>16/09/2025 SE DA AVISO AL SERVICIO TECNICO
17/09/2025 ACUDEN HOY - FUGA BAJANTE DE LA COMUNIDAD CONFIRMA, SE INFORMA A ING PARA QUE CONTACTEN CON ELLOS Y SEGURO.</t>
  </si>
  <si>
    <t>Confirmación horarios limpiadora - Buenos días, mi limpiadora venía haciendo 12 horas de lunes a viernes y los sábados 3h. 
Ahora que hemos retomado los sábados, su empresa le dice que ha de redistribuir las horas de lunes a sábado, las 12 que estaba haciendo de lunes a viernes. Me pregunta y necesitamos confirmación, entendemos que es un error de la empresa de limpieza y que ha de continuar como siempre, como hacía hasta mitad de junio que estuvimos con sábados, con sus 12h de lunes a viernes más las 3 de los sábados, 15 en total. Quedamos a la espera. Gracias.</t>
  </si>
  <si>
    <t>22/09/2025 Se comprueba en contrato que son 15 horas, se va a reclamar y pedir explicaciones.</t>
  </si>
  <si>
    <t>Necesitamos limpieza adicional, extra, de los estores. También los CRISTALES tanto por dentro como por fuera. Gracias.</t>
  </si>
  <si>
    <t>26/09/2025 SE DA AVISO AL SERVICIO DE LIMPIEZA
29/09/2025 IBAN A ACUDIR HOY PERO SUCURSAL CERRADA POR ALERTA ROJA
09/10/2025 ACUDIRAN EL 21/10 A REALIZAR LA LIMPIEZA</t>
  </si>
  <si>
    <t>Se tuvo que cancelar, estamos reclamando</t>
  </si>
  <si>
    <t>No podemos encender el aire en la planta baja de la oficina - Tanto el aire frío como la ventilación y el calor, provocan un ruido 
muy fuerte en la planta baja en la zona de cajeros, por favor podéis revisar cuanto antes? Gracias</t>
  </si>
  <si>
    <t>3772344
3776415
3776198</t>
  </si>
  <si>
    <t>23/09/2025 SE DA AVISO URGENTE - ACUDIRAN SOBRE LAS 15:00
TREN DE VENTILACION AVERIADO, SE TIENE QUE SUSTITUIR (ASPAS DOBLADAS)- SE APAGA ESA UNIDAD Y SE DEJA FUNCIONANDO LAS OTRAS DOS DE LA PLANTA BAJA. SE VA A PEDIR PIEZA NECESARIA Y HAY QUE AMPLIAR EL ACTUAL REGISTRO QUE ES DEMASIADO PEQUEÑO PARA PODER REALIZAR CORRECTAMENTE LOS TRABAJOS NECESARIOS.
24/09/2025 COORDINADO VISITA BOJUNA Y CBRE (25/09) PARA VER LO DEL REGISTRO - BOJUNA SE ENCARGARÁ DE REALIZAR LOS TRABAJOS DE ALBAÑILERIA
25/09/2025 SE VAN A REALIZAR DOS REGISTROS DE 60X60- PENDIENTE RECIBIR PRESUPUESTOS- UNA VEZ TENGAMOS MATERIALES SE PLANIFICARAN LAS OBRAS EN HORARIO DE CIERRE UN VIERNES A PARTIR DE LAS 14:30 - SE INFORMA A CRISTINA
29/09/2025 RECIBIDO PRESUPUESTO DE SP, LAS OBRAS SE TIENEN QUE REALIZAR FUERA DE HORARIO DE APERTURA, ENVIARON PRESUPUESTO PARA HACERLO EN HORARIO LABORAL. PIDO RECTIFICACIÓN
30/09/2025 RECIBIDO PRESUPUESTO DE SP- RECLAMADO PRESUPUESTO A BOJUNA DE LOS REGISTROS - OK DE CARLOS
01/10/2025 RECIBIDO PRESUPUESTO DE BOJUNA-PUEDEN REALIZAR LOS TRABAJOS ESTE VIERNES
03/10/2025 TRABAJOS PROGRAMADOS PARA HOY A LAS 14:30
08/10/2025 SE PROGRAMAN TRABAJOS PARA EL VIERNES 17/10 DE 14:30 A 21:00</t>
  </si>
  <si>
    <t>En ello 08/10. Se tarda por que hay que hacerlo fuera de horario
27/10 cerrado</t>
  </si>
  <si>
    <t>SUMINISTRO Y SUSTITUCION DE 7 EMERGENCIAS</t>
  </si>
  <si>
    <t>15/09/2025 CORRECTIVO MANTENIMIENTO PREVENTIVO PENDIENTE
16/09/2025 MATERIAL PEDIDO, PLAZO DE SUMINISTRO DE 7 A 10 DIAS. NOS INFORMARAN DE FECHA INSTALACION
30/09/2025 RECLAMADO- CONFIRMAR SI HAN RECIBIDO MATERIAL Y PLANFICACION
08/10/2025 MATERIAL RECIBID HOY, SE INSTALARAN A MAS TARDAR EL 14/10</t>
  </si>
  <si>
    <t>A mas tardar 14/10 estará
17/10 cerrado</t>
  </si>
  <si>
    <t>SUSTITUIR TIRAS ADHESIVAS PAPEL LIJA EN LAS ESCALERAS DE ACCESO A LA OFICINA- Están muy gastadas y existe riesgo de caídas 
de clientes</t>
  </si>
  <si>
    <t>02/10/2025 MANTENIMIENTO AVISADO</t>
  </si>
  <si>
    <t xml:space="preserve">Estamos sin impresora de kiosco </t>
  </si>
  <si>
    <t>02/10/2025 SE DA AVISO AL SERVICIO TÉCNICO</t>
  </si>
  <si>
    <t xml:space="preserve">El calentador de la oficina ha “reventado” por la parte superior provocando pérdida de agua. Hemos cerrado la entrada de agua. 
Por favor, ¿podéis enviar un técnico que valore su reparación o sustitución lo antes posible? </t>
  </si>
  <si>
    <t>29/09/2025 SE DA AVISO AL SERVICIO TECNICO - NOS VAN A MANDAR PRESUPUESTO PARA INSTALAR NUEVO TERMO
10/10/2025 RECLAMADO
15/10/2025 RECLAMADO
21/10/2025 JESSICA RECLAMA - SP INDICA QUE LLEGARA ESTA SEMANA
27/10/2025 ENVIO NUEVA WO PARA INSTALACION Y RECLAMO</t>
  </si>
  <si>
    <t>Reclamado el presupuesto
04/11 cerrado</t>
  </si>
  <si>
    <t>GOTEA UN AIRE ACONDICIONADO DE DENTRO DE LA OFICINA - HOY NOS HEMOS ENCONTRADO CON UNA GOTERA, PARECE QUE 
PROVIENE DE UNA DE LAS SALIDAS DE AIRE ACONDICIONADO DE LA OFICINA. URGE PORQUE ESTÁ GOTEANDO CERCA DE UNA DE LAS IMPRESORAS- MURCIA</t>
  </si>
  <si>
    <t>03/10/2025 SE DA AVISO AL SERVICIO TECNICO</t>
  </si>
  <si>
    <t>PUERTA DE CAJEROS DE O´DONNELL SE HA IDO UN PERNO SOLDADO SOLICITAMOS VISITA DE CERRAJERO</t>
  </si>
  <si>
    <t>3818836
3819486</t>
  </si>
  <si>
    <t xml:space="preserve">02/10/2025 SE DIO AVISO A TECNICO DE GUARDA. CONSIGUE CERRAR PUERTA. TIENE QUE ACUDIR CERRAJERO
03/10/2025 ACUDIRA CERRAJERO DE BOJUNA PARA SOLDAR Y REVISAR TODOS LOS PERNiOS DE LA PUERTA
ARREGLADO, SE AFIANZA LA PUERTA CON 3 PERNIOS NUEVOS Y SUELDAN - </t>
  </si>
  <si>
    <r>
      <t xml:space="preserve">16/07/2025 SE DA AVISO URGENTE AL SERVICIO TÉCNICO
22/07/2025 RECLAMADO
</t>
    </r>
    <r>
      <rPr>
        <sz val="11"/>
        <rFont val="Calibri"/>
        <family val="2"/>
        <scheme val="minor"/>
      </rPr>
      <t>29/07 Se realiza limpieza, no había atasco de alimentos como en otras ocaciones, se utiliza pistola de desatascador para
limpiar desagüe hasta Sanitril después de varios intentos sigue lo mismo nos comentan que después de la obra de la oficina, el fregadero siempre ha tenido este problema, se comprueba que el tubo no tiene suficiente inclinación para que tire agua bien.
Hablado con Cristian, opciones poner otro Sanitrit para que sirva de bomba de impulsión, solucón cara ... abrir la pared y abrir el armario el office para cambiar el tubo que está dentro de la parede. José Luis quiere presupuesto para las 2 opciones, le indico que hay que consultar también con Seijo</t>
    </r>
    <r>
      <rPr>
        <strike/>
        <sz val="11"/>
        <rFont val="Calibri"/>
        <family val="2"/>
        <scheme val="minor"/>
      </rPr>
      <t xml:space="preserve">
</t>
    </r>
    <r>
      <rPr>
        <sz val="11"/>
        <rFont val="Calibri"/>
        <family val="2"/>
        <scheme val="minor"/>
      </rPr>
      <t>31/07/2025 Pido presupuestos a SP para arreglo definitivo del desagüe</t>
    </r>
  </si>
  <si>
    <t>TENEMOS VARIOS SANITARIOS CON PROBLEMAS DE EVACUACION QUE NECESITAN INTERVENCIÓN-Hay varios sanitarios que no 
evacúan como deben y/o tienen problemas de atasco. Uno de ellos está en la parte de baños de clientes y el otro en zona de vestuarios.</t>
  </si>
  <si>
    <t>30/09/2025 SE DA AVISO AL SERVICIO TECNICO
01/10/2025 HAY QUE CAMBIAR SANITRIT</t>
  </si>
  <si>
    <t xml:space="preserve">Aire acondicionado del cuarto técnico suelta agua </t>
  </si>
  <si>
    <t>26/09/2025 SE DA AVISO AL SERVICIO TÉCNICO- ACUDIRAN EL LUNES 29/09 A PRIMERA HORA
29/09/2025 RECLAMADA INFO</t>
  </si>
  <si>
    <t>Sale agua en el baño de planta baja y creemos que viene de la máquina de aire</t>
  </si>
  <si>
    <t>01/10/2025 SE DA AVISO AL SERVICIO TECNICO</t>
  </si>
  <si>
    <t>Por orden del cliente, cambiar todos los grifos y válvulas que estén oxidadas de los baños.</t>
  </si>
  <si>
    <t>30/09/2025 SE DA AVISO AL SERVICIO TECNICO
06/10/2025 RECLAMADO
08/10/2025 RECIBIDO INVENTARIO 
16/10/2025 HABLO CON INVALEC, PENDIENTE ENVIAR PRESUPUESTO
17/10/2025 RECLAMADO
27/10/2025 RECIBIDO PRESUPUESTO, PENDIENTE ENVIAR A SEIJO - ENVIADO A SEIJO                                                                                 18/11/2025 En breve recibiran el material y este mes quedará terminado.</t>
  </si>
  <si>
    <t>LA PUERTA DE ENTRADA A LA OFICINA FALLA CUANDO TIENE PUESTO EL WATCH&amp;. A VECES ABRE Y A VECES NO. AYER VINIERON 
TECNICOS, PERO SIGUE FALLANDO IGUAL. POR FAVOR, NECESITAMOS SOLUCIONAR LA AVERIA, YA QUE SE TRATA DE LA PUERTA PRINCIPAL. ADEMÁS, LOS MUELLES DE LA PUERTA NO FUNCIONAN BIEN Y CUESTA MUCHO CERRARLA. GRACIAS.</t>
  </si>
  <si>
    <t>09/10/2025 SE DA AVISO AL SERVICIO TÉCNICO- PROPONEN FECHA 13/10 A LAS 08:00 - AVISO A SECURITAS 
16/10/2025 RECLAMADO</t>
  </si>
  <si>
    <t>17/10 cerrado</t>
  </si>
  <si>
    <t>El baño de clientes tira agua por el WC</t>
  </si>
  <si>
    <t>10/10/2025 SE DA AVISO AL SERVICIO TECNICO - ME INDICAN QUE ESTA RAFA EN LA SUCURSAL Y QUE YA LO HA ARREGLADO</t>
  </si>
  <si>
    <t xml:space="preserve">Pintura del almacén de la oficina en fechas comprendidas entre el 18 y el 22 de octubre </t>
  </si>
  <si>
    <t>10/10/2025 SE DA AVISO A PINTORES
15/10/2025 RECLAMADO - Me dicen que acude el pintor hoy, Pedro
16/10/2025 TRABAJOS AGENDADOS PARA EL LUNES 20/10</t>
  </si>
  <si>
    <t xml:space="preserve">Desplazar los encendidos de la oficina a otro lugar según plano adjunto </t>
  </si>
  <si>
    <t>10/10/2025 SE DA AVISO AL SERVICIO TECNICO, INSISTIENDO EN LA URGENCIA - YA LO HA HABLADO TAMBIÉN CRISTINA CON EL TÉCNICO</t>
  </si>
  <si>
    <t>NO NOS FUNCIONA UN ALTAVOZ DEL HILO MUSICAL</t>
  </si>
  <si>
    <t>07/10/2025 SE DA AVISO AL SERVICIO TÉCNICO
08/10/2025 SE ATENDERA A MAS TARDAR EL 14/10</t>
  </si>
  <si>
    <t>SE HA DESCOLGADO UNA PERSIANA MANUAL</t>
  </si>
  <si>
    <t>07/10/2025 SE DA AVISO AL SERVICIO TÉCNICO - PEDIDO FOTO DEL ESTOR
08/10/2025 SE ENVIAN FOTOS
10/10/2025 RECLAMADO
14/10/2025 ACUDEN HOY</t>
  </si>
  <si>
    <t>JUEVES 09/10 A LAS 06:00 - DESMONTAJE Y MONTAJE DE MONITORES</t>
  </si>
  <si>
    <t>02/10/2025 SE DA AVISIO AL SERVICIO TECNICO. CONFIRMADA ASISTENCIA A LAS 06:00 Y TECNICO- SE FACILITAN DATOS A SEGURIDAD.</t>
  </si>
  <si>
    <t xml:space="preserve">Varias luces de lampara de mesa de gestor fundidas </t>
  </si>
  <si>
    <t xml:space="preserve">08/10/2025 SE DA AVISO AL SERVICIO TECNICO
16/10/2025 RECLAMADO - Se atendió el martes 14/10, no tienen lámparas en stock, se han solicitado el proveedor, tiempo de suministro es de unos 5 a 8 días. </t>
  </si>
  <si>
    <t>27/10 cerrado</t>
  </si>
  <si>
    <t>Solicitamos servicio de limpieza profunda de la oficina el miércoles 22/10 si puede ser por parte de la limpiadora actual de la 
oficina, Loli, que ese día si es posible tenga disponibles 4 ó 5 hrs para limpiar cajeros, vestuarios, etc</t>
  </si>
  <si>
    <t>09/10/2025 SE DA AVISO AL SERVICIO DE LIMPIEZA 
10/10/2025 SE AGENDA FECHA 21 DE OCTUBRE DE 14:00 A 18:00</t>
  </si>
  <si>
    <t>Los cristales de planta 2 están muy sucios. Adjunto fotos.</t>
  </si>
  <si>
    <t>09/10/2025 SE DA AVISO AL SERVICIO DE LIMPIEZA</t>
  </si>
  <si>
    <t xml:space="preserve">SOLICITAMOS REPARACIÓN HUMEDADES en techos y paredes sótano </t>
  </si>
  <si>
    <t>13/10/2025 SE DA AVISO AL SERVICIO TÉCNICO
17/10/2025 RECLAMADO - Pendiente,  se ha pedido propuesta a colaborador para lo de las humedades y pintura porque tiene cierto alcance.
27/10/2025 RECIBIDO PRESUPUESTO, PENDIENTE ENVIARLO A SEIJO - ENVIADO A SEIJO</t>
  </si>
  <si>
    <t>En Hold hasta febrero/marzo</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</si>
  <si>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</si>
  <si>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</si>
  <si>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COLOCAR CUBIERTA DE LA CAJA DE CONEXION ELECTRICA</t>
  </si>
  <si>
    <t>16/10/2025 PASO WO PARA REALIZACION DE CORRECTIVO</t>
  </si>
  <si>
    <t>31/10 cerrado</t>
  </si>
  <si>
    <t xml:space="preserve">Aire acondicionado fuerte olor a goma quemada </t>
  </si>
  <si>
    <t>16/10/2025 SE DA AVISO URGENTE AL SERVICIO TÉCNICO - ACUDEN HOY</t>
  </si>
  <si>
    <t xml:space="preserve">INTERRUPTOR DIFERENCIAL </t>
  </si>
  <si>
    <t>16/10/2025 PASO WO PARA REALIZACION DE CORRECTIVO
30/10/2025 RECLAMADO- TECNICO ESTÁ DE CAMINO, AGENDADO CON DIRECTORA PORQUE HAY QUE REALIZAR CORTE DE TENSIÓN
04/11/2025 RECLAMADO</t>
  </si>
  <si>
    <t>PERFIL METALICO SALIDO ESQUINA EXTERIOR</t>
  </si>
  <si>
    <t>13/10/2025 SE DA AVISO AL SERVICIO TÉCNICO
17/10/2025 RECLAMADO</t>
  </si>
  <si>
    <t>Puerta acceso empleado planta alta pierde una visagra</t>
  </si>
  <si>
    <t xml:space="preserve">Grifo del agua vestuario masculino averiado </t>
  </si>
  <si>
    <t xml:space="preserve">SE HAN SALIDO LOS TORNILLOS DE LA MANIVELA DE LA PUERTA DEL ASEO, NO TENEMOS POSIBILIDAD DE CERRAR LA PUERTA.
 ES URGENTE, GRACIAS </t>
  </si>
  <si>
    <t xml:space="preserve">13/10/2025 SE DA AVISO A MANTENIMIENTO
14/10/2025 - SE ARREGLA PROVISIONAL
15/10/2025 SE PIDEN 2 MANIVELAS NUEVAS PARA SUSTITUIR </t>
  </si>
  <si>
    <t>SUSTITUIR 5 LUCES DE EMERGENCIAS FUNDIDAS</t>
  </si>
  <si>
    <t>16/10/2025 PASO WO PARA REALIZACION DE CORRECTIVO
27/10/2025 RECLAMADO
04/11/2025 Ya tenemos las luces, irá Karen el próximo miércoles 12.                                                                                     14/11/2025 RECLAMADO - NO PUDO ACUDIR, IRA EL LUNES 17                                                                                                              19/11/2025 RECLAMADO</t>
  </si>
  <si>
    <t>04/11 van a ir el día 12 a cambiarlas</t>
  </si>
  <si>
    <t>NECESITAMOS RETIRAR LAS MAMPARAS DE METACRILATO DE LAS MESAS</t>
  </si>
  <si>
    <t>15/10/2025 SE DA AVISO AL SERVICIO TÉCNICO
16/10/2025 ACUDEN HOY</t>
  </si>
  <si>
    <t>SE NECESITA REPARACION EN MESAS TRAS LA RETIRADA DE MAMPARAS. Se necesita sustituir con urgencia el tablero de dos mesas de la oficina, que resultaron dañadas al retirar las mamparas que llevaban pegadas. La urgencia deriva de que se va a iniciar la actividad de banca privada en la oficina, y la imagen de la mesa dañada no es compatible con la que esa tipologia de cliente espera.</t>
  </si>
  <si>
    <t>17/10/2025 SE DA AVISO AL SERVICIO TÉCNICO / CARPINTERO
27/10/2025 La mesa no tiene arreglo, la melamina es muy gorda y cualquier arreglo va a quedar fatal, va a ser mejor cambiar las mesas. Hablaré con Carlos para optar a poner fundas.
28/10/2025 PASO FOTOS A SEIJO, ME INDICARA                                                  14/11/2025 SE ENCARGA SEIJO                                                                                          09/12/2025 SEIJO NOS INDICA QUE HAY QUE CAMBIAR LOS 2 TABLEROS DAÑADOS Y NOS PASA INFORMACIÓN. PASO WO Y DETALLES A BOJUNA                                                                                                    18/12/2025 FECHAS COMPLICADAS - PROBABLEMENTE A PARTIR DE ENERO
07/01/2026 RECLAMADO                                                                                         13/01/2026 ME INDICA BOJUNA QUE NO TIENEN CARPINTEROS DISPONIBLES - HABLO CON SEMAI, SE PASARAN POR LA OFICINA Y ME MANDARAN VALORACION
16/01/2026 RECLAMADO - ACUDIRAN SIN FALTA LA SEMANA QUE VIENE                                                                                                                                       26/01/2026 RECLAMADO
30/01/2026 RECIBIDO PRESUPUESTO - LO PONEMOS EN MARCHA - PENDIENTE PLANIFICACIÓN                                                                             12/02/2026 RECLAMADO - ACUDIRAN LA SEMANA QUE VIENE                   25/02/2026 RECLAMADO                                                                                            03/03/2026 RECLAMADO                                                                                       17/03/2026 RECLAMADO, ME INDICAN QUE LES ACABA DE LLEGAR LA MUESTRA Y QUE EL 18/03 SE PASAN PARA COMPROBAR EL COLOR Y SI ES CORRECTO ESTA MISMA SEMANA VAN A MONTARLO.
24/03/2026 RECLAMADO
25/03/2026 HAN ACUDIDO, CONFIRMADO COLOR, INSTALARAN LOS TABLEROS LA SEMANA DEL 06/04                                                                  08/04/2026 ME INDICAN QUE SE PASAN EL JUEVES 09/04 POR LA MAÑANA</t>
  </si>
  <si>
    <t>Tenemos el Bombin del W&amp;M roto y necesitamos coordinar visita de mantenimiento y Securitas para que lo reparen, y el boton 
de llamar el W&amp;M - SALAMANCA</t>
  </si>
  <si>
    <t>10/10/2025 SE DA AVISO AL SERVICIO TECNICO. ME PIDEN Nº MOVIL DEL TECNICO DE SECURITAS QUE ATENDIO LA INCIDENCIA EL MIÉRCOLES PARA RESOLVER DUDAS Y CONCRETAR-
14/10/2025 FACILITO DATOS A EIFFAGE  @Luis Miguel García González tfno.  610491118</t>
  </si>
  <si>
    <t>El aseo de clientes necesita una mano de pintura - Las paredes y techo del aseo de clientes está muy muy sucio. Sería 
conveniente pintarlo. Gracias.</t>
  </si>
  <si>
    <t>17/10/2025 SOLICITO VALORACIÓN PARA TRABAJOS DE PINTURA A REALIZAR DESPUES DE LA SUSTITUCION DE GRIFOS Y VALVULAS                                                                                                                   19/11/2025 LES RECUERDO QUE NOS ENVIEN PRESUPUESTO PARA QUE CUANDO SE TERMINE DE CAMBIAR GRIFERIA SE PINTE EL ASEO - RECIBIDO PRESUPUESTO
20/11/2025 CONFIRMADO GRIFERIA CAMBIADA, LE PIDO A ALMU FOTOS DEL ESTADO PARA ADJUNTAR AL PRESUPUESTO A ENVIAR A SEIJO                                                                                                          24/11/2025 ENVIADO PRESUPUESTO A SEIJO CON FOTOS QUE ME HA MANDADO ALMU - PENDIENTE APROBACIÓN-
25/11/2025 CARLOS ME DICE QUE ES MUY CARO Y QUE PIDA PRESUPUESTO A BOJUNA. PEDIDA VALORACIÓN A CRISTINA
28/11/2025 RECIDIBO PRESUPUESTO Y ENVIADO A SEIJO - PONGO EN MARCHA TRABAJOS - PENDIENTE PLANIFICACION                                                                             18/12/2025 RECLAMADO
07/01/2026 RECLAMADO, PROBLEMAS CON PLATAFORMA, LES PIDO DATOS TECNICOS PARA RELLENER DOCUMENTO DE ACTIVIDADES NO PROGRAMADAS. ME INDICAN QUE PUEDEN IR EL LUNES 12/01</t>
  </si>
  <si>
    <t>CORRECTIVO VARIOS - REPARAR MANETA Y CAMBIO KIT DESCARGA CISTERNA</t>
  </si>
  <si>
    <t>14/10/2025 SE DA ORDEN DE EJECUTAR CORRECTIVOS
27/10/2025 RECLAMADO</t>
  </si>
  <si>
    <t>04/11 cerrado</t>
  </si>
  <si>
    <t xml:space="preserve">SALAMANCA </t>
  </si>
  <si>
    <t xml:space="preserve">NO HAY PRODUCTOS DE LIMPIEZA - Nos informa la chica de la limpieza que en varias ocasiones ha solicitado producto para poder </t>
  </si>
  <si>
    <t>13/10/2025 SE DA AVISO AL SERVICIO DE LIMPIEZA URGENTE ENTREGA MATERIAL - ENTREGAN MAÑANA</t>
  </si>
  <si>
    <t>GIJÓN</t>
  </si>
  <si>
    <t>Hola, al subir un estor se ha roto un poco al engancharse con un cable de la obra. 
Es necesario que nivelen el logo de ING en los estores. Gracias</t>
  </si>
  <si>
    <t>20/10/2025 DOY AVISO A BOJUNA PARA ARREGLO DEL ROTO
20/10/2025 SE DA AVISO AL SERVICIO TECNICO - HABITUALMENTE LO HACE CESAR, ESTÁRA FUERA 15 DÍAS, SE LO VAN  DECIR AL TECNICO QUE TIENE QUE ACUDIR A CAMBIAR LOS INTERRUPTORES                          
31/10/2025 PENDIENTE PRESUPUESTO PARA SUSTITUCIÓN ESTOR ROTO
20/11/2025 RECLAMADO PRESUPUESTO DESPUES DE VARIAS VISITAS PARA MEDIDAS ETC...                                                                          
24/11/2025 RECLAMADO
25/11/2025 RECIBIDO PRESUPUESTO - ENVIADO A CARLOS Y APROBADO - PENDIENTE PLANIFICACION                                                                                                        18/12/2025 SALIO HACIA GIJON EL 12/12 AHORA ME CONFIRMAN.                           23/12/2025 YA LO TIENEN, PENDIENTE PLANIFICACIÓN
07/01/2026 RECLAMADO                                                                                23/01/2026 ESTOR INSTALADO</t>
  </si>
  <si>
    <t>04/11 pendiente de presupuesto
02/12 hay presupuesto aprobado pero todavía no se ha gestionado</t>
  </si>
  <si>
    <t>SE HA ROTO LA MANETA DE LA PUERTA DEL DESPACHO Y NO SE PUEDE USAR</t>
  </si>
  <si>
    <t>20/10/2025 SE DA AVISO AL SERVICIO TECNICO
27/10/2025 RECLAMADO</t>
  </si>
  <si>
    <t>SABADELL: Parece que se ha manipulado el mecanismo de la cisterna que permite el vaciado de la misma, los botones no funcionan, por lo que no se puede usar. Tenemos el baño cerrado mientras se procede a la reparación.</t>
  </si>
  <si>
    <t xml:space="preserve">23/10/25 SE PASA LA PETI A MAURO </t>
  </si>
  <si>
    <t xml:space="preserve">Necesitamos se retire lo que tapa el sensor de la foto, está en el cuarto contiguo al rack </t>
  </si>
  <si>
    <t>20/10/2025 SE DA AVISO AL SERVICIO TECNICO</t>
  </si>
  <si>
    <t>Necesitamos sustituir 2 estores por otros más tupidos ya que el sol dificulta mucho la atención en la primera mesa</t>
  </si>
  <si>
    <t>20/10/2025 SE DA AVISO AL SERVICIO TECNICO                                           acudirá a la sucursal a medir si caben los soportes y a que la responsable le diga exactamente el tejido para el estor. 
07/11 presupuesto aprobado por Seijo, pide que se coloquen en segunda linea sin retirar los antiguos.
Confírmame que lee van a poder atender el viernes o cambiamos de día
11/11/2025 EL TÉCNICO ACUDIRA DE NUEVO EL VIERNES PARA TOMAR MÁS MEDIDAS Y VER CON ALMU ASUNTO TEJIDO.                                                                                                                                       17/11/2025 ME ENVIAN PRESUPUESTO MODIFICADO Y CONSULTA SOBRE MEDIDAS LOGO. SE ENVIA V2 PRESUPUESTO Y TRASLADO DUDAS CON RESPECTO A MEDIDAS LOGO.                                                                                                  25/11/2025 APRUEBA CARLOS Y CONFIRMA LOGO Y MEDIDAS  - PENDIENTE PLANIFICACIÓN                                                                                                                                                              23/12/2025 RECLAMADO,YA LO TIENEN TODO NOS PIDEN CONFIRMAR EN QUE HORARIO PODRÍAN IR YA QUE LOS ESTORES ESTAN EN UNA ZONA DE MUCHA AFLUENCIA. CONSULTO CON ALMU - ME INDICA REALIZAR A PARTIR DEL 05/01 PORQUE ESTÁ DE VACACIONES SI SON MENOS DE 2 HORAS PODRÍA REALIZARSE EN HORARIO DE 15 H A 17H SINO TENDRÍA QUE SER UN VIERNES A PARTIR DE LAS 15:00. INFORMADO A BOJUNA
07/01/2026 07/01/2026 ME CONFIRMA SONIA QUE YA ESTÁN SUBIENDO LA DOCUMENTACIÓN A LA PLATAFORMA CAE DE ING.                                                                                                                              26/01/2026 El estor se instalará el 04/02 a las 15:00</t>
  </si>
  <si>
    <t>LIMPIEZA CRISTALES OFICINA VALENCIA -Necesitamos se solicite a Garnica el uso de un elevador para la limpieza de los cristales de la planta 1 ya que con la pértiga, a pesar de los esfuerzos de los operarios, no se consigue el resultado necesario. Adjunto fotos.</t>
  </si>
  <si>
    <t>21/10/25 SE PASA LA PETI A PATRI - GARNICA
04/11/2025 RECLAMADO                                                                                       14/11/2025 SE ESTA GESTIONANDO EL USO DE LA PLATAFORMA ELEVADORA, A LA ESPERA DE QUE EL AYUNTAMIENTO EMTA LA AUTORIZACIÓN NECESARIA DE OCUPACION DE VIA Y FECHA PARA PODER REALIZAR LOS TRABAJOS</t>
  </si>
  <si>
    <t xml:space="preserve">Limpieza especial suelo por mancha de tinta de cajeros - Solicitamos limpieza para el suelo de manera urgente macha de tinta de los cajeros de fachada por colapso del cajetín de tinta. </t>
  </si>
  <si>
    <t>31/10/2025 SE DA AVISO AL SERVICIO DE LIMPIEZA. ACUDEN, NO HA QUEDADO MUY BIEN PORQUE SUELO ES DE MARMOL Y POROSO, ELENA NOS VA A MANDAR FOTOS. No se puede hacer nada más por parte de limpieza. Se avisa a ING.</t>
  </si>
  <si>
    <t>Fueron el 31/10 a limpiar pero no ha quedado bien, quedamos pendientes a ver otras soluciones.</t>
  </si>
  <si>
    <t xml:space="preserve">TENEMOS UN GRIFO QUE GOTEA AGUA </t>
  </si>
  <si>
    <t>30/10/2025 SE DA AVISO AL SERVICIO TECNICO
05/11/2025 RECLAMADO                                                                    14/11/2025 RECLAMADO                                                                                                       20/11/2025 RECLAMADO - INDICAN QUE TECNICOS ACUDIRAN EL 26/11 A PARTIR DE LAS 12:00</t>
  </si>
  <si>
    <t xml:space="preserve">EXTRACTOR DE AIRE EN EL BAÑO </t>
  </si>
  <si>
    <t>30/10/2025 SE DA AVISO AL SERVICIO TECNICO
05/11/2025 RECLAMADO                                                            
14/11/2025 RECLAMADO                                                                                   
20/11/2025 RECLAMADO - INDICAN QUE TECNICOS ACUDIRAN EL 
26/11 A PARTIR DE LAS 12:00                                                                                    
En el correctivo del extractor, hemos comprobado los cables y parece que no llega tensión de fuerza al contactor. Tras seguir el cuadro eléctrico y sus conexiones, hemos detectado que no coinciden con el esquema eléctrico. Para realizar la reparación, sería necesario sacar cables y bajar térmicos, lo que implica trabajar con la tienda cerrada para no perjudicar la actividad.                                                                                    16/01/2026 ACUDIRAN EL 20/01 A LAS 07:00</t>
  </si>
  <si>
    <t xml:space="preserve">Han comprobado los cables y no llega la tensión de fuerza al contractor, incidencias del esquema eléctrico. Tienen que revisarlo fuera del horario de la oficina, estamos pendientes a cuadrar horario. </t>
  </si>
  <si>
    <t>ELECTROVALVULA SIN FUNCIONAR</t>
  </si>
  <si>
    <t>30/10/2025 SE DA AVISO AL SERVICIO TECNICO
05/11/2025 RECLAMADO                                                                     
14/11/2025 RECLAMADO                                                                                20/11/2025 RECLAMADO - INDICAN QUE TECNICOS ACUDIRAN EL 
26/11 A PARTIR DE LAS 12:00                                                                           
En cuanto a la electroválvula, también hemos visto que el problema está relacionado con las conexiones eléctricas. Por lo tanto, habría que desconectar y verificar de dónde provienen los cables                                                                                                                 . 16/01/2026 ACUDIRAN EL 20/01 A LAS 07:00</t>
  </si>
  <si>
    <t>Lo mismo con el extractor.</t>
  </si>
  <si>
    <t>INSTALACION DE 3 SEÑALES SIN SALIDA</t>
  </si>
  <si>
    <t>28/10/2025 SE DA AVISO AL SERVICIO TÉCNICO Y SE HACE PEDIDO DE SEÑALES SIN SALIDA
05/11/2025 PENDIENTE RECIBIR MATERIAL                                           12/11/2025 RECIBIDO MATERIAL - SE COLOCARAN LA SEMANA QUE VIENE</t>
  </si>
  <si>
    <t xml:space="preserve">Hola, la máquina de aire que tenemos encima de la puerta exterior huele mucho a polvo al usarla. Se ha revisado y sigue con el 
mismo olor.Gracias </t>
  </si>
  <si>
    <t>28/10/2025 SE DA AVISO AL SERVICIO TÉCNICO
04/11/2025 RECLAMADO</t>
  </si>
  <si>
    <t>Servicio extra de limpieza por fin de obra. Limpieza de cristales planta 1 que no se pudo realizar la semana pasada</t>
  </si>
  <si>
    <t>31/10/2025 SE DA AVISO AL SERVICIO DE LIMPIEZA
04/11/2025 •	La limpiadora se quedará 1 hora más de servicio el lunes, martes y miércoles para limpiar unas manchas que hay en el suelo de la Sala de Reuniones de la Planta 1, y aprovechamos esta hora para retirar polvo que se pueda ir posando.
•Los cristales se limpiarán el 04/11, incluidos los que no se pudieron hacer en la visita anterior por haber mobiliario delante de los mismos.
Y el miercoles cuando esté Cristina hablarán con ella para ver si necesita algo más especifico.                                                                      11/11/2025 TERMINAN HOY LA LIMPIEZA EXTRA</t>
  </si>
  <si>
    <t>04/11 se va a hacer la limpieza de cristales y esta semana se hacen horas extras de limpieza, el 05 se habla con Cristina para ver si quiere algo adicional</t>
  </si>
  <si>
    <t xml:space="preserve">Limpieza de la fachada exterior </t>
  </si>
  <si>
    <t>31/10/2025 SE DA AVISO AL SERVICIO DE LIMPIEZA
04/11/2025 PASADO PRESUPUESTO                                               11/11/2025 SE REALIZA MAÑANA 12/11</t>
  </si>
  <si>
    <t>04/11 se ha pasado presupuesto a Carlos</t>
  </si>
  <si>
    <t xml:space="preserve">Suelo zona cajero TV deteriorado </t>
  </si>
  <si>
    <t>27/10/2025 DAMOS AVISO A SERVICIO TECNICO/ALBAÑIL</t>
  </si>
  <si>
    <t>04/11 pendientes de cambiar las losas</t>
  </si>
  <si>
    <t xml:space="preserve">INSTALAR PEGATINAS BOLITAS NARANJAS EN PUERTA ZONA EXTERIOR </t>
  </si>
  <si>
    <t>28/10/2025 SE DA AVISO AL SERVICIO TÉCNICO - ROBERTO ACUDIRÁ EL JUEVES 30/10</t>
  </si>
  <si>
    <t>INSTALAR SEÑAL SIN SALIDA EN LA PUERTA ZONA EXTERIOR</t>
  </si>
  <si>
    <t>28/10/2025 SE DA AVISO AL SERVICIO TÉCNICO Y SE HACE PEDIDO DE SEÑAL SIN SALIDA
05/11/2025 PENDIENTE RECIBIR MATERIAL                                   
12/11/2025 RECIBIDO MATERIAL - SE COLOCARAN LA SEMANA QUE VIENE</t>
  </si>
  <si>
    <t>02/12 cerrado</t>
  </si>
  <si>
    <t>NECESITAMOS PEGATINAS PARA LAS PUERTAS TRANSPARENTES DE LA SALA DE REUNIONES PARA EVITAR QUE CLIENTES O 
EMPLEADOS SE PUEDAN CHOCAR CON LOS CRISTALES TRASNPARENTES</t>
  </si>
  <si>
    <t>28/10/2025 SE DA AVISO AL SERVICIO TÉCNICO - REQUIS ENTREGARA PEGATINAS A ANGEL EL JUEVES 30/10
05/11/2025 RECLAMADO - PENDIENTE RECIBIR MATERIAL</t>
  </si>
  <si>
    <t xml:space="preserve">NECESITAMOS ELEMENTOS DE SEÑALIZACION DE "SOLO PERSONAL AUTORIZADO" PARA LA PUERTA DE ACCESO AL ALMACEN Y 
PARA EL ACCESO A ZONA MÁQUINAS DE AIRE ACONDICIONADO </t>
  </si>
  <si>
    <t>28/10/2025 SE DA AVISO AL SERVICIO TÉCNICO
05/11/2025 RECLAMADO - PENDIENTE RECIBIR MATERIAL</t>
  </si>
  <si>
    <t>Desinstalar mamparas de protección anti covid</t>
  </si>
  <si>
    <t>28/10/2025 SE DA AVISO AL SERVICIO TECNICO</t>
  </si>
  <si>
    <t xml:space="preserve">Se han desprendido los dos embellecedores de las pantallas </t>
  </si>
  <si>
    <t>29/10/2025 SE DA AVISO AL SERVICIO TECNICO- ACUDIRAN EL 5/11</t>
  </si>
  <si>
    <t>04/11 van el 05</t>
  </si>
  <si>
    <t>Luces indirecta zona gesotres  - Varias luces de la zona de los gestores, encima de la publicidad, no funcionan</t>
  </si>
  <si>
    <t>29/10/2025 SE DA AVISO AL SERVICIO TECNICO
04/11/2025 RECLAMADO</t>
  </si>
  <si>
    <t>04/11 se ha reclamado</t>
  </si>
  <si>
    <t xml:space="preserve">Rotura cristal luz interior cuadro tecnico </t>
  </si>
  <si>
    <t>Necesitamos unas Pegatinas de circulos naranjas para colocarlas en las mamparas de cristal de acceso a sala de reuniones</t>
  </si>
  <si>
    <t>SUMINISTRAR E INSTALAR SEÑAL "CUIDADO ESCALON" EN ACCESO AL COMEDOR</t>
  </si>
  <si>
    <t>Ayer por la tarde se encontraron muchas cucarachas pequeñas en los vestuarios</t>
  </si>
  <si>
    <t>30/10/2025 SE DA AVISO A DDD
06/11/2025 ACUDE HOY RECOMIENDAN CORRECTIVO /SELLADO OQUEDADES BAÑO VESTUARIO FEMENINO</t>
  </si>
  <si>
    <t>04/11 esperando confirmación de Antisinex</t>
  </si>
  <si>
    <t>Hay una gotera importante en el almacén de la planta -1. Está lloviendo y está cayendo bastante agua.</t>
  </si>
  <si>
    <t>06/11/2025 SE DA AVISO AL SERVICIO TÉCNICO, COMPROBAR SI GOTERA SIGUE PROVINIENDO DE LA ALCANTARILLA                                                                                      12/11/2025 MAÑANA ACUDE RICARDO PARA TERMINAR ARREGLOS
14/11/2025 RECLAMADO - ME INDICAN QUE ESTAN TERMINANO HOY LOS TRABAJOS</t>
  </si>
  <si>
    <t xml:space="preserve">CORRECTIVO SEÑALADO POR ANTICIMEX- OQUEDAD DETRÁS DEL INODORO BAÑO VESTUARIO FEMENINO </t>
  </si>
  <si>
    <t>06/11/2025 SE DA AVISO AL SERVICIO TECNICO                           11/11/2025 ACUDE HOY TECNICO PARA REALIZAR CORRECTIVO
14/11/2025 RECLAMADO -  PENDIENTE ENVIAR PARTE</t>
  </si>
  <si>
    <t>Han tenido que reconducir cables de los cajeros por la obra y por el nuevo aire y es necesario tapar o poner registro en 3 huecos en las paredes.</t>
  </si>
  <si>
    <t>07/11/2025 SE DA AVISO AL SERVICIO TÉCNICO                           
11/11/2025 SOLICITO FOTOS A PETICION DE MARCO                        
20/11/2025 RECLAMADO                                                                                              24/11/2025 RECLAMADO
01/12 reclamado                                                                                                  03/12/2025 AYER ESTUVIERON TOMANDO MEDIDAS -  PENDIENTE MATERIAL Y PLANIFICACION                                                                                      
23/12/2025 ACUDEN LUNES O MARTES DE LA SEMANA QUE VIENE</t>
  </si>
  <si>
    <t>Un puesto del Kiosko, se le ha caido la tapa donde antiguamente estaba el teléfono. Solamente hay que pegarlo nuevamente con cinta de doble cara o silicona caliente</t>
  </si>
  <si>
    <t>03/11/2025 SE DA AVISO AL SERVICIO TÉCNICO</t>
  </si>
  <si>
    <t xml:space="preserve">Tenemos un nuevo botiquín y necesitamos que vengan a colgarlo en la pared. </t>
  </si>
  <si>
    <t>06/11/2025 SE DA AVISO AL SERVICIO TÉCNICO</t>
  </si>
  <si>
    <t xml:space="preserve">LA CRISTALERA DE LA FACHADA NO AISLA BIEN Y CON LLUVIA FUERTE ENTRA AGUA EN LA OFICINA </t>
  </si>
  <si>
    <t>06/11/2025 SE DA AVISO AL SERVICIO TÉCNICO                                               10/11/2025 ACUDEN EL 13/11
14/11/2025 RECLAMADO - NO PUDO ACUDIR -  IRA EL LUNES 17/11                                                                                       19/11/2025 RECLAMADO - He revisado hay varios agujeros entre cristal y el marco hay que poner juntas o repasar todos los ventanas con silicona. Les pregunto si pueden hacerlo ellos o si tiene que acudir un proveedor/cristalero - Acudirá SP el 26/11                                                                                     02/12/2025 SE HA SELLADO PARTE DE LOS VENTANALES, TIENEN QUE VOLVER CON ESCALERA PARA TERMINAR LOS TRABAJOS. RECLAMO PARA QUE ME INDICAN FECHA DE VISITA.                                                           23/12/2025 RECLAMADO, SOLO FALTABAN REMATES DEL SELLADO YA REALIZADO DE LA PARTE DE ARRIBA</t>
  </si>
  <si>
    <t>Zócalos fachada la calle - En la fachada que da a la calle San Fernando una parte de los zócalos están rotas, en un lado lo roto coincide con una arqueta de agua.</t>
  </si>
  <si>
    <t xml:space="preserve">06/11/2025 SE AVISO AL SERVICIO TECNICO/ALBAÑIL            17/11/2025 la parte de mármol que se ha retirado es porque sino no se puede abrir la arqueta, indican que se ha retirado a propósito. La esquina la repararan lo mejor posible. </t>
  </si>
  <si>
    <t xml:space="preserve">Salta un diferencial que afecta a 2 cajeros, los kioscos, una pantalla y 2 puestos de gestor </t>
  </si>
  <si>
    <t>04/11/2025 SE DA AVISO URGENTE AL SERVICIO TECNICO- ACUDEN MAÑANA A PRIMERA HORA</t>
  </si>
  <si>
    <t xml:space="preserve">Simulacro Incendio 13/11 entre las 9:10 y las 9:20 - Asistencia técnica requerida por el cliente. </t>
  </si>
  <si>
    <t>04/11/2025 AGENDADO CON MANTENIMIENTO PARA LA FECHA INDICADA</t>
  </si>
  <si>
    <t xml:space="preserve">Necesitamos se coloque de nuevo esta regleta en su sitio,. En el puesto del sales assistant se ha descolgado una regleta </t>
  </si>
  <si>
    <t>07/11/2025 SE DA AVISO AL SERVICIO TÉCNICO</t>
  </si>
  <si>
    <t>Solicitamos cambiar el climatizador de la oficina de frío a calor</t>
  </si>
  <si>
    <t>11/11/2025 SE DA AVISO AL SERVICIO TÉCNICO                          25/11/2025 RECLAMADO</t>
  </si>
  <si>
    <t>Puerta del baño de empleados rota</t>
  </si>
  <si>
    <t>11/11/2025 SE DA AVISO AL SERVICIO TÉCNICO                                               25/11/2025 RECLAMADO</t>
  </si>
  <si>
    <t>POMO PUERTA WC PLANTA BAJA SUELTO - WC CLIENTES PLANTA BAJA</t>
  </si>
  <si>
    <t>13/11/2025 SE DA AVISO URGENTE AL SERVICIO TÉCNICO - ACUDIRA EL LUNES</t>
  </si>
  <si>
    <t xml:space="preserve">PUERTA METALICA ACCESO A LA OFICINA, SE ENGANCHA Y NO ABRE BIEN </t>
  </si>
  <si>
    <t xml:space="preserve">RUIDO EQUIPO AA </t>
  </si>
  <si>
    <t>11/11/2025 SE DA AVISO AL SERVICIO TÉCNICO</t>
  </si>
  <si>
    <t xml:space="preserve">La puerta de entrada y salida a la oficina no se cierra del todo, se queda a unos centímetros de cerrarse, por lo que el watch and mochi no se activa y la puerta se queda abierta. </t>
  </si>
  <si>
    <t>12/11/2025 SE DA AVISO AL SERVICIO TECNICO                                       19/11/2025 ACUDEN HOY</t>
  </si>
  <si>
    <t>Los wc de ambos baños no tragan agua y en el de chicas el agua se sale. Es urgente</t>
  </si>
  <si>
    <t>13/11/2025 SE DA AVISO URGENTE AL SERVICIO TÉCNICO - ACUDIRA EL 14/11                                                                                                       19/11/2025 RECLAMADO</t>
  </si>
  <si>
    <t xml:space="preserve">El aire acondicionado del rack pierde agua. por favor necesitamos visita urgente </t>
  </si>
  <si>
    <t>12/11/2025 SE DA AVISO AL SERVICIO TECNICO - AVISAN DE QUE INTENTARAN PASAR EL 13/11, NO ESTAN SEGUROS POR ALERTA TEMPORAL EN CANARIAS
14/11/2025 HABLO CON DIEGO Y ME INDICA QUE NO HAN IDO -  RECLAMADO A PETELEC, ACUDIRAN HOY, NO SABEN SI LLEGARAN A TIEMPO SINO EL LUNES A PRIMERA HORA                                                                                                   19/11/2025 RECLAMADO - SOLUCIONADO EL LUNES 17/11</t>
  </si>
  <si>
    <t>Colocar los nuevos planos fotoluminiscentes - Es necesario cambiar los planos de marcos y colgarlos en su lugar</t>
  </si>
  <si>
    <t>11/11/2025 SE DA AVISO AL SERVICIO TÉCNICO
14/11/2025 PLANOS COLGADOS SALVO 1 QUE NO TENIA MARCO. HABLADO CON ALMU, RECLAMARLO Y ABRIR TICKET CUANDO LO TENGAN PARA ACUDIR A PONERO</t>
  </si>
  <si>
    <t xml:space="preserve">Por próxima auditoría de prevención de riesgos laborales, necesitamos reparar las lámparas de las mesas 7 y 10 de gestores, adjunto  foto de cada lámpara. Por favor, agilizar reparación porque la auditoría es a principios de diciembre
CAMBIO DE BOMBILLAS Y BALASTROS PUESTOS GESTORES 07 Y 10 </t>
  </si>
  <si>
    <t>17/11/2025 SE DA AVISO AL SERVICIO TÉCNICO - ACUDIRAN EL 19/11
20/11/2025 PASAN PRESUPUESTO, OK PARA PONER EN MARCHA MANDO NUEVA WO                                                                                   
27/11/2025 RECLAMADO - Pendiente recibir material hoy o mañana. Se le informa que auditoria es el 04/12                                                                    02/12/2025 MAÑANA CAMBIAN BOMBILLAS, LOS BALASTROS AUN NO HAN LLEGADO</t>
  </si>
  <si>
    <t xml:space="preserve">Revisar presión agua grifo lavabo baño clientes </t>
  </si>
  <si>
    <t>20/11/2025 SE DA AVISO AL SERVICIO TECNICO                        27/11/2025 RECLAMADO</t>
  </si>
  <si>
    <t>LUZ FUNDIDA EN SALA DE REUNIONES. CAMBIAR POR BOMBILLA CORRESPONDIENTE. TRAER ESCALERA.</t>
  </si>
  <si>
    <t>20/11/2025 SE DA AVISO AL SERVICIO TÉCNICO                                03/12/2025 ME INDICA MARCO QUE ESTAN REALIZANDO EL PROYECTO RELAMPING- CANCELAMOS PETI.</t>
  </si>
  <si>
    <t xml:space="preserve">Fluorescente fundido en vestuario mujeres planta -2 </t>
  </si>
  <si>
    <t>20/11/2025 SE DA AVISO AL SERVICIO TECNICO - ACUDE KAREN HOY</t>
  </si>
  <si>
    <t>SUMINISTRO Y SUSTITUCION DE LUCES DE EMERGENCIAS</t>
  </si>
  <si>
    <t>19/11/2025 SE PASA ORDEN DE TRABAJO PARA PEDIR MATERIAL NECESARIO PARA REALIZAR CORRECTIVO
07/01/2026 MATERIAL PENDIENTE                                                                13/02/2026 RECLAMADO                                                                           16/02/2026 RECLAMADO</t>
  </si>
  <si>
    <t xml:space="preserve">SUMINISTRO Y SUSTITUCION DE FILTROS </t>
  </si>
  <si>
    <t>19/11/2025 SE PASA ORDEN DE TRABAJO PARA PEDIR MATERIAL NECESARIO PARA REALIZAR CORRECTIVO
07/01/2026 MATERIAL PENDIENTE                                                     13/02/2026 RECLAMADO                                                                                             16/02/2026 RECLAMADO</t>
  </si>
  <si>
    <t>Está fallando el muelle de la puerta de acceso a la oficina. necesitamos revisarlo.</t>
  </si>
  <si>
    <t>21/11/2025 SE DA AVISO AL SERVICIO TÉCNICO - ACUDE HOY - Se ajusta puerta de entrada caída,  se ajusta en altura , muelle y se engrasa</t>
  </si>
  <si>
    <t>O´DONNELL</t>
  </si>
  <si>
    <t xml:space="preserve">MARTES 25 DE NOVIEMBRE DE 13 A 15 - Limpieza del armario de telecomunicaciones </t>
  </si>
  <si>
    <t>20/11/2025 SE FACILITA WO PARA REALIZAR CORRECTIVO - CONFIRMAN ASISTENCIA PENDIENTE CONFIRMAR TECNICOS                                                                                        24/11/2025 TECNICOS CONFIRMADOS ACCESO SOLICITADO</t>
  </si>
  <si>
    <t>El cableado de roseta 49 al Rack es defectuosa - REVISAR TOMA Y CABLEADO QUE VA AL RACK</t>
  </si>
  <si>
    <t>17/11/2025 SE DA AVISO AL SERVICIO TÉCNICO - EL TECNICO ACUDIRÁ LUNES 24/11- COMPRA MATERIAL- ACUDIRÁ 26/11 PARA CAMBIAR CABLE QUE ESTÁ MAL</t>
  </si>
  <si>
    <t>02/12 cerrado, cambiaron el cable.</t>
  </si>
  <si>
    <t>MOVER PALETS QUE CONTIENE SUELO VINILICO AL ALMACEN</t>
  </si>
  <si>
    <t>21/11/2025 SE FACILITA WO PARA AGENDAR PARA EL LUNES TRABAJOS</t>
  </si>
  <si>
    <t>Gotera en el sistema de refrigeranción - Hemos pasado aviso porque caen gotas de la máquina del aire acondicionado del rac, abrimos ticket para dejar constancia.</t>
  </si>
  <si>
    <t xml:space="preserve">17/11/2025 SE DA AVISO URGENTE AL SERVICIO TÉCNICO </t>
  </si>
  <si>
    <t>Tenemos una gotera en medio de la sala en la planta 1 de la oficina de Sta engracia que esta cayendo agua.
GOTERA - ABRIR TECHO Y COMPROBAR BIEN DE DONDE PROVIENE</t>
  </si>
  <si>
    <t xml:space="preserve">19/11/2025 SE DA AVISO URGENTE AL SERVICIO TECNICO - SE ATIENDE INCIDENCIA, GOTERA REINCIDENTE PROCEDENTE DEL VECINO DE ARRIBA. CUANDO HAN ACUDIDO YA NO CAÍA AGUA. PASO FOTOS A CARLOS PARA QUE NOS INDIQUE COMO PROCEDER, POR NUESTRA PARTE PODEMOS ABRIR TECHO Y MIRAR DETALLADAMENTE, CERRAR CON REGISTRO Y PINTAR O QUE ING SE ENCARGUE CON EL SEGURO. PENDIENTE INDICACIONES
SIGUIENDO INSTRUCCIONES SEIJO
ABRO NUEVA WO PARA ABRIR TECHO Y COMPROBAR TODO DETALLADAMENTE  - ACUDIRA JESUS                                           25/11/2025 Se abre hueco en el techo y se comprueba que no cae agua, por lo que no se puede verificar si hay fuga, debe de caer agua del inquilino/propietario cuando se ducha o utiliza el baño porque nos comenta que hace días que no cae agua. Hemos estado llamando a los timbres y no nos abre nadie. Informo a Carlos, me pide enviar fotos, se encarga él con el seguro, nos informara si necesita algo más.
</t>
  </si>
  <si>
    <t xml:space="preserve">ERROR EN CALEFACCION - El aparato del aire acondicionado, da errores, se para y hay que ponerlo en marcha de nuevo. dando en ocasiones fallo ERROR. SUMINISTRO Y SUSTITUCION DE PLACA INVERTER </t>
  </si>
  <si>
    <t>21/11/2025 SE DA AVISO AL SERVICIO TÉCNICO - ACUDEN EL VIERNES, TIENEN QUE VOLVER LUNES
24/11/2025 La placa inverter de la VRV esclava unidad 2, hay que cambiarla. Los técnicos han estado hablando con Daikin. Se anula la esclava y se deja trabajando con la máster. Ya el error ha desaparecido- PENDIENTE RECIBIR PRESUPUESTO PLACA PARA CORRECTIVO
28/11/2025 RECIBIDO PRESUPUESTO, SE INFORMA AL CLIENTE DE QUE DESPUES DE LA SUSTITUCION SE VERA SI HAY DAÑADO ALGUN OTRO ELEMENTO (COMPRESOR, PLACAS, ETC) Y SE OFERTARIAN A PARTE - PASO WO PARA PEDIR LA PLACA - PENDIENTE PLANIFICACION                                                                      03/12/2025 ACUDIRAN EL 4/12 A SUSTITUIR PLACA</t>
  </si>
  <si>
    <t xml:space="preserve">La tapa del kiosko 04 esta caida. Contactar con MARIA JESUS CEBRIAN </t>
  </si>
  <si>
    <t>17/11/2025 SE DA AVISO AL SERVICIO TÉCNICO
18/11/2025 ACUDIRAN EL 19/11</t>
  </si>
  <si>
    <t>SUMINISTRO Y SUSTITUCION DE LUMINARIAS FUNDIDAS - ACACIAS</t>
  </si>
  <si>
    <t>28/11/2025 SE FACILITA WO PARA PROCEDER CON CORRECTIVO                                                                                                    02/12/2025 SE REALIZARAN CORRECTIVOS EL 03/12</t>
  </si>
  <si>
    <t>Van el 03/12 a sustituirlo</t>
  </si>
  <si>
    <t>ARAGON</t>
  </si>
  <si>
    <t>BLOQUEAR PUERTA ACCESO NUEVA OFICINA BARCELONA</t>
  </si>
  <si>
    <t>25/11/2025 SE DA AVISO URGENTE, ACUDEN HOY SOBRE 11/11:30 -  SE BLOQUEA CON TORNILLERIA NO SE PUEDE HACER OTRA COSA POR SER DE ALUMINIO.</t>
  </si>
  <si>
    <t>MODIFICAR FRIO CALOR - MODIFICAR LA TEMPERATURA DE LA OFICINA, CUANTO ANTES MEJOR</t>
  </si>
  <si>
    <t>24/11/2025 SE DA AVISO AL SERVICIO TECNICO</t>
  </si>
  <si>
    <t>LA SEÑORA DE LA LIMPIEZA ESTA DE VACACIONES ESTA SEMANA Y NO HA VENIDO NADIE ALIMPIAR DESDE EL VIERNES 21 NOV - MUY URGENTE, NECESITAMOS QUE VENGAN A LIMPIAR LA OFICINA HOY MISMO</t>
  </si>
  <si>
    <t>25/11/2025 SE RECLAMA A GARNICA
La persona que estaba asignada al centro para hacer el servicio de limpieza no se ha incorporado y no nos ha comentado nada. El servicio será realizado, limpieza a fondo por parte de operario de GARNICA MIGUEL ÁNGEL HERRERA ARROYO. DNI: X7047761D. Realizará en el día de hoy 25/11 servicio de limpieza profunda. 
A partir de mañana 26/11 hasta el 28/11 en sustitución de la titular del centro, el servicio será realizado por parte de JASON DE JESÚS JAVIER CIRIACO.</t>
  </si>
  <si>
    <t xml:space="preserve">VOLVEMOS A TENER CUCARACHAS EN VESTUARIO DE CHICAS PLANTA -2 - HEMOS ENCONTRADO SEIS EN CONCRETO...........SALEN DE LA JUNTA ENTRE PARED Y WC DEL VESTUARIO DE CHICAS , PORFAVOR ACUDIR URGENTE Y SELLARLO BIEN </t>
  </si>
  <si>
    <t>27/11/2025 SE DA AVISO AL SERVICIO TECNICO - ACUDEN HOY - Hola Dolores, me dice Estefania, que Ricardo ha tapado el hueco provisionalmente con silicona, pero no lleva nada más, que tendrían que venir a sellar bien con yeso o con otro tipo de material. - AVISO A EQUIPO TECNICO - VOLVERAN EL 03/12 CON EL MATERIAL
27/11/2025 SE DA AVISO TAMBIÉN A ANTICIMEX</t>
  </si>
  <si>
    <t>Anticimex ha acudido y tienen que volver el 03/12 con todo el material para sellarlo definitivamente.</t>
  </si>
  <si>
    <t xml:space="preserve">RECALO OFICINA - Ha aparecido una mancha en la oficina que parece ser de una filtracion de agua de alguna bajante de la comunidad. </t>
  </si>
  <si>
    <t>25/11/2025 SE DA AVISO AL SERVICIO TECNICO - ACUDEN EL 26/11 - CONFIRMADO ES BAJANTE DE LA COMUNIDAD- ENVIAD FOTOS Y VIDEO A SEIJO PARA SU GESTION</t>
  </si>
  <si>
    <t>Se ha descolgado el tirador de la puerta corredera del wc de clientes. alguien ha debido de tirar con mucha fuerza.</t>
  </si>
  <si>
    <t>27/11/2025 SE DA AVISO AL SERVICIO TECNICO -ACUDEN 28/11 O 01/12</t>
  </si>
  <si>
    <t>Arreglado. Cerrado 02/12</t>
  </si>
  <si>
    <t>Uno de los backlight , donde colgamos la carteleria, q se ve desde la calle tiene una luz parpadeando</t>
  </si>
  <si>
    <t>NESITAMOS QUE VENGAN A REVISAR LA PUERTA DE ACCESO A LA OFICINA. SE QUEDA ATASCADA
URGENTE - Los pernios de 175 mm están gripados. Hay que desoldar y volver a soldar nuevos. Tiene 4 pernios. Los que peor están son los dos de abajo. MOSTOLES</t>
  </si>
  <si>
    <t>26/11/2025 SE DA AVISO AL SERVICIO TECNICO - ACUDEN HOY - Llamar a cerrajero urgente. Los pernios de 175 mm están gripados. Hay que desoldar y volver a soldar nuevos. Tiene 4 pernios. Los que peor están son los dos de abajo
26/11/2025 SE DA AVISO URGENTE A BOJUNA - BISAGRAS SOLDADAS, CERRAJEROS COMENTAN QUE LA PUERTA ESTÁ TOSTADA - COMENTAR CON SEIJO</t>
  </si>
  <si>
    <t>El inodoro del aseo de chicos está atascado y está a punto de salirse el agua, urge que acuda un técnico</t>
  </si>
  <si>
    <t>24/11/2025 SE DA AVISO AL SERVICIO TECNICO
25/11/2025 RECLAMADO URGENTE - ACUDE HOY MANUEL - DESATASCADO PERO TIENEN QUE VOLVER CON CUBA PARA DESATASCAR ARQUETA. EN PRINCIPIO EL 27/11, ME TIENEN QUE CONFIRMAR. COMENTADO CON INMA, ME DICE QUE HAY QUE PEDIR PEDIR VIGILANTE PORQUE LA PUERTA DE EMERGENCIA ESTÁ EN LA ZONA DE ACCESO PRIVADA DE LA OFI Y LOS CLIENTES SI LA VEN ABIERTA VAN A INTENTAR COLARSE Y ES IMPOSIBLE CONTROLARLA</t>
  </si>
  <si>
    <t xml:space="preserve">SOLICITO INSTALAR UNA O DOS BALDAS EN EL CUARTO DE LIMPIEZA DE LA OFICINA DE ODONNELL MEDIDAS 60 LARGOX20 ANCHO PARA ALMACENAJE </t>
  </si>
  <si>
    <t>27/11/2025 SE DA AVISO AL SERVICIO TECNICO</t>
  </si>
  <si>
    <t>EL TECHO DEL RACK ESTÁ HUNDIDO - Los técnicos al hacer el cambio de luminarias se han dado cuenta que el techo del rack está hundido. Necesitamos que vengan a revisarlo lo antes posible.</t>
  </si>
  <si>
    <t>27/11/2025 SE DA AVISO AL SERVICIO TÉCNICO                                              11/12/2025 RECLAMADO</t>
  </si>
  <si>
    <t>El lunes 24 y martes 25 de noviembre no hemos tenido servicio de limpieza en la oficina de Salamanca</t>
  </si>
  <si>
    <t>25/11/2025 SE RECLAMA A GARNICA</t>
  </si>
  <si>
    <t xml:space="preserve">Cerradura sin embellecedor </t>
  </si>
  <si>
    <t>27/11/2025 SE DA AVISO AL SERVICIO TECNICO                                                                        03/12/2025 RECLAMADO - VAN HOY                                                                       11/12/2025 RECLAMADO</t>
  </si>
  <si>
    <t xml:space="preserve">Necesitamos que nos pongan 3 pegatinas en el ascensor de NO UTULIZAR EN CASO DE EMERGENCIA </t>
  </si>
  <si>
    <t>28/11/2025 SE AVISO AL SERVICIO TECNICO, COMPRAR PEGATINAS E INSTALAR SI ES POSIBLE ANTES DEL 04/12 01/12/2025 PIDEN TAMBIEN PEGATINA SALIDA PARA PUERTA DE EMERGENCIA AL LADO DE LA ESCALERA
03/12/2025 RECLAMADO- VAN HOY</t>
  </si>
  <si>
    <t xml:space="preserve">Persiana mecánica interior de oficina descolgada </t>
  </si>
  <si>
    <t>01/12/2025 SE DA AVISO AL SERVICIO TECNICO</t>
  </si>
  <si>
    <t xml:space="preserve">La calefacción en planta 0 no funciona </t>
  </si>
  <si>
    <t>02/12/2025 SE DA AVISO AL SERVICIO TECNICO</t>
  </si>
  <si>
    <t xml:space="preserve">El armario de recepción no cierra, las bandas magnéticas están gastadas y no enganchan </t>
  </si>
  <si>
    <t>03/12/2025 SE PASA WO A SP, TRABAJOS REALIZADOS ESTA MISMA MAÑANA YA QUE ESTABA ALLI EL TECNICO</t>
  </si>
  <si>
    <t xml:space="preserve">SUMINISTRO Y SUSTITUCION CISTERNA BAÑO ROTA </t>
  </si>
  <si>
    <t>03/12/2025 SE DA AVISO AL SERVICIO TÉCNICO- MATERIAL PENDIENTE PEDIDO                                                                                                            23/12/2025 ACUDE LUNES O MARTES DE LA SEMANA QUE VIENE</t>
  </si>
  <si>
    <t xml:space="preserve">No funciona el baño - Hemos tenido que desenchufar la trituradora porque se ha quedado pillada y no funciona. </t>
  </si>
  <si>
    <t>03/12/2025 SE DA AVISO AL SERVICIO TÉCNICO</t>
  </si>
  <si>
    <t>Otra vez el aire de la salita sale helado</t>
  </si>
  <si>
    <t>03/12/2025 SE DA AVISO AL SERVICIO TÉCNICO                                         11/12/2025 RECLAMADO</t>
  </si>
  <si>
    <t>No asistencia de la limpiadora - Ayer lunes 01/ 12 y por ahora 02/12 no hemos tenido servicio de limpieza en la oficina de Salamanca, esto ya está siendo algo recuerrente. Gracias</t>
  </si>
  <si>
    <t>02/12/2025 SE RECLAMA A GARNICA</t>
  </si>
  <si>
    <t>RABA BLOQUEADA - La raba de apertura de la oficina de Vigo ha quedado bloqueada en posición de apertura, y no se cierra la puerta de acceso a la oficina. Necesitamos, con urgencia, visita de técnico para repararla.</t>
  </si>
  <si>
    <t>01/12/2025 SE DA AVISO URGENTE AL SERVICIO TECNICO - ACUDE EL TECNICO, INDICA FALLO DEL WATCH &amp; MOCHI, CERRADURA ELECTRONICA. AVISO A SECURITAS, DAN AVISO PARA QUE ACUDA HOY
02/12/2025 SECURITAS PIDE APOYO DE MANTENIMIENTO, COMPRARON NUEVA CERRADURA PERO NECESITAN APOYO PARA INSTALARLA, VISITA CONJUNTA EL VIERNES 05 A LAS 12:00</t>
  </si>
  <si>
    <t>REPARACIÓN PICAPORTE VESTUARIO MASCULINO</t>
  </si>
  <si>
    <t>11/12/2025 SE DA AVISO AL SERVICIO TÉCNICO
12/12/2025 ACUDE HOY</t>
  </si>
  <si>
    <t xml:space="preserve">A PETICION DEL CLIENTE MEDIR CONSUMO DEL RACK DE COMUNICACIONES - INFORMAR CUANTO CONSUME </t>
  </si>
  <si>
    <t>12/12/2025 SE DA AVISO AL SERVICIO TECNICO</t>
  </si>
  <si>
    <t>Tenemos una gotera en la oficina y necesitamos que vengan a revisarlo</t>
  </si>
  <si>
    <t>10/12/2025 SE DA AVISO AL SERVICIO TECNICO
11/12/2025 ACUDEN HOY A REVISAR                                                                  Cuando acudieron ya no caía agua pero indican que hay humedades en la zona de la luz de emergencia cercana a la salida de emergencias. Al parecer viene de una terraza de la comunidad que hay encima de la oficina. No se puede ver bien puesto que no hay registros. Habría que romper el techo de pladur. Pregunto a Seijo si nos encargamos. También habría que avisar al seguro de la comunidad para que revisen este problema.</t>
  </si>
  <si>
    <t>La fijación de una de las lámparas de gestor de la oficina ha cedido y ha quedado colgando de los cables. Necesitamos intervención urgente para evitar que acabe de caer y la rotura de los cables.</t>
  </si>
  <si>
    <t>09/12/2025 SE DA AVISO URGENTE AL SERVICIO TECNICO</t>
  </si>
  <si>
    <t>LA COMUNIDAD DE PROPIETARIOS SE QUEJA DEL RUIDO DE LOS EQUIPOS DE LA CUBIERTA DEL EDIFICIO, ESPECIALMENTE POR LA NOCHE
Hemos recibido un correo de la empresa administradora del edificio, que nos traslada la queja de los vecinos sobre el ruido de los equipos de climatización que están en la cubierta. Especialmente por la noche.</t>
  </si>
  <si>
    <t>11/12/2025 SE DA AVISO AL SERVICIO TÉCNICO</t>
  </si>
  <si>
    <t>A PETICION DEL CLIENTE MEDIR CONSUMO DEL RACK DE COMUNICACIONES - INFORMAR CUANTO CONSUME</t>
  </si>
  <si>
    <t>12/12/2025 SE DA AVISO AL SERVICIO TECNICO - ACUDIAN EL 15/12
07/01/2026 RECLAMADA INFO                                                               16/01/2026 RECLAMADO</t>
  </si>
  <si>
    <t>OOS 250891 SUBSANACIONES OCA BT VALENCIA</t>
  </si>
  <si>
    <t>12/12/2025 SE DA OK  Y WO PARA PLANIFICAR SUBSANACIONES OCA BT                                                                                                                      19/12/2025 EMPIEZAN LOS TRABAJOS DE SUBSANACIÓN                                     09/01/2026 RECLAMADO - ME INDICAN "Esperando me envíen OCA Favorable , la semana próxima te digo"</t>
  </si>
  <si>
    <t>Para abril la segunda inspección</t>
  </si>
  <si>
    <t>REVISAR CERRADURA - ROZA Y LA PUERTA SE QUEDA ATASCADA</t>
  </si>
  <si>
    <t>05/12/2025 SE DA AVISO URGENTE A PETICIÓN DE SEIJO - ACUDIRAN EL 09/12 A PRIMERA HORA</t>
  </si>
  <si>
    <t xml:space="preserve">Hoy está lloviendo mucho en Bcn y volvemos a tener goteras en el almacén de la -1 </t>
  </si>
  <si>
    <t>16/12/2025 SE DA AVISO AL SERVICIO TECNICO - ACUDEN HOY</t>
  </si>
  <si>
    <t>El primer grifo del wc de la -1 no funciona</t>
  </si>
  <si>
    <t>17/12/2025 SE DA AVISO AL SERVICIO TECNICO - ACUDEN HOY
18/12/2025 MATERIAL PEDIDO. PENDIENTE
07/01/2026 RECLAMADO                                                                            09/01/2026 VUELVO A RECLAMAR URGENTE, SE HA ROTO OTRO GRIFO EN EL MISMO ASEO                                                                                            12/01/2026 ACUDE RICARDO EL 13/04</t>
  </si>
  <si>
    <t>REVISAR EMERGENCIAS - SUMINISTRAR Y SUSTITUIR POR EMERGENCIAS AUTO TEST</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</si>
  <si>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
31/08/2026 SOLICITO RETOMEN ESTE TEMA DE MANERA URGENTE</t>
  </si>
  <si>
    <t xml:space="preserve">WC no traga agua - Averiado </t>
  </si>
  <si>
    <t>15/12/2025 SE DA AVISO AL SERVICIO TECNICO - ACUDIRAN EL 18/12</t>
  </si>
  <si>
    <t>AGUJERO O MANCHA NEGRA EN EL TECHO - Tenemos una mancha que cada día es más grande o un agujero, no lo tenemos identificado.</t>
  </si>
  <si>
    <t>15/12/2025 SE DA AVISO AL SERVICIO TECNICO - ACUDIRAN EL 18/12
07/01/2026 RECLAMADO                                                                                                          16/01/2026 RECLAMADO                                                                                   26/01/2026 SE SUBSANARA DESPUES DE LA OBRA DE CLIMATIZACIÓN                                                                                                  13/02/2026 RECLAMADO. YA HAN TERMINADO LAS OBRAS                    16/02/2026 LO HAN SUBSANADO LOS DE LA OBRA</t>
  </si>
  <si>
    <t xml:space="preserve">ROTURA VISAGRA PUERTA ARMARIO VALIJA </t>
  </si>
  <si>
    <t>15/12/2025 SE DA AVIS AL SERVICIO TÉCNICO - ACUDIRAN EL 18/12</t>
  </si>
  <si>
    <t xml:space="preserve">En la fachada de O´Donnell tenemos dos pintadas adjunto imagenes </t>
  </si>
  <si>
    <t>15/12/2025 SE DA AVISO AL SERVICIO DE LIMPIEZA DE FACHADA
16/12/2025 ACUDEN HOY</t>
  </si>
  <si>
    <t>La maneta interior de la sala del rack está suelta y al intentar salir si estiras sin ir con cuidado te quedas con la maneta en la mano, nos urge un poco por el riesgo de quedarse encerrado</t>
  </si>
  <si>
    <t>16/12/2025 SE DA AVISO AL SERVICIO TECNICO
07/01/2026 RECLAMADO</t>
  </si>
  <si>
    <t>GOTEO LAVABO VESTUARIO - Ha empezado a gotear uno de los lavabos de las chicas por detrás, hemos cerrado la llave de paso del agua, pero necesitamos que vengan a revisarlo. Gracias</t>
  </si>
  <si>
    <t>17/12/2025 SE DA AVISO AL SERVICO TECNICO                                                                     22/12/2025 ACUDE TÉCNICO
23/12/2025 Ayer vino el tecnico, estaba la llave cortada y no goteó, pero hoyt ha vuelto a gotear ese lavabo. Y tambien sello el vater de los chicos pero hoy ha vuelto a salir mucha agua del vater. Necesitamos que vuelva para revisar y arreglar tanto el baño como el lavabo. Gracias- INFORMO A SERVICIO TECNICO
07/01/2026 RECLAMADO                                                                                     14/01/2026 RECLAMADO
15/01/2026 ACUDEN HOY - REALIZAN LIMPIEZA PERO TIENEN QUE COLOCAR UNA JUNTA, PEDIDA. VOLVERAN LA SEMANA QUE VIENE                                                                                                                                                            28/01/2026 RECLAMADO                                                                              13/02/2026 RECLAMADO                                                                         18/02/2026 RECLAMADO</t>
  </si>
  <si>
    <t>Necesitamos máquina para limpiar esta parte del suelo - Buenas, tras un incidente violento con un cliente, el suelo ha quedado tal cual se muestra en las fotos y la limpiadora con sus medios no consigue mejorarlo.</t>
  </si>
  <si>
    <t>17/12/2025 SE DA AVISO AL SERVICIO DE LIMPIEZA                                                        23/12/2025 Como con la limpieza que se realizó no fue posible quitar las manchas, se hará un fregado mecanico el día 2 d enero aprovechando lalimpieza semestral de la oficina- Se pregunta a Seijo
tenemos especificaciones del fabricante para tratar este suelo.</t>
  </si>
  <si>
    <t xml:space="preserve">Puesto de atención rápidaCerradura del mueble en mal estado. Se necesita cambiar Contactar con Guzmán Peñalba 912066729 </t>
  </si>
  <si>
    <t>16/12/2025 SE DA AVISO AL SERVICIO TECNICO                                                              23/12/2025 RECLAMADO - ACUDEN MAÑANA POR LA MAÑANA</t>
  </si>
  <si>
    <t>No funciona bien la calefacción-Ha comenzado el frío y la ofi no tiene temperatura adecuada, tarda en coger calor con las consiguientes quejas de clientes y gestores, pero no es solo la calefacción, también pasa con el AA en verano.</t>
  </si>
  <si>
    <t>22/12/2025 SE DA AVISO AL SERVICIO TECNICO - ACUDEN POR LA TARDE
Comenta la cuenta que a la primera hora hacía mucho frío y los equipos no eran capaces de remontar la temperatura.Cuando nos personamos la sucursal estaba a 24°C.Se reviso el histórico del controlador y dio un error puntual, según la información que se dispone, es por fallo sensor de descarga y/o placa inverter.
Se comprueba y estaba operativo. Si volviese a fallar, tendríamos que valorar la sustitución de placa inverter y sensor de descarga.</t>
  </si>
  <si>
    <t xml:space="preserve">CORRECTIVO - ENCHUFE DE SUELO ROTO </t>
  </si>
  <si>
    <t>23/12/2025 SE FACILITA WO PARA REALIZAR CORRECTIVO-  ACUDEN MAÑANA POR LA MAÑANA
03/12/2025 ME INDICA MARCO QUE ESTAN REALIZANDO EL PROYECTO RELAMPING- CANCELAMOS PETI.</t>
  </si>
  <si>
    <t>SE HA ROTO LA CADENA DEL ESTOR</t>
  </si>
  <si>
    <t>23/12/2025 SE DA AVISO URGENTE AL SERVCIO TECNICO                     16/01/2026 ACUDIRAN EL 20/01 A LAS 07:00</t>
  </si>
  <si>
    <t>Las luces del cajero que da a Plza Seis de Agosto están todas apagadas. No sabemos si están fundidas o bajado el diferencial. Gracias</t>
  </si>
  <si>
    <t>24/12/2025 SE DA AVISO AL SERVICIO TECNICO</t>
  </si>
  <si>
    <t>AIRE CONDICIONADO ROTO</t>
  </si>
  <si>
    <t>23/12/2025 SE DA AVISO URGENTE AL SERVCIO TECNICO
Se resetea la máquina por si fuera un mal contacto, se revisan las conexiones que estén
correctamente y sigue dando fallo. Es un aire acondicionado de HITACHI que está en
garantía no podemos tocar más para no perder la garantía. Se tiene que llamar a la empresa
instaladora.
24/12/2025 SE HA DADO AVISO A ARYSE Y SERVICIO TECNICO DE HITACHI, HASTA DESPUES DE LAS FIESTAS NO PODRÁ ACUDIR, SE INDICA COMPRAR CALEFACTORES.
26/12/2025 CALEFACTORES INSTALADOS, ACUDIRA DE NUEVO TECNICO EL 30-12 CON INDICACIONES
30/12/2025 Acude técnico y siguiendo indicaciones del instalador se hace un apagado general de todo el sistema (maquina vieja y nueva) y al reiniciar se quitó el error, pero al arrancar las unidades interiores del sistema que es alimentado por la maquina nueva, vuelve a pararse y deja de comunicar, por lo tanto hay que avisar a la asistencia técnica de Hitachi. Estamos a la espera de que nos indiquen fecha para coordinar con nuestro técnico.                                                                                        12/01/2026 ACUDE EL SERVICIO TECNICO DE HITACHI - MAÑANA ACUDIRÁ TECNICO DE CBRE A REVISAR TENSIONES DEL CUADRO ELÉCTRICO. SE TENDRÁ QUE REALIZAR EN HORARIO DE CIERRE. PENDIENTE CONFIRMAR FECHA                                                                                                                 23/01/2026 ACUDEN CBRE + HITACHI - PENDIENTE RECIBIR INFORME CON DETALLES -  EL VIERNES SE REINICIARON LOS EQUIPOS Y FUNCIONABAN PERO SEGUIAN HACIENDO PRUEBAS.
26/01/2026 HAY QUE SUSTITUIR 2 PLACAS UNIDAD EXTERIOR. EN CUANTO LA TENGA HITACHI ACUDIRAN A SUSTITUIRLAS. 09/02 Estiman la llegada de material para el jueves 12, una vez recepcionado, en dos o tres días como máximo el SAT llevará a cabo la intervención.                                                                                            19/02/2026 PLACAS RECIBIDAS, EL SAT ADUDIRÁ EL LUNES 23/02 A LAS 08:30. AVISO A SP PARA ACOMPAÑAMIENTO</t>
  </si>
  <si>
    <t>El aire caliente se apaga, no se mantiene encendido y con estos días de frío la temperatura dentro de la oficina se queda bajita y se siente frío</t>
  </si>
  <si>
    <t>07/01/2026 SE DA AVISO AL SERVICIO TÉCNICO ACUDEN EL 05/01 O 07/01 SINO LES DA TIEMPO</t>
  </si>
  <si>
    <t>Goteo del aparato de aire del RAC - El aparato del RAC, entendemos que por condensación gotea constantemente.</t>
  </si>
  <si>
    <t>07/01/2026 SE DA AVISO AL SERVICIO TÉCNICO</t>
  </si>
  <si>
    <t xml:space="preserve">Foco descolgado - Foco de la planta 1 al lado del baño, descolgado. se sujeta por solo1 de los 2 puntos de sujeción al techo </t>
  </si>
  <si>
    <t xml:space="preserve">SOLICITAMOS TÉCNICO PARA REVISAR PLATAFORMA DE DISCAPACITADOS YA QUE SE HA QUEDADO BLOQUEADA Y NO PODEMOS UTILIZARLA, NO RESPONDE AL MANDO. </t>
  </si>
  <si>
    <t>08/01/2026 SE DA AVISO AL SERVICIO TECNICO</t>
  </si>
  <si>
    <t>LLEVAMOS DOS DÍAS SIN QUE NADIE VENGA A LIMPIAR LA OFICINA, NO ES LA PRIMERA VEZ QUE OCURRE</t>
  </si>
  <si>
    <t>09/01/2026 SE PIDEN EXPLICACIONES AL SERVICIO DE LIMPIEZA, NOS HABÍAN INDICADO QUE IRIA UNA SUSTITUTA DEL 7 AL 9
La operaria suplente de la titular, ayer se despistó y pensó que no tenía que ir a realizar la limpieza en ING, hoy va a ir y recuperará el tiempo de limpieza.</t>
  </si>
  <si>
    <t>WC PLANTA ALTA CHICOS CISTERNA PIERDE AGUA</t>
  </si>
  <si>
    <t>08/01/2026 SE DA AVISO AL SERVICIO TECNICO - ACUDEN HOY</t>
  </si>
  <si>
    <t>MALOS OLORES EN LA ENTRADA A LA OFICINA. PLANTA BAJA - OLOR A WC ENPLANTA BAJA</t>
  </si>
  <si>
    <t xml:space="preserve">El último grifo de los lavabos de la -1 no funciona. Hay tiquet abierto para el 1r grifo, que tampoco funciona. </t>
  </si>
  <si>
    <t>09/01/2026 SE DA AVISO AL SERVICIO TÉCNICO                                                     12/01/2026 ACUDE RICARDO EL 13/01 - Material Pedido</t>
  </si>
  <si>
    <t xml:space="preserve">Timbre con sensor de presencia roto </t>
  </si>
  <si>
    <t>09/01/2026 SE DA AVISO AL SERVICIO TÉCNICO</t>
  </si>
  <si>
    <t>Solicitamos acudan a pintar la puerta de entrada ya que el tirador vertical se encuentra muy descascarillado. Adjuntamos imágenes.</t>
  </si>
  <si>
    <t>15/01/2026 SE DA AVISO AL SERVICIO TECNICO - INDICO REALIZAR TRABAJOS VIERNES FUERA DE HORARIO DE APERTURA DE OFICINA                                                                                   26/01/2026  SE PASA PRESUPUESTO A SEIJO ME DAN FECHAS 30/01 Y 06/02</t>
  </si>
  <si>
    <t xml:space="preserve">MARCO Y PUERTA DEL RACK </t>
  </si>
  <si>
    <t>15/01/2026 SE DA AVISO A CARPINTERO Y SE COMENTA CON SEGURIDAD                                                                                                                      23/01/2026 ACUDE EL CARPINTERO                                                                                 06/02/2026 RECIBIDO PRESUPUESTO- SE PASA A SEIJO                                      12/02 OK DE SEIJO- PENDIENTE MATERIAL Y PLANIFICACION                  27/02/2026 RECLAMADO - PENDIENTE RECIBIR MARCO Y PUERTA                                                                                                            05/03/2026 RECLAMADO                                                                                               11/03/2026 RECLAMADO - PENDIENTE PLANIFICACIÓN
17/03/2026 RECLAMADO                                                                              31/03/2026 ACUDEN HOY</t>
  </si>
  <si>
    <t>DESPEGAR de los dos PAD y de la MESA de la SALA DE REUNIONES LAS MAMPARAS de metacrilato, sin estropear la superficie</t>
  </si>
  <si>
    <t>16/01/2026 SE DA AVISO AL SERVICIO TECNICO - ACUDEN HOY
19/01/2026 INDICAN QUE VOLVERA EL MIERCOLES CON ELIMINA ADHESIVOS, ESTÁN MUY PEGADOS …</t>
  </si>
  <si>
    <t xml:space="preserve">La cadena del váter no se cierra bien y sale agua </t>
  </si>
  <si>
    <t>14/01/2026 SE DA AVISO AL SERVICIO TÉCNICO</t>
  </si>
  <si>
    <t>EL POMO DE LA PUERTA DEL CUARTO DEL RACK ESTÁ ROTO- VOLVEMOS A TENER PROBLEMAS CON EL POMO DE LA PUERTA DEL RACK</t>
  </si>
  <si>
    <t>16/01/2026 SE DA AVISO AL SERVICIO TECNICO - ACUDIRAN EL 20/01</t>
  </si>
  <si>
    <t>SOLICITAMOS PONER 2 CINTAS DE LIJA PARA EVITAR RESBALONES DE CLIENTES EN EL ACCESO DE LA OFICINA</t>
  </si>
  <si>
    <t>12/01/2026 SE DA AVISO AL SERVICIO TÉCNICO</t>
  </si>
  <si>
    <t xml:space="preserve">LOS VECINOS DE ARRIBA SIGUEN QUEJANDOSE DEL RUIDO DE LAS MAQUINAS DE LA AZOTEA - REVISAR URGENTE </t>
  </si>
  <si>
    <t>12/01/2026 SE DA AVISO AL SERVICIO TÉCNICO
14/01/2026 ACUDIRAN EL VIERNES 16/01                                              16/01/2026 ACUDE MARC, COMPRUEBA NUEVAMENTE LA CENTRALITA TODO CORRECTO, NO PUEDE ACCEDER A LA AZOTEA, SOLO HA CONTESTADO UN VECINO Y NO LE PODÍA ACOMPAÑAR. LLAVE PERDIDA (INSISTITO JOSE LUIS HAY QUE CONSEGUIR UNA COPIA)- LE INDICO A JOSE LUIS CONTACTAR CON EL VECINO QUE SE QUEJA PARA QUE É NOS ACOMPAÑE, INDICAN QUE EL RUIDO PROCEDE DE LAS MAQUINAS DE ING PERO EN LA AZOTEA HAY COMO 20 UNIDADES EXTERIORES... QUEDAMOS A LA ESPERA DE QUE JOSE LUIS NOS CONFIRME CUANDO PODEMOS QUEDAR CON EL VECINO</t>
  </si>
  <si>
    <t xml:space="preserve">Necesitamos aceitar bisagras de puerta de entrada que hacen mucho ruido y calibrar el brazo de cierre </t>
  </si>
  <si>
    <t>16/01/2026 SE DA AVISO AL SERVICIO TECNICO - SE PASARAN EL LUNES 19/01</t>
  </si>
  <si>
    <t xml:space="preserve">Reemplazo de bombillas que no funcionan </t>
  </si>
  <si>
    <t xml:space="preserve">Tenemos varios zócalos de la pared despegados </t>
  </si>
  <si>
    <t>Se ha despegado una pieza para cerrar este armario de la impresora de kioscos</t>
  </si>
  <si>
    <t>Arreglo de baldosas rotas en baño caballeros</t>
  </si>
  <si>
    <t>15/01/2026 DAMOS AVISO AL SERVICIO TECNICO                                     27/01/2026 RECLAMADO
28/01/2026 ACUDEN HOY                                                                                                  05/02/2026 ME INDICA ALMU QUE SE HA ROTO OTRA BALDOSA, CUANDO FUE EL ALBAÑIL VIERON VARIAS POSIBILIDADES PERO LE DIJO DE NO CAMBIAR TODO LA ZONA, QUE NO ERA NECESARIO AHORA NOS PIDE CONTACTAR CON EL ALBAÑIL PARA PONER LOSAS NUEVAS EN TODA LA ZONA. AVISO A BOJUNA                                                                                                               13/02/2026 PASADO PRESUPUESTO A SEIJO PARA SU APROBACION                                                                                                16/02/2026 TENEMOS OK, PENDIENTE MATERIAL Y PLANIFICACIÓN
18/02/2026 ACUDIRAN EL 19/02 Y 20/02 - 24 H SIN PISAR</t>
  </si>
  <si>
    <t>CORRECTIVO A REALIZAR EN ASEO VESTUARIO MUJERES DESPUES DE INSTALAR EL NUEVO WC</t>
  </si>
  <si>
    <t xml:space="preserve">20/01/2026 SE FACILITA WO PARA REALIZAR CORRECTIVOS </t>
  </si>
  <si>
    <t xml:space="preserve">ARREGLAR DESPERFECTO MESA SALA REUNIONES DESPUES DE RETIRADA MAMPARAS </t>
  </si>
  <si>
    <t>23/01/2026  SE DA AVISO A CARPINTERO                                                    13/02/2026 RECLAMADO                                                                                16/02/2026 RECLAMADO                                                                                                                                                                                                                                                27/02/2026 TIENEN QUE CAMBIAR TABLERO, PENDIENTE RECBIR MATERIAL                                                                                     
05/03/2026 RECLAMADO                                                                                     10/03/2026  RECIBIDO PRESUPUESTO, ENVIADO A SEIJO - PENDIENTE PLANIFICACION
17/03/2026 RECLAMADO                                                                                                               31/03/2026 ACUDEN HOY</t>
  </si>
  <si>
    <t>CORRECTIVO - PARTE DEL SISTEMA DE APERTURA DE PUERTA AUTOMATICA DEL GARAJE ESTÁ EN EL SUELO</t>
  </si>
  <si>
    <t>20/01/2026 FACILITAMOS WO PARA REALIZAR CORRECTIVO - IRAN EL 21/01</t>
  </si>
  <si>
    <t>NO HEMOS RECIBIDO EL PEDIDO DEL MATERIAL DE LIMPIEZA QUE HA SOLICTADO A SU EMPRESA LA EMPLEADA DE LA LIMPIEZA DE LA OFICINA
NO HEMOS RECIBIDO PEDIDO MATERIAL DE LIMPIEZA. PEDIDO HECHO HACE 2 SEMANAS</t>
  </si>
  <si>
    <t>21/01/2026 SE RECLAMA A GARNICA                                                                        26/01/2026 NO LO HAN RECIBIDO- SE VUELVE A RECLAMAR</t>
  </si>
  <si>
    <t xml:space="preserve">El primer grifo de los lavabos de la -1 que lo cambiaron hace poco pierde agua - </t>
  </si>
  <si>
    <t>20/01/2026 SE DA AVISO AL SERVICIO TÉCNICO</t>
  </si>
  <si>
    <t>La puerta trasera de emergencia no abre</t>
  </si>
  <si>
    <t>20/01/2026 SE DA AVISO AL SERVICIO TÉCNICO - 22/01 ACUDEN</t>
  </si>
  <si>
    <t>DEBIDO A LA OBRAS DE LA OFICINA NECESITAMOS CALEFACTORES PORFAVOR YA QUE NOS HAN DEJADO SIN EL SISTEMA DE CALEFACCION EN LA OFICINA, ES URGENTE</t>
  </si>
  <si>
    <t>22/01/2026 SE DA AVISO AL SERVICIO TECNICO - ACUDEN HOY</t>
  </si>
  <si>
    <t>Hemos tenido mucha lluvia estos últimos días y hay una gotera en el medio de la planta -1</t>
  </si>
  <si>
    <t>21/01/2026 SE DA AVISO AL SERVICIO TÉCNICO - 22/01 ACUDEN 05/02
13/02/2026 RECLAMADO                                                                                     16/02/2026 RECLAMADO
17/02/2026 VAN A VOLVER A REVISAR HOY PERO NO VEN NADA ANORMAL , NI HUMEDADES</t>
  </si>
  <si>
    <t>Tenemos rota del baño de mujeres la tapadera del wc, ya se ha roto otras veces por lo que deberíamos sustituirla quizá ya que cuando la meten al poco tiempo vuelve a estar igual y la cisterna se ha roto de nuevo el pulsador</t>
  </si>
  <si>
    <t>22/01/2026 SE DA AVISO AL SERVICIO TECNICO</t>
  </si>
  <si>
    <t xml:space="preserve">La Tapa Kiosko 4 esta caida hay que colocarla y dejarla fija </t>
  </si>
  <si>
    <t>22/01/2026SE DA AVISO AL SERVICIO TECNICO</t>
  </si>
  <si>
    <t>Necesitamos arreglo de la cerradura de la puerta corredera del wc, hace unos dias la arrancaron y actualmente la tenemos encajada pero sin agarres, se puede volver a caer en cualquier momento.</t>
  </si>
  <si>
    <t>21/01/2026 SE DA AVISO AL SERVICIO TÉCNICO</t>
  </si>
  <si>
    <t xml:space="preserve">Verificar los horarios que tienen de encendido y apagado la máquina de climatización. </t>
  </si>
  <si>
    <t>19/01/2026 SE DA AVISO AL SERVICIO TÉCNICO</t>
  </si>
  <si>
    <t xml:space="preserve">VIERNES 23/01 A LAS 09:30 - CONFIGURACION HORARIO MAQUINAS </t>
  </si>
  <si>
    <t>22/01/2026 SE FACILITA WO</t>
  </si>
  <si>
    <t>Necesitamos limpieza a fondo de las superficies con moqueta de la oficina, de las zonas de clientes y las zonas de gestores, tanto por mantenimiento como porque algunas presentan manchas que perjudican la imagen de la oficina. Se adjuntan algunas fotos como muestra.</t>
  </si>
  <si>
    <t>21/01/2026 SE ESTAN REALIZANDO LAS LIMPIEZAS SEMESTRALES, SE PIDE NOS DEN FECHA Y LO LIMPIEN                                                                                                                     26/01/2026 AGENDADO PARA EL 06/02/2026, SE ADELANTA AL 01/02/2026</t>
  </si>
  <si>
    <t xml:space="preserve">La pta no se cierra debido al enganchón de una carretilla que ha levantado el aluminio del suelo-Adjunto foto donde se ve placa metálica que se ha levantado sin querer al pasar carretilla y que ahora provoca que la puerta no se abra ni cierre. </t>
  </si>
  <si>
    <t>21/01/2026 SE DA AVISO AL SERVICIO TÉCNICO - ACUDEN HOY</t>
  </si>
  <si>
    <t xml:space="preserve">Kiosko - Kiosco 4 tapa desencajada </t>
  </si>
  <si>
    <t>22/01/2026 SE DA AVISO AL SERVICIO TECNICO                                   04/02/2026 RECLAMADO</t>
  </si>
  <si>
    <t xml:space="preserve">La puerta de la entrada no se vuelve, el muelle esta cedido y no se cierra al paso del cliente. Queda siempre abierta, junto al marco, pero sin la fuerza suficiente como para cerrarse. Hay que apretar el muelle </t>
  </si>
  <si>
    <t>26/01/2026 SE DA AVISO AL SERVICIO TECNICO</t>
  </si>
  <si>
    <t xml:space="preserve">Los cristales de la puerta principal y sus laterales cimbrean </t>
  </si>
  <si>
    <t>28/01/2026 SE DA AVISO AL SERVICIO TECNICO                                              11/02/2026 ACUDEN EL 12/02
13/02/2026 SE HA CAÍDO UNA LOSA DE LA PUERTA, SE LA HAN LLEVADO PARA COMPROBA LA MISMA Y SUSTITUIRLA                                              16/02/2026 RECLAMADO                                                                                            26/02/2026 AÚN NO LES HA LLEGADO LA LOSA</t>
  </si>
  <si>
    <t>WC de clientes echa agua por el lavabo</t>
  </si>
  <si>
    <t>28/01/2026 SE DA AVISO AL SERVICIO TECNICO                                    11/02/2026 ACUDEN EL 12/02
13/02/2026 TIENEN QUE PEDIR MATERIAL, GOMA                                           16/02/2026 RECLAMADO</t>
  </si>
  <si>
    <t>Buenos días, por favor es necesario limpiar las bandejas que están debajo de los aparatos de aire porque están sucias y con agua.</t>
  </si>
  <si>
    <t>28/01/2026 SE DA AVISO AL SERVICIO TECNICO -  SE REALIZARA EN EL SIGUIENTE PM                                                                                               13/02/2026 RECLAMADO                                                                             18/02/2026 RECLAMADO CONFIRMEN FECHA PM</t>
  </si>
  <si>
    <t>Cuando se realice el mantenimiento preventivo (Febrero 2026)</t>
  </si>
  <si>
    <t>Urinario en baño de chicos atascado. Cuanto pulsan el botón de la cisterna, sale todo el agua hacia fuera llenando todo el suelo de agua</t>
  </si>
  <si>
    <t>26/01/2026 SE DA AVISO AL SERVICIO TECNICO - ACUDEN EL 29/01</t>
  </si>
  <si>
    <t>LA CORTINA DE AIRE DE LA ENTRADA HA DEJADO DE FUNCIONAR DESDE AYER. NECESITAMOS QUE VENGAN A REVISARLA. HEMOS REVISADO EL CUADRO ELECTRICO Y ESTA TODO FUNCIONANDO.</t>
  </si>
  <si>
    <t>28/01/2026 SE DA AVISO AL SERVICIO TECNICO - ACUDEN HOY</t>
  </si>
  <si>
    <t>Maneta interna del rack fuera del perno y detector de apertura descolgado-La maneta interna de la puerta del Rack y cajeros se ha salido al no soportar la base de la maneta la sujeción con la puerta, nos hemos quedado con ella en la mano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</si>
  <si>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</si>
  <si>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 xml:space="preserve">Necesitamos se PINTE y coloque de nuevo la luminaria </t>
  </si>
  <si>
    <t>30/01/2026 SE DA AVISO AL SERVICIO TECNICO                                       13/02/2026 RECLAMADO                                                                           16/02/2026 RECLAMADO
18/02/2026 SE PINTARA LA SEMANA QUE VIENE A PARTIR DE LAS 16:00                                                                                                                  25/02/2026 ACUDIRAN EL JUEVES 26/02                                             06/03/2026 SIGUEN PINTANDO, TENIAN MÁS ZONAS QUE REPASAR- ME ENVIAN VIDEO TIENEN DUDAS CON EL RAL. HABLO CON ALMU ME DICE QUE STEEL CASE HA PINTADO DESPUES DE LAS OBRAS. LLAMO A BRUNO Y ME INDICA QUE HAN UTILIZADO EL MISMO RAL 9003 PARA TODO Y QUE HAY UN BOTE QUE DEJARON. INFORMO A BOJUNA.                                        11/03/2026 RECLAMADO CONFIRMEN SI HAN TERMINADO PARA PEDIR LA EMERGENCIA - TERMINAN EL VIERNES ACUDIRAN A LAS 08:00</t>
  </si>
  <si>
    <t xml:space="preserve">SUMINISTRO Y SUSTITUCION DE EMERGENCIAS - CORRECTIVO OCA </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</si>
  <si>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
04/06/2026 RECLAMADO
23/06/2026 ACUDEN HOY A SUSTITUIRLAS</t>
  </si>
  <si>
    <t xml:space="preserve">Hay un olor muy desagradable en la oficina, huele a cañería y tenemos quejas del clientes y gestores </t>
  </si>
  <si>
    <t>03/02/2026 SE DA AVISO AL SERVCIO TECNICO                                            16/02/2026 RECLAMADO
20/02/2026 ACUDIRAN EL 26/02                                                                                12/05/2026   SE APLICARA LIMPIADOR / AMBIENTADOR EN EVAPORADORA EN EL PROXIMO MANTENIMIENTO PREVENTIVO</t>
  </si>
  <si>
    <t xml:space="preserve">ARREGLO CAJA DE EXTRACCIÓN 
INSTALACIÓN NUEVO CABLEADO PARA ALIMENTAR EXTRACTOR </t>
  </si>
  <si>
    <t xml:space="preserve">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
22/07/2026 ME INDICA JUANA QUE PUEDE ACUDIR A LAS 07:00 EL 11/08. CONSULTO CON PACO
28/07/2026 RECLAMADO, ME INDICA QUE INCAL NO PUEDE ESE DÍA, TENDRÍA QUE SER EL 03  O EL 04/08, JUANA NO VUELVE DE VACACIONES HASTA EL LUNES 03/08, CONSULTAR CON ELLA SI PUEDE SER EL MARTES 04/08 U OTRA FECHA. 
JUANA 682345180 Y MAIL JUANA.LEON@ING.COM
14/08/2026 Se instalara en la semana del 17 al 21 de agosto </t>
  </si>
  <si>
    <t>Hablará Dolores con Juana</t>
  </si>
  <si>
    <t>Plaga hormigas puesto seguridad físisca of costa rica</t>
  </si>
  <si>
    <t>03/02/2026 SE DA AVISO AL SERVICIO TECNICO</t>
  </si>
  <si>
    <t xml:space="preserve">REALIZAR CORRECTIVOS SOLICITADOS POR ANTICIMEX </t>
  </si>
  <si>
    <t>05/02/2026 SE PASA WO PARA REALIZAR CORRECTIVOS SOLIITADOS POR ANTICIMEX</t>
  </si>
  <si>
    <t>La puerta de emergencia interior de la planta 1 está bloqueada y la barra de apertura está partida</t>
  </si>
  <si>
    <t>02/02/2026 SE DA AVISO AL SERVICIO TECNICO - ACUDEN EL 05/02
13/02/2026 RECLAMADO                                                                             16/02/2026 RECLAMADO
17/02/2026 ACUDEN HOY PARA SUSTITUIR LAS BARRAS PARTIDAS DE PTA DE EMERGENCIAS</t>
  </si>
  <si>
    <t>Hola, necesitamos que cambien la aspiradora pues no aspira bien. Al reclamarlo han vuelto a darle una que hace tiempo le cambiaron porque no aspiraba bien y pesa mucho, por lo que no la pueden subir a la planta 1. Gracias</t>
  </si>
  <si>
    <t>03/02/2026 SE DA AVISO AL SERVICIO DE LIMPIEZA                         10/02/2026 SE ENTREGA ESTA SEMANA
13/02/2026 RECLAMADO NOS CONFIRMEN ENTREGA</t>
  </si>
  <si>
    <t>Necesitamos que vengan a arreglar la barra de la puerta de emergencia trasera. La barra esta suelta y en cuanto la presionas se va al suelo. es necesario fijarla de alguna manera.</t>
  </si>
  <si>
    <t>02/02/2026 SE DA AVISO AL SERVICIO TECNICO</t>
  </si>
  <si>
    <t>REVISAR PERNIOS DE LA PUERTA DE ENTRADA</t>
  </si>
  <si>
    <t>03/02/2026 SE DA AVISO A CERRAJEROSQUE ACUDIERON A SOLDAR LOS PERNIOS A PETICION DE ALVARO, TIENEN QUE AGUANTAR UN PAR DE MESES MÁS, ING VA A CAMBIAR LA PUERTA
06/02/2026 ACUDEN EL LUNES 09/02, ALVARO AVISA QUE YA CASI NO PUEDEN ABRIR Y CERRAR LA PUERTA.                                                         13/02/2026 RECLAMADO                                                                                                16/02/2026 RECLAMADO</t>
  </si>
  <si>
    <t xml:space="preserve">POR FAVOR NECESITAMOS QUE VENGAN A ARREGLAR LA MANILLA DEL VESTUARIO MASCULINO </t>
  </si>
  <si>
    <t>03/02/2026 SE DA AVISO AL SERVICIO TECNICO                                    13/02/2026 RECLAMADO                                                                      18/02/2026 RECLAMADO</t>
  </si>
  <si>
    <t xml:space="preserve">SUMINISTRO Y SUSTITUCION DE LUMINARIAS FUNDIDAS </t>
  </si>
  <si>
    <t>03/02/2026 SE FACILITA WO                                                                13/02/2026 RECLAMADO                                                                       16/02/2026 RECLAMADO</t>
  </si>
  <si>
    <t>El rótulo de la fachada exterior trasera parpadea</t>
  </si>
  <si>
    <t>02/02/2026 SE DA AVISO AL SERVICIO TECNICO                                          09/02 ACUDEN DEJAN APAGADO ESE ROTULO
18/02/2026 FUENTE DE ALIMENTACIÓN PEDIDA                          
13/03/2026 RECLAMADO
17/03/2026 RECLAMADO</t>
  </si>
  <si>
    <t xml:space="preserve">Enganche para acercar o alejar la TV de la pared se encuentra estropeado - Puesto 2(0068622) el enganche para acercar o alejar la TV de la pared se encuentra roto y se suelta al manipularla para acceder al cableado trasero </t>
  </si>
  <si>
    <t>09/02/2026 SE DA AVISO AL SERVICIO TÉCNICO
13/02/2026 RECLAMADO                                                                                       26/02/2026 RECLAMADO - HAY QUE COMPRAR NUEVO SOPORTE, NO SE PUEDE ARREGLAR                                                                  
03/03/2026 COMENTO CON MARCOS
18/03/2026 ME COMENTA MARCOS QUE NO SE LLEVA DESDE SERVICIOS GENERALES Y QUE TIENEN QUE PREGUNTAR A CAROLINA CODINA. INFORMO A DIEGO</t>
  </si>
  <si>
    <t>SOLICITAMOS DOS PERCHEROS PARA EL VESTUARIO</t>
  </si>
  <si>
    <t>11/02/2026 SE DA AVISO AL SERVICIO TECNICO                                               16/02/2026 RECLAMADO
20/02/2026 ACUDIRAN EL 26/02</t>
  </si>
  <si>
    <t xml:space="preserve">TENEMOS LA TRITURADORA DEL BAÑO DE LAS CHICAS QUE SUENA MUY MAL Y TENEMOS OTRO BAÑO QUE PIERDE AGUA. </t>
  </si>
  <si>
    <t>12/02/2026 SE DA AVISO A SERVICIO TECNICO
13/02/2026 SUSTITUYEN UNO DE LOS TRITURADOES Y ARREGLAN EL OTRO. NOS MANDARAN PRESUPUESTO PARA TENER DE REPUESTO MODELO QUE SE HA SUSTITUIDO</t>
  </si>
  <si>
    <t xml:space="preserve">Se ha caido uno de los paneles naranjas del kiosko , necesitamos que acudan a ponerlo bien y que no vuelva a caerse </t>
  </si>
  <si>
    <t>09/02/2026 SE DA AVISO AL SERVICIO TÉCNICO
13/02/2026 RECLAMADO                                                                      16/02/2026 RECLAMADO</t>
  </si>
  <si>
    <t>Buenos días, se solicita revisión de la red de los kiosko e impresora, así como certificar los cables de electrónica y red.</t>
  </si>
  <si>
    <t>13/02/2026 SE DA AVISO AL SERVICIO TECNICO</t>
  </si>
  <si>
    <t xml:space="preserve">NECESITAMOS QUE NOS ARREGLEN EL ESCALÓN ROTO QUE OS ADJUNTO EN LA FOTO. </t>
  </si>
  <si>
    <t>12/02/2026 SE DA AVISO A SERVICIO TECNICO</t>
  </si>
  <si>
    <t xml:space="preserve">La puerta lleva rota desde que antes de que el coordinador fuera coordinador de la oficia, es necesario cambiarla. No se pueden pedir videos al desconocer la fecha. </t>
  </si>
  <si>
    <t>11/02/2026 PASADO PRESUPUESTO SEIJO PARA COLOCACION NUEVO CRISTAL DE METACRILATO EN PUERTA DEL RACK
12/02/2026 PRESUESTO APROBADO, PENDIENTE PLANIFICACION CUANDO SE RECIBA MATERIAL                                                                                    20/02/2026 ACUDIRAN EL MARTES 24/02                                           24/02/2026 ACUDEN HOY A SUSTITUIR EL METACRILATO</t>
  </si>
  <si>
    <t>Necesitamos limpieza de la oficina antes de la apertura con servicio de acuda incluido, debido a las obras que estamos teniendo en la misma.</t>
  </si>
  <si>
    <t>18/02/2026 SE DA AVISO AL SERVICIO DE LIMPIEZA - SEGURIDAD ESTÁ PONIENDO PROBLEMAS PARA EL ACUDA
ACUDIRAN MAÑANA DE 06:00 A 09:00</t>
  </si>
  <si>
    <t>Necesitamos que venga servicio de limpieza con acuda , para antes de la apertura de la oficina el lunes 23 de febrero . Ya que este fin de semana trabajan en la obra de reforma de la oficina. Gracias</t>
  </si>
  <si>
    <t>19/02/2026 SE DA AVISO A GARNICA Y SE COORDINA CON SEGURIDAD PARA EL LUNES</t>
  </si>
  <si>
    <t>Se ha roto la barra para abrir la puerta de la entrada. Se han roto ambas soldaduras y se ha soltado la barra. Estaba recién soldada y casi le cae a un cliente encima. La hemos retirado por completo.</t>
  </si>
  <si>
    <t xml:space="preserve">16/02/2026 SE DA AVISO AL SERVICIO TECNICO
18/02/2026 RECLAMADO                                                                                 25/02/2026 ACUDIRAN EL VIERNES 27/02                                                              03/03/2026 ACUDE EL TECNICO,  SE LLEVA PIEZA DE LA PUERTA AL TALLER PARA HACERLE UN "REMACHE". Irá el lunes de 14:00 a 16:00 cuando estén cerrados al público. </t>
  </si>
  <si>
    <t>Se solicita Regleta electrica de 4 tomas para el puesto 3 de la oficina de Cordoba</t>
  </si>
  <si>
    <t>18/02/2026  SE DA AVISO AL SERVICIO TECNICO SUMINISTAR E INSTALAR REGLETA</t>
  </si>
  <si>
    <t>Solicitamos servicio extra de limpieza para planta 1 el domingo 22/02/2026 de 18h-20h</t>
  </si>
  <si>
    <t>20/02/2026 AGENDADO CON GARNICA Y SEGURIDAD</t>
  </si>
  <si>
    <t xml:space="preserve">VOLVEMOS A TENER FILTRACIONES DE AGUA EN LA OFICINA </t>
  </si>
  <si>
    <t>16/02/2026 SE DA AVISO AL SERVICIO TECNICO                                              18/02/2026 Se acude a revisar filtraciones pero al llegar observamos que han cerrado el mismo sitio donde se produjeron la otra vez sin dejar un registro. Se puede quitar la media placa que se puso entera para no volver a dejar un agujero pero han de ser dos personas. Pendiente confirmar cuando pueden volver.                                                                                        03/03/2026 RECLAMADO                                                                                       11/03/2026 RECLAMADO</t>
  </si>
  <si>
    <t>Una de las cortinas que tenemos en el escaparate de la oficina se ha caido y necesitamos que venga alguien a volver a instalarla. Se nos ha caido el otro estor de la oficina, hace aproximadamente 1 mes abrimos incidencia por un estor que se ha caido de la oficina, ahora se nos ha caido el otro, vinieron a ponerlo, pero como está a mucha altura del suelo una persona sola no lo pudo poner, pues ahora nos tienen que poner los 2, Gracias</t>
  </si>
  <si>
    <t>17/02/2026 SE DA AVISO AL SERVICIO TECNICO - TIENEN QUE ACUDIR 2 TECNICOS                                                                                 
02/03/2026 RECLAMADO 
03/03/2026 PAULA ABRE OTRO TICKET SE HA CAÍDO OTRO ESTOR - ACUDEN LOS CHICOS HOY - NOS INDICAN QUE LOS ESTORES ESTAN ROTOS - A LA ESPERA DE QUE ME CONFIRMEN SI PUEDEN ENCARGARSE ELLOS O PASARLO A BOJUNA
04/03/2026 me dice que se dañaron los ejes al caer y están doblados por lo que mejor será que los cambies completos aunque quizás esa empresa los pueda aprovechar</t>
  </si>
  <si>
    <t>NECESITAMOS QUE NOS CAMBIEN LAS LUCES FUNDIDAS DEL ALMACEN. ADJUNTO FOTO.</t>
  </si>
  <si>
    <t>17/02/2026 SE DA AVISO AL SERVICIO TECNICO</t>
  </si>
  <si>
    <t xml:space="preserve">SELLADO VIDRIO EN FACHADA </t>
  </si>
  <si>
    <t>19/02/2026 SE DA AVISO URGENTE POR SEGURIDAD</t>
  </si>
  <si>
    <t>Solicitamos limpieza de obra lunes 02/03 antes de la apertura de la oficina a las 8:30 con servicio de vigilancia.</t>
  </si>
  <si>
    <t>26/02/2026 SE COORDINA LIMPIEZA Y VIGILANTE</t>
  </si>
  <si>
    <t xml:space="preserve">ACACIAS </t>
  </si>
  <si>
    <t>Limpieza cuarto de comunicaciones y retirar cajas vacias</t>
  </si>
  <si>
    <t>23/02/2026 SE DA AVISO A GARNICA</t>
  </si>
  <si>
    <t>La mesa de gestor puesto 5 tiene la pata rota en su base, la mesa está inestable y con riesgo de caída. Creo que se puede reparar fijando con soportes o encolando la pata de la mesa</t>
  </si>
  <si>
    <t>25/02/2026 SE DA AVISO AL SERVICIO TECNICO</t>
  </si>
  <si>
    <t>Limpieza cuarto de comunicaciones y sala de cajeros y retirar cajas vacias</t>
  </si>
  <si>
    <t>AIRE ACONDCIONADO RACK PRIMARA PLANTA NO ENFRIA BIEN LIMPIEZA CON DESENGRASANTE</t>
  </si>
  <si>
    <t>27/02/2026 SE DA AVISO AL SERVICIO TÉCNICO                                                    La unidad de climatización 1x1 de Mitsubishi del CPD estaba bloqueada ,se apaga para que arranque la unidad exterior que presenta su batería mucha suciedad y aun que se limpia con una manguera y agua, no ha mejorado suficiente. La presión es alta para la temperatura exterior que hace ahora.
El ventilador y batería interior está también muy tupida.Es necesario la limpieza con desengrasante desmontando tanto la unidad exterior e interior y luego ya comprobar su presión de trabajo.
04/03/2026 OK DE SEIJO, PENDIENTE PLANIFICACION
05/03/2026 ACUDIRAN EL 10/03                                                                                09/03/2026 PREVISION DE LLUVIAS SE POSPONE AL 12/03</t>
  </si>
  <si>
    <t>En el grupo electrógeno hay algo de aceite, tiene alguna fuga.</t>
  </si>
  <si>
    <t>27/02/2026 SE DA AVISO AL SERVICIO TÉCNICO                           
02/03/2026 Revisión grupo Electrógeno. Hay mancha de aceite. Puede ser que lo llenarán demasiado y por eso se sale. Se deja en observación.                                                                                                11/03/2026 LO COMPROBARAN DE NUEVO EL 12/03                                   31/03/2026 RECLAMADO</t>
  </si>
  <si>
    <t xml:space="preserve">FOCOS DE LUZ PEGADOS A LAS COLUMNAS EN PLANTA ALTA EN ZONA DE CLIENTES. PARPADEAN 2 BOMIBILLAS. CAMBIAR </t>
  </si>
  <si>
    <t>27/02/2026 SE DA AVISO AL SERVICIO TÉCNICO                                 
PEDIDO LUMINARIAS PARA SUSTITUIR - PENDIENTE MATERIAL</t>
  </si>
  <si>
    <t xml:space="preserve">PUERTA NARANJA METALICA ACCESO CALLE - hay veces que no cierra, se queda abierta, como si el muelle hubiera perdido fuerza. </t>
  </si>
  <si>
    <t>27/02/2026 SE DA AVISO AL SERVICIO TÉCNICO</t>
  </si>
  <si>
    <t>PUERTA DE ACCESO BLANCA ACRISTALADA NO CIERRA OK</t>
  </si>
  <si>
    <t>INCIDENCIA CORTINA DE AIRE</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</si>
  <si>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
31/08/2026 HAGO HINCACPIE EN INSTALAR LA CORTINA ANTES DE QUE EMPIECE EL OTOÑO O LO RECLAME CRISTINA
09/09/2026 INSISTO INSTALAR LO ANTES POSIBLE
11/09/2026 RECLAMADO  NUEVAMENTE</t>
  </si>
  <si>
    <t>Nuevo proveedor?</t>
  </si>
  <si>
    <t>Señalitica "SIN SALIDA" mal colocada en medio de la puerta - Cambio de la señal de salida que esta colocada en medio de la puerta y ponerla en la parte superior de la puerta</t>
  </si>
  <si>
    <t>25/02/2026 SE DA AVISO AL SERVICIO TECNICO - ACUDEN MAÑANA 26/02
27/02/2026 CARTEL PEDIDO                                                                               10/03/2026 RECLAMADO- NO HAN RECIBIDO EL CARTEL AUN                     31/03/2026 RECLAMADO - NO LO HAN RECIBIDO AUN
01/04/2026 HAN RECIBIDO CARTEL, ACUDEN HOY A COLOCARLO</t>
  </si>
  <si>
    <t xml:space="preserve">Certificación de cables de RED de DATOS de Puestos Kiosko e Impresora Kiosko </t>
  </si>
  <si>
    <t>26/02/2026 SE DA AVISO AL SERVICIO TÉCNICO
27/02/2026 IRAN EL VIERNES DE LA SEMANA QUE VIENE 6/03 - AVISO A ANTONIO SANCHEZ PARA QUE ESTÉ PENDIENTE PARA LA ASISTENCIA</t>
  </si>
  <si>
    <t xml:space="preserve">Revisar cableado de todos los estores de la oficina (plta baja y alta). odos los cables sueltos tienen que quedar recogidos. Tapar huecos. </t>
  </si>
  <si>
    <t>23/02/2026 SE DA AVISO AL SERVICIO TECNICO
25/02/2026 TAPARA LOS HUECOS PERO ME INDICAN QUE ES MEJOR QUE SE ENCARGUE LA EMPRESA INSTALADORA DEL ASUNTO DE LOS ESTORES.                                                                                                                                       10/03/2026 ACUDIRAN MAÑANA A TAPAR HUECOS</t>
  </si>
  <si>
    <t>Rodapié roto en el vestuario de chicos, necesitamos se repare.</t>
  </si>
  <si>
    <t>23/02/2026 SE DA AVISO AL SERVICIO TECNICO</t>
  </si>
  <si>
    <t xml:space="preserve">REVISAR CABLEADO DE TODOS LOS ESTORES DE LA OFICINA (PLANTA BAJA Y ALTA) - TODOS LOS CABLES SUELTOS TIENEN QUE QUEDAR RCOGIDOS. </t>
  </si>
  <si>
    <t>25/02/2026SE DA AVISO AL SERVICIO TECNICO DE BOJUNA PARA QUE SE ENCARGUE BANDALUX                                                          
05/03/2026 RECLAMADO
06/03/2026 PASADO PRESUPUESTO A SEIJO
17/03/2026 OK, PENDIENTE PLANIFICACIÓN                                              31/03/2026 RECLAMADO -  ME INDICAN DESPUES DE SEMANA SANTA                                                                                                                 08/04/2026 RECLAMADO                                                                                                 14/04/2026 ESTAN HOY EN VALENCIA</t>
  </si>
  <si>
    <t>Solicitud de limpieza de cuarto de comunicaciones y sala de cajeros. hay cajas y hay que retirarlas</t>
  </si>
  <si>
    <t>Solicitud limpieza obra lunes 09/03 antes de apertura a las 8:30 para las tres plantas de la oficina</t>
  </si>
  <si>
    <t>04/03/2026 SE AGENDA CON GARNICA Y SEGURIDAD</t>
  </si>
  <si>
    <t>El baño de clientes se ha desbordado el WC y llenado el suelo de agua -</t>
  </si>
  <si>
    <t>06/03/2026 SE DA AVISO AL SERVICIO TECNICO
06/03/2026 ACUDIRAN LA SEMANA QUE VIENE, ES EL MISMO WC</t>
  </si>
  <si>
    <t>SUBSANACIONES DEFICIENCIAS BT 2025</t>
  </si>
  <si>
    <t>04/03/2026 SE FACILITA WO
05/03/2026 ACUDIRAN EL 9/03 Y 10/03</t>
  </si>
  <si>
    <t>LIMPIEZA DESPUES DE LAS OBRAS EN ZONAS CONCRETAS - Hay zonas sobre todo en los cristales de la fachada por dentro que hay que limpiar se puede realizar por dentro , y zonas de altura adjuntamos foto , gracias!</t>
  </si>
  <si>
    <t>06/03/2026 SE DA AVISO AL SERVICIO DE LIMPIEZA
Lo dejamos en espera. Al parecer no han terminado las obras. Cuando este todo ok aprovechamos y hacemos esto junto a la limpieza semestral que teníamos pendiente</t>
  </si>
  <si>
    <t>Se nos ha descolgado uno de los focos. esta apunto de caerse. esta justo encima de los cajeros.</t>
  </si>
  <si>
    <t>03/03/2026 SE DA AVISO AL SERVICIO TÉCNICO</t>
  </si>
  <si>
    <t xml:space="preserve">La tapa del wc se mueve pq tiene una pieza rota. Cambiar pieza </t>
  </si>
  <si>
    <t>04/03/2026 FACILITO WO</t>
  </si>
  <si>
    <t xml:space="preserve">SE HA ROTO EL TENSOR DE LA PUERTA - </t>
  </si>
  <si>
    <t>03/03/2026 SE DA AVISO AL SERVICIO TÉCNICO -
04/03/2026 INTENTARAN ACUDIR HOY PARA VERLO Y SABER QUE LES HACE FALTA Y PREPARARLO.                                                                                               05/03/2026 Colocan una maneta y retiramos el tirador ya que es peligroso de poder caerse y dar
un golpe a alguien. Cuando tengamos el tirador soldado volveremos a instalarlo.
11/03/2026 RECLAMADO
13/03/2026 RECLAMADO, ME DICE ALEJANDRO QUE AÚN NO HAN VUELTO 20/03/2026 TIRADOR SOLDADO EN TALLER, IRAN A COLOCARLO LUNES O MARTES DE LA SEMANA QUE VIENE</t>
  </si>
  <si>
    <t>04/03/2026 SE FACILITA WO
05/03/2026 ACUDIRAN EL 11/03</t>
  </si>
  <si>
    <t>SUMINISTRO SANITRIT BAÑO MINUSVALIDOS PARA STOCK</t>
  </si>
  <si>
    <t>04/03/2026 SE FACILITA WO</t>
  </si>
  <si>
    <t>TENGO QUE LIMPIAR TECHO DE SALA DE REUNIONES MANCHADO POR COLOCACIÓN DE ELEMENTOS DE SECURITAS</t>
  </si>
  <si>
    <t>05/03/2026 SE DA AVISO A GARNICA</t>
  </si>
  <si>
    <t>Limpieza cuarto comunicaciones y retirar cajas</t>
  </si>
  <si>
    <t>06/03/2026 SE DA AVISO AL SERVICIO DE LIMPIEZA
PATRI ME INDICA QUE SE HIZO LIMPIEZA LA SEMANA PASADA Y QUE LAS CAJAS SINO SE HAN TIRADO ES PORQUE CONTIENEN ALGO. INFORMO A DIEGO PARA QUE ME CONFIRME- OK</t>
  </si>
  <si>
    <t xml:space="preserve">BACKLIGHT descolgados - Tenemos los backlights muy deteriorados, hasta el punto que está desprendido de 1 lado y puede que se caiga - El enganche del techo que puede suponer un peligro si se llega a desprender </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</si>
  <si>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</si>
  <si>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SE HAN CAIDO DOS ESTORES, SE HAN DAÑADO LOS EJES Y ESTAN DOBLADOS - SALAMANCA</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</si>
  <si>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
04/06/2026 RECLAMADO
11/06/2026 RECLAMADO
02/07/2026 LOS INSTALAN HOY - Han instalado uno, el otro iran el lunes o martes de la semana que viene, necesitan una escalera más alta.</t>
  </si>
  <si>
    <t xml:space="preserve">En los vestuarios se han fundido varias bombillas. Necesitamos sustitución. </t>
  </si>
  <si>
    <t>04/03/2026 SE DA AVISO AL SERVICIO TÉCNICO
06/03/2026 ACUDEN HOY
20/03/2026 ME INDICAN QUE ACUDIRAN EL MARTES 24</t>
  </si>
  <si>
    <t>Tenemos atasco en los lavabos y water y se han desbordado. Por favor necesitamos asistencia urgente</t>
  </si>
  <si>
    <t>06/03/2026 SE DA AVISO URGENTE. ACUDE TÉCNICO ESTA MISMA TARDE</t>
  </si>
  <si>
    <t>NECESITAMOS NOS REPONGAN UNA LUZ DEL TECHO DEL BAÑO DE LAS CHICAS QUE SE HA FUNDIDO.</t>
  </si>
  <si>
    <t>05/03/2026 SE DA AVISO Al SERVICIO TECNICO</t>
  </si>
  <si>
    <t xml:space="preserve">NO FUNCIONA LA CISTERNA DEL BAÑO DE CLIENTES </t>
  </si>
  <si>
    <t>06/03/2026 SE DA AVISO AL SERVICIO TECNICO</t>
  </si>
  <si>
    <t>Reparar cerradura Mueble del puesto de atención rápida</t>
  </si>
  <si>
    <t>06/03/2026 SE DA AVISO AL SERVICIO TÉCNICO</t>
  </si>
  <si>
    <t xml:space="preserve">DebaJo de los Kioskos se ve cableado electrico sin proteccion, ni canalizar. </t>
  </si>
  <si>
    <t>10/03/2026 SE DA AVISO AL SERVICIO TECNICO
17/03/2026 RECLAMADO - ME INDICA EIFFAGE QUE NO LE HAN DEJADO HACER NADA CON RESPECTO A ESTE TEMA. POR LO VISTO SON REMATES DE LA OBRA Y SE TIENE QUE ENCARGAR STEELCASE -  INFORMO A DIEGO</t>
  </si>
  <si>
    <t xml:space="preserve">Atasco en baño planta baja </t>
  </si>
  <si>
    <t>11/03/2026 SE DA AVISO AL SERVICIO TECNICO</t>
  </si>
  <si>
    <t>EL EQUIPO DE CLIMATIZACION DE ERROR - HAY VARIAS ZONAS DONDE EL SISTEMA MUESTRA ERROR. NECESITAMOS QUE VENGAN A REVISARLO.</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</si>
  <si>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                                                                                  30/04/2026 ACUDIRA JESUS EL MARTES 05/05 PARA HACER TECHO REGISTRABLE</t>
  </si>
  <si>
    <t xml:space="preserve">ATASCO BAÑO MINUSVALIDOS </t>
  </si>
  <si>
    <t>12/03/2026 SE DA AVISO AL SERVICIO TÉCNICO
13/03/2026 IRAN 2 TECNICOS EL LUNES 16/03</t>
  </si>
  <si>
    <t>No se puede cerrar la trampilla donde se conectan los cables, estos sobresalen mucho</t>
  </si>
  <si>
    <t>11/03/2026 SE DA AVISO AL SERVICIO TECNICO
17/03/2026 RECLAMADO</t>
  </si>
  <si>
    <t xml:space="preserve">La lámpara del kiosko se ha desprendido del techo. Se adjunta foto. </t>
  </si>
  <si>
    <t>09/03/2026 SE DA AVISO AL SERVICIO TECNICO</t>
  </si>
  <si>
    <t>Fallo en toma corriente - En la planta baja, en la primera mesa de gestor la toma que hay para corriente de enchufe y USB no funciona. Se vertió agua. Necesitamos revisión.</t>
  </si>
  <si>
    <t>11/03/2026 SE DA AVISO AL SERVICIO TECNICO
16/03/2026 TECNICO ACUDE HOY</t>
  </si>
  <si>
    <t>El hilo musical no se escucha, se contacta con la empresa e indican que está correcto que parece fallo del cable que conecta el sonido con los altavoces. Aconseja que lo revise un técnico.</t>
  </si>
  <si>
    <t>13/03/2026 SE DA AVISO AL SERVICIO TÉCNICO
16/03/2026 TECNICO ACUDE HOY</t>
  </si>
  <si>
    <t xml:space="preserve">SOLICITAMOS REFUERZO DE LIMPIEZA EN LA OFICINA DE TENERIFE PARA ESTA TARDE YA QUE ESTAMOS EN OBRAS Y EL FIN DE SEMANA NO HAN VENIDO </t>
  </si>
  <si>
    <t xml:space="preserve">09/03/2026 NO NOS AVISARON DE QUE ESTABAN CON LAS OBRAS NI QUE NECESITABAN LIMPIEZA EXTRA. SE PUSO 1 HORA EXTRA CADA DÍA. SE DA AVISO PARA ACUDIR ESTA TARDE - </t>
  </si>
  <si>
    <t xml:space="preserve">Certificación de cables de RED de DATOS de Puesto Kiosko 002-necesitamos que se revise, conecte y certifique el cable de red de datos del puesto kiosko 002. El PC conectado no muestra link ni muestra información de MAC en Switches. </t>
  </si>
  <si>
    <t>10/03/2026 SE DA AVISO AL SERVICIO TÉCNICO - FACILITAMOS MOVIL DE ANTONIO SANCHEZ PARA VERIFICACIONES. NOS TIENEN QUE CONFIRMAR FECHA
13/03/2026 RECLAMADO - ACUDIRAN EL 25/03, EN FALLAS ES MUY DIFICIL ACCEDER A ESA ZONA</t>
  </si>
  <si>
    <t>SUMINISTRAR Y COLOCAR EMERGENCIA QUE FALTA EN PLANTA ALTA</t>
  </si>
  <si>
    <t>13/03/2026 SE DA AVISO AL SERVICIO TÉCNICO</t>
  </si>
  <si>
    <t>Solicitamos limpieza final de obra para el lunes 06/04 antes de la apertura, limpieza de las 3 plantas de la oficina y cristales por trabajos de remates de obra durante los festivos de Semana Santa.</t>
  </si>
  <si>
    <t>30/03/2026 COORDINAMOS CON LIMPIEZA Y SEGURIDAD</t>
  </si>
  <si>
    <t>Solicitamos operario para la reparación de una persiana en la planta baja ya que la cuerda esta rota por lo que no sube a su vez rogamos que revisen todas ya que algunas de ellas están fallando</t>
  </si>
  <si>
    <t>16/03/2026 SE DA AVISO AL SERVICIO TÉCNICO
23/03/2026 BEATRIZ SANCHEZ DE MIGUEL INSISTE- RECLAMO
31/03/2026 RECLAMADO</t>
  </si>
  <si>
    <t>Varias persianas en la planta alta se quedan enganchadas y no se pueden bajar, hay que tirar de ellas para cerrarlas.</t>
  </si>
  <si>
    <t>30/03/2026 Damos aviso al servicio técnico
01/04/2026 ACUDIRAN EL LUNES A REVISAR LAS PERSIANAS DE LA PLANTA ALTA                                                                                                     14/04/2026 RECLAMADO -  ME TIENEN QUE ENVIAR PARTE - YA ESTÁ HECHO</t>
  </si>
  <si>
    <t>8 LEDS DE LAMPARAS DE PIE DE MESA DE GESTOR FUNDIDAS-REEMPLAZAR LEDS LAMPARA MESA GESTOR. IMPORTANTE, MUY POCA LUZ EN LA MESA DE ATENCION AL CLIENTE</t>
  </si>
  <si>
    <t>16/03/2026 SE DA AVISO AL SERVICIO TÉCNICO - ACUDEN HOY - INDICAN QUE HAY QUE CAMBIAR BALASTROS Y BOMBILLAS DE LAS LAMPARAS DE GESTORES. PIDO PRESUPUESTO
18/03/2026 RECIBIDO PRESUPUESTO  - SE PASA WO PARA PONER EN MARCHA
31/03/2026 RECLAMADA PLANIFICACIÓN - NO HAN RECIBIDO MATERIAL AUN                                                                                                                        28/04/2026 MATERIAL RECIBIDO, ACUDEN MAÑANA A INSTALAR LUMINARIAS</t>
  </si>
  <si>
    <t xml:space="preserve">WC CABALAEROS PLANTA BAJA CLEINTES ESTROPEADO. SUELTA AGUA. TENEMOS EL WC CERRADO </t>
  </si>
  <si>
    <t>16/03/2026 SE DA AVISO AL SERVICIO TÉCNICO</t>
  </si>
  <si>
    <t>LIMPIEZA GENERAL OFICINA DIAGONAL DESPUES DE PRIMERA FASE DE OBRAS NOS VISITA NUESTRO CEO</t>
  </si>
  <si>
    <t>26/03/2026 SE INFORMA A GARNICA - LIMPIEZA SE TIENE QUE REALIZAR EL 06/04 - VISITA AT EL 07/04
31/03 SE PLANIFICA LIMPIEZA PARA EL 07/04 DE 6 A 9 DE LA MAÑANA</t>
  </si>
  <si>
    <t>Hola, no cierra el pestillo del baño de clientes. Gracias</t>
  </si>
  <si>
    <t>23/03/2026 SE DA AVISO AL SERVICIO TÉCNICO</t>
  </si>
  <si>
    <t>REPARACION CONDUCTOS ZONA CAJEROS</t>
  </si>
  <si>
    <t>19/03/2026 SE FACILITA PO Y WO
31/03/2026 RECLAMADO- ME INDICAN DESPUES DE SEMANA SANTA                                  07/04/2026 ACUDIRÁ JESUS EL JUEVES 09/04                                              14/04/2026 RECLAMADO, ESTÁ HECHO, FALTAN REMATES</t>
  </si>
  <si>
    <t>Sustitución de luces de emergencias</t>
  </si>
  <si>
    <t>17/03/2026 SE FACILITA WO - PIDEN MATERIAL, PREVISIÓN DESPUES DE SEMANA SANTA                                                                                                  08/04/2026 RECLAMADO - ACUDIRAN LA SEMANA QUE VIENE Y APROVECHARAN PARA REALIZAR EL MANTENIMIENTO PREVENTIVO                                                                                                  28/04/2026 ACUDIRAN EL 05/05</t>
  </si>
  <si>
    <t>LA NEVERA NO CEIRRA LA PUERTA</t>
  </si>
  <si>
    <t>25/03/2026 SE DA AVISO AL SERVICIO TÉCNICO - ACUDIRAN EL 26/03</t>
  </si>
  <si>
    <t>PICAPORTE PUERTA VESTUARIOS FEMENINOS ROTA 
Cambio picaporte aseos porque esta roto el pestillo de cierre</t>
  </si>
  <si>
    <t>23/03/2026 SE DA AVISO AL SERVICIO TÉCNICO - ACUDEN MAÑANA.
31/03/2026 RECLAMADO</t>
  </si>
  <si>
    <t>1. Una de las luces de la oficina de Oviedo que nos instalaron hace unas semanas encima de las mesas de los gestores, no funciona.
2. Ajustar el hilo musical con el cambio de horario.
3. Instalar los nuevos ordenadores en los puestos de autoservicio.
Gracias!</t>
  </si>
  <si>
    <t>31/03/2026 1- AVISO AL DPTO DE PROYECTOS QUE SE ENCARGÓ DEL PROYECTO RELAMPING - ACUDE CÉSAR DE MANTENIMIENTO Y AL FINAL HA SOLUCIONADO INCIDENCIA- PROBLEMAS CONEXIÓN CABLEADO. INFORMO A PROYECTOS
2- PROGRAMADO JUNTO CON EL MANTENIMIENTO PREVENTIVO DEL 2º BIMESTE -  REALIZADO EL 31/03
3 - ESTO NO ES COMPETENCIA DE CBRE, LO VA A REALIZAR LA EMPRESA INENTUM EL PRÓXIMO MARTES 07/04
SE INFORMA A TAMARA DE TODO</t>
  </si>
  <si>
    <t>SE DESOLDO EL TUBO DE AGARRE DE APERTURA Y CIERRE DE PUERTA DE ENTRADA CON LO QUE TENEMOS QUE TENERLA ABIERTA. NECESITAMOS VISITA URGENTE</t>
  </si>
  <si>
    <t>17/03/2026 SE DA AVISO AL SERVICIO TÉCNICO - ACUDEN HOY
18/03/2026 REALIZAN APAÑO PROVISIONAL HASTA QUE PUEDAN ACUDIR A SOLDAR LA BARRA EN HORARIO DE CIERRE DE OFICINA.NOS INFORMARAN
31/03/2026 RECLAMADO                                                                                   10/04/2026 RECLAMADO -  ESTAN BUSCANDO HERRAMIENTAS PARA ARREGLO LA SEMANA QUE VIENE                                                                       15/04/2026 RECLAMADO                                                                           20/04/2026 .Finalmente se procederá a cambiar el tirador de la puerta para que su vida útil sea mayor .Si lo soldamos, en poco tiempo volverá a dar problemas. Se está gestionando.
21/04/2026 SE AGENDA PARA EL VIERNES A LAS 14:30, SOLICITO SERVICIO DE VIGILANTE Y ACUDA PARA EL CIERRE.</t>
  </si>
  <si>
    <t xml:space="preserve">Por favor solicitamos intervención urgente por atasco en las tuberías, el agua desborda por los lavabos y por la sala de limpieza </t>
  </si>
  <si>
    <t xml:space="preserve">18/03/2026 SE DA AVISO AL SERVICIO TÉCNICO - ACUDEN- ATASCO IMPORTANTE, RECOMIENDAN LIMPIEZA A PRESIÓN FUERA DE HORARIO, TUBO TIENE POCA PENDIENTE.
19/03/2026 COMENTO CON DIEGO, HACER EN LA HORA DEL ALMUERZO Y SOLICITAR VIGILANTE. PENDIENTE PLANIFICACION POR PARTE DE PETELEC.
31/03/2026 RECLAMADO                                                                                      10/04/2026 RECLAMADO - RECIBIDO PRESUPUESTO Y ENVIADO A SEIJO      22/04/2026 PRESUPUESTO APROBADO -  PENDIENTE PLANIFICACIÓN FUERA DE HORARIO
24/04/2026 ACUDEN HOY </t>
  </si>
  <si>
    <t>31/03/2026 SE DA AVISO URGENTE AL SERVICIO TÉCNICO - ACUDEN HOY- ARREGLADO- NOS INDICAN QUE FALLA LA CERRADURA ELECTRONICA, NO SE ACTIVA EL WATCH &amp; MOCHI -  INFORMO A DIEGO PARA QUE AVISE A SECURITAS.</t>
  </si>
  <si>
    <t>VISITA CONJUNTA CON METALISTA/CERRAJERO + SECURITAS</t>
  </si>
  <si>
    <t>08/04/2026 SE PASA WO A BOJUNA - ESTAMOS A LA ESPERA DE PLANIFICACION                                                                                           14/04/2026 RECLAMADO.
16/04/2026 SE AGENDA VISITA PARA EL 22/04 A LAS 08:30</t>
  </si>
  <si>
    <t xml:space="preserve">PUERTA BAÑO SEÑORAS ROTA - Tenemos la manivela de la puerta del baño de señoras roto y totalmente descolgado </t>
  </si>
  <si>
    <t>08/04/2026 Damos aviso al servicio técnico - ACUDIRAN EL VIERNES 10 DE ABRIL</t>
  </si>
  <si>
    <t>STORE DESCOLGADO - Tenemos un store totalmente descolgado -</t>
  </si>
  <si>
    <t>08/04/2026 Damos aviso al servicio técnico                                                                             14/04/2026 RECLAMADO                                                                                                              20/04/2026 RECLAMADO - TECNICO ACUDE HOY - POR LA TARDE ME AVISAN QUE VUELVE A NO FUNCIONAR                                                     21/04/2026 HABIA ERROR DE PROGRAMACIÓN Y SE SOLVENTÓ, PIDO ACUDAN HOY DE NUEVO Y COMPROBAR POR SI OTRO PROBLEMA, MOTOR …</t>
  </si>
  <si>
    <t xml:space="preserve">Cerradura puerta rack </t>
  </si>
  <si>
    <t>09/04/2026 SE DA AVISO AL SERVICIO TÉCNICO                                    20/04/2026 RECLAMADO                                                                              06/05/2026 RECLAMADO - VAN HOY</t>
  </si>
  <si>
    <t>WC PLANTA BAJA - El tirador de la ventana del baño de chicos de la primera planta se está soltando. También el tirador de la puerta del mismo wc</t>
  </si>
  <si>
    <t>13/04/2026 SE DA AVISO AL SERVICIO TÉCNICO - TECNICOS ACUDIRAN EL 14/04</t>
  </si>
  <si>
    <t>Sale agua y hay oxido en caldera</t>
  </si>
  <si>
    <t>14/04/2026 SE DA AVISO AL SERVICIO TÉCNICO
28/04/2026 RECLAMADO, ME TIENEN QUE ENVIAR PRESPUESTO. TERMO ROTO
14/05/2026 RECLAMADO
04/06/2026 RECLAMADO -  YA TIENEN TERMO - ACUDIRA EIFFAGE
11/06/2026 RECLAMADO</t>
  </si>
  <si>
    <t>Es necesario engrasar la puerta exterior porque suena mucho</t>
  </si>
  <si>
    <t>16/04/2026 SE DA AVISO AL SERVICIO TÉCNICO</t>
  </si>
  <si>
    <t>HUMEDADES POR PERDIDAS DE AGUA TECHO ATENCION CLIENTES</t>
  </si>
  <si>
    <t>17/04/2026 SE DA AVISO AL SERVICIO TÉCNICO - SEIJO ESTÁ AL TANTO ROTURA BAJANTE - COMUNIDAD AVISADA - ACUDE TECNICO HOY PARA REVISAR TECHO DE PLADUR, RETIRAR PLACAS Y DELIMITAR AREA SI NECESARIO PARA EVITAR RIESGOS DE CAÍDA O INCIDENTE.                                                                                                                                           20/04/2026 ACUDE DE NUEVO ESTA MAÑANA PARA COMPROBAR DE NUEVO DAÑOS, NO HAY RIESGO. HAN HABLADO CON EL ADMINISTRADOR, CONFIRMAN ROTURA CODO DE LA BAJANTE GENERAL, VAN A ESPERA A QUE SE SEQUE PARA QUE ACUDA EL SEGURO A PINTAR. CIERRO TICKET Y LE INDICO A TAMARA QUE NOS AVISE SI NECESITA ALGO MÁS POR NUESTRA PARTE.</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</si>
  <si>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</si>
  <si>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</si>
  <si>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 xml:space="preserve">Zocalo roto </t>
  </si>
  <si>
    <t>15/04/2026 SE DA AVISO A SERVICIO TECNICO</t>
  </si>
  <si>
    <t>Estamos teniendo plagas de mosquitas y estamos notando que crece el numero de cucarachas que vemos en la oficina.</t>
  </si>
  <si>
    <t>22/04/2026 Damos aviso a DDD
24/04/2026 APROBADO PRESUPUESTO                                                            28/04/2026 RECLAMADO ACUDIRAN EL 30/04</t>
  </si>
  <si>
    <t>La luz incrustada en el espejo del baño de empleados parpadea</t>
  </si>
  <si>
    <t>22/04/2026 Damos aviso al servicio técnico - Acudrián mañana.
23/04/2026 Hemos ido esta mañana y está roto el transformador, hemos desconectado toda la tira led.  Lo que proponemos es quitar esa tira led  y poner otra nueva pero a 220v y lo más importante ip66  que no haya problemas con el agua.                                                                                                                  28/04/2026 ACUDIRAN EL 05/05</t>
  </si>
  <si>
    <t>Se ha levantado la alfombrilla que esta justo a la entrada de la oficina. se queda levantada y puede ocasionar caídas.
Levantar alfombrilla y limpiar a fondo - Volver a colocar</t>
  </si>
  <si>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
27/07/2026 La limpieza de la alfombrilla de ING Málaga se va a realizar el viernes 31 de julio 2026, el procedimiento es el siguiente, se va a retirar a última hora de la mañana, antes del cierre, se limpia bien el hueco del suelo que ocupa y nos llevamos la alfombra a limpiar. El lunes a primera hora antes de la apertura se procede a su colocación ya seca.</t>
  </si>
  <si>
    <t>Se nos ha descolgado un estor. el mecanismo eléctrico parece que funciona bien, pero la lona se ha caido.</t>
  </si>
  <si>
    <t xml:space="preserve">13/08/2026 Se da aviso al SP Ikea
14/08/2026 Se solicita informacion del estado de esta incidencia
18/08 Estor está roto, lo retiramos del centro para intentar arreglarlo. Si lo conseguimos arreglar, que es bastante plausible, lo pondremos el viernes, que iremos a hacer el mantenimiento, sino habrá que pedir precio de uno nuevo.
27/08/2026 Reclamo nos informen. CONFIRMAN QUE SE ARREGLO Y COLOCO ESTOR
</t>
  </si>
  <si>
    <t>Tenemos los aires acondicionados a la máxima potencia y en la oficina sigue haciendo mucha calor. Necesitamos revisión.</t>
  </si>
  <si>
    <t>17/08/2026 Se da aviso al servicio tecnico de BBVA de Andalucia - Acuden el 18/08
18/08/2026 Acuden, se debe realizar intervención fuera de horario de apertura de sucursal
Limpiaza baterías de los equipos interiores, principalmente el del altillo y reparar los retornos para que no recojan el aire sobrecalentado del falso techo. Desatascar los desagües de los splits de apoyo, puesto que no los pueden encender por que tiran agua. Se debe evitar el revoque de aire caliente de la descarga de uno de los equipos, cerrando el conducto de aspiración y revisando a su vez presiones.</t>
  </si>
  <si>
    <t>Se nos ha caido un estore - Tras arreglo, el estor sigue cayéndose</t>
  </si>
  <si>
    <t>01/09/2026 Se da aviso al servicio técnico 
04/09/2026 Acude técnico y arregla cordón - Me indica Juanjo que sigue arrastrando. Aviso a Bojuna</t>
  </si>
  <si>
    <t>Plaga de hormigas - Hace unas semanas vinieron para lo mismo, pero siguen apareciendo muchísimas.</t>
  </si>
  <si>
    <t>03/09/2026 AVISO A DDD Y CONSULTO SI NO ES NECESARIO OTRO TIPO DE TRATAMIENTO</t>
  </si>
  <si>
    <t>El aire acondicionado del rack funciona pero no enfría.</t>
  </si>
  <si>
    <t>10/09/2026 Damos aviso urgente al servicio técnico
11/09/2026 Hablo con Julio del equipo de Ikea, no tienen disponibilidad- Paso orden de trabajo al otro equipo móvil, hablo con Iván, tienen técnico disponible para el lunes. Acudirá Ángel Alba.</t>
  </si>
  <si>
    <t>SUMINISTRO DE SANITRIT EN BAÑOS DE MINUSVALIDOS PARA STOCK</t>
  </si>
  <si>
    <t>22/04/2026 RECIBIDO OK DE SEIJO - FACILITO WO PARA PEDIDO DE MATERIAL
24/04/2026 ACUDEN HOY</t>
  </si>
  <si>
    <t>SUSTITUIR EMERGENCIA QUE FALTA</t>
  </si>
  <si>
    <t>24/04/2026 FACILITO WO - ACUDE EL 27/04</t>
  </si>
  <si>
    <t>Detector y bisagra pta entrada a Sala reuniones estropeada-No se cierra bien, parece que o bien la bisagra está desajustada y la pta descolgada o que el sistema de detección automático del techo suelto y frena el cierre de la pta que no queda ajustado</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</si>
  <si>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
04/06/2026 RECLAMO A SECURITAS Y ME INDICAN LO SIGUIENTE "Cuando fueron nuestros técnicos a realizar la resolución de la avería se encontraron que el electroimán de la puerta no estaba, ya que os lo debisteis de llevar para reparar. Por ello la puerta de la sala de reuniones se encuentra constantemente abierta." Necesitamos saber si se ha vuelto a instalar el electroimán o en qué estado se encuentra actualmente la puerta
HABLO CON EIFFAGE, PARA ACLARACION, EN TODO MOMENTO ME HABLARON DE CERRADURA NADA DE ELECTROIMAN, SE LO LLEVO EL TÉCNICO PARA BUSCAR MATERIAL Y LO TENIA EN LA FURGONETA. LO DEVOLVERA HOY A LO LARGO DEL DIA. AVISO A SECURITAS
05/06/2026 ACUDE EIFFAGE Y SECURITAS ... RIFIRAFE .... EIFFAGE TIENE QUE ARREGLAR EL TECHO Y SECURITAS VOLVER A COLOCAR EL ELECTROIMÁN. INDICO QUE ACUDIREMOS EL LUNES A LAS 08:30
08/06/2026 ACUDE TECNICO DE EIFFAGE, NO EL DE SECURITAS - AVISO QUE NOS DIGAN ELLOS FECHA Y HORARIO
11/06/2026 A LA ESPERA DE QUE SECURITAS CONFIRME ASISTENCIA CONJUNTA PARA EL MARTES 16 DE JUNIO A PARTIR DE LAS 11:00. CONFIRMADA
18/06/2026 NO ACUDIO SECURITAS.... ME PROPONEN EL LUNES 22 A LAS 09:00 - CONFIRMADO CON EIFFAGE</t>
  </si>
  <si>
    <t>Solicitamos cambio de bombillas quemadas</t>
  </si>
  <si>
    <t>24/04/2026 Damos aviso al servicio técnico
29/05/2026 RECLAMADO
11/06/2026 ACUDEN HOY</t>
  </si>
  <si>
    <t>SUMINISTRO Y SUSTITUCION EMERGENCIAS ING VIGO</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</si>
  <si>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
31/08/2026 RECLAMADO
03/09/2026 LOS BASTIDORES NO HAN LLEGADO AÚN
09/09/2026 BASTIDORES RECIBIDOS - PENDIENTE PLANIFICACION PARA LA SEMANA QUE VIENE</t>
  </si>
  <si>
    <t xml:space="preserve">Baño de clientes echa agua por la cisterna </t>
  </si>
  <si>
    <t>28/04/2026 SE DA AVISO AL SERVICIO TÉCNICO - ACUDEN HOY - REALIZAN LIMPIEZA DE ARQUETA. 
EN BAÑO DE EMPLEADOS HAY FUGA DE AGUA DEL TERMO, ESTÁ PICADO/ROTO -  MAÑANA ACUDIRÁN CON UNO NUEVO PARA SUSTITUIR.</t>
  </si>
  <si>
    <t>Suministro y sustitución de termo</t>
  </si>
  <si>
    <t>28/04/2026 FACILITO WO</t>
  </si>
  <si>
    <t xml:space="preserve">Cambiar la llave de paso que corta el agua de toda la oficina </t>
  </si>
  <si>
    <t>29/04/2026 FACILITO WO</t>
  </si>
  <si>
    <t>SUJETAR LA LUMINARIA DE EMERGENCIA DE LA COCINA, ESTA DESCOLGADA -</t>
  </si>
  <si>
    <t>28/04/2026 SE DA AVISO AL SERVICIO TECNICO - ACUDIRA 29/04</t>
  </si>
  <si>
    <t>Se nos empañan los cristales frecuentemente, cuando nunca había ocurrido</t>
  </si>
  <si>
    <t>28/04/2026 SE DA AVISO AL SERVICIO TÉCNICO - ACUDEN EL 29/04 - SE CAMBIA HORARIO ENCENDIDO VENTILACION
30/04/2026 AUDITORIA QUIRON, MEDICION HUMEDAD HA SALIDO NORMAL - INDICAN QUE LA ELECTRICIDAD ESTATICA SUELE NOTARSE COMO HUMEDAD, LOS NUEVOS MATERIALES LO SUELEN PRODUCIR. 
MIDEN CO2, INDICN QUE HA SALIDO ALGO ALTO, HABLO CON MARCO, HABLARA CON CESAR PERO YA MODIFICARON HORARIO ENCENDIDO DEL RECUPERADOR.</t>
  </si>
  <si>
    <t>No cierra la puerta exterior</t>
  </si>
  <si>
    <t xml:space="preserve">28/04/2026 SE DA AVISO AL SERVICIO TÉCNICO - </t>
  </si>
  <si>
    <t>AVERIA AIRE ACONDICIONADO- LA CONSOLA DEL AIRE ESTA PARPADEANDO DE MANERA CONTINUA</t>
  </si>
  <si>
    <t>27/04/2026 SE DA AVISIO AL SERVICIO TÉCNICO- ACUDEN HOY</t>
  </si>
  <si>
    <t xml:space="preserve">La Tv ubicada en la oficina de Sevilla tiene red </t>
  </si>
  <si>
    <t>30/04/2026 SE DA AVISO AL SERVICIO TÉCNICO - ACUDIRAN EL JUEVES 07/05 REVISAR POSIBLE ROTURA DE CABLE</t>
  </si>
  <si>
    <t>VISITA CONJUNTA CON SECURITAS - PROBLEMAS CON LA PUERTA DE ENTRADA - POSIBLE PROBLEMA ELECTRICO A RAIZ DE LAS OBRAS - AJUSTAR MUELLE PUERTA QUE DA GOLPES.</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</si>
  <si>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
11/06/2026 RECLAMADO
17/06/2026 ACUDEN A INSTALAR NUEVO MUELLE</t>
  </si>
  <si>
    <t>Luz de zona de almacén fundida</t>
  </si>
  <si>
    <t>03/07/2026 Damos aviso al servicio técnico
16/07/2026 RECLAMADO</t>
  </si>
  <si>
    <t xml:space="preserve"> Se ha caído un store de un de las ventanas</t>
  </si>
  <si>
    <t>19/08/2026 Se da aviso a SP Ikea
01/09/2026 RECLAMADO
02/09/2026 La semana pasada fue nuestro técnico pero no pudo repararla. El estor tiene el mecanismo roto, se necesita suministro de uno nuevo. Intentó buscar el modelo pero no venía por ningún lado, no sé si preguntando a la constructora que hizo la oficina podríamos tenerlo o sería comprar un modelo nuevo respetando las medidas. Les indicó que m pondré en contacto con la empresa que lleva incidencias estores para ING. 
02/09/2026 Paso el aviso a Bojuna
11/09/2026 RECLAMADO</t>
  </si>
  <si>
    <t>La alfombra de la entrada tiene parte levantada y hace que la puerta a veces, no cierre del todo</t>
  </si>
  <si>
    <t>28/08/2026 SE DA AVISO AL SERVICIO TÉCNICO
02/09/2026 RECLAMADO -  INTENTARAN PASAR HOY</t>
  </si>
  <si>
    <t>CRISTAL EXTERIOR CON UNA ROTURA PEQUEÑA QUE SE ESTÁ AGRANDANDO - TENEMOS CRISTAL DE FACHADA EXTERIOR CON UNA PICADURA QUE ESTÑA HACIENDOSE MAS GRANDE EN EL CRISTAL Y HABRÍA QUE REPARAR</t>
  </si>
  <si>
    <t xml:space="preserve">28/08/2026 Damos aviso servicio técnico para que acuda cristalero a revisar
02/09/2026 RECLAMADO
11/09/2026 RECLAMADO
</t>
  </si>
  <si>
    <t>Tenemos goteras del aire acondicionado seguramente del rac - Comprobar procedencia de la gotera e informar - Sacar fotos.</t>
  </si>
  <si>
    <t>10/09/2026 Damos aviso urgente al servicio técnico - Acudirán esta tarde- Tienen que comprobar de dónde procede, si es clima tenemos que avisar a la empresa instaladora porque equipos de clima están en garantía
11/09/2026 Atasco en bajante de la propiedad. Nacho tiene que avisarles. Se ha roto el registro por estar muy mojado, cuando esté solucionada la avería, tendrá que acudir albañil.</t>
  </si>
  <si>
    <t>Cargador de la cisterna estropeado - WC planta baja tiene fuga de agua</t>
  </si>
  <si>
    <t>11/09/2026 Incidencia atendida el 10/09 por la tarde - No puede arreglarlo, hay que cambiar cargador - Paso orden de trabajo para sustituir cargador</t>
  </si>
  <si>
    <t xml:space="preserve">VALLADOLID </t>
  </si>
  <si>
    <t>No hay aspirador en la oficina de Valladolid</t>
  </si>
  <si>
    <t>29/04/2026 RECLAMADO AL SERVICIO DE LIMPIEZA</t>
  </si>
  <si>
    <t>Foco vestuario - Uno de los focos de la iluminación de los vestuarios está constantemente parpadeando.</t>
  </si>
  <si>
    <t>30/04/2026 SE DA AVISO AL SERVICIO TÉCNICO</t>
  </si>
  <si>
    <t>POMO PUERTA VESTUARIO FEMENINO -Se ha roto el pomo de la puerta del vestuario femenino de la oficina de Acacias, necesitamos que acudan a arreglarlo</t>
  </si>
  <si>
    <t>07/05/2026 SE DA AVISO AL SERVICIO TÉCNICO  -ACUDIRAN MAÑANA</t>
  </si>
  <si>
    <t>RACK PLANTA ALTA - Uno de los dos interruptores de luz de la primera planta situado en el rack está estropeado y cuesta encenderlo y apagarlo.</t>
  </si>
  <si>
    <t>05/05/2026 SE DA AVISO AL SERVICIO TÉCNICO</t>
  </si>
  <si>
    <t xml:space="preserve">Es muy urgente! WC de los clientes VIP de la planta 2 embozado. No se va el agua. </t>
  </si>
  <si>
    <t>04/05/2026 SE DA AVISO AL SERVICIO TECNICO</t>
  </si>
  <si>
    <t xml:space="preserve">Es urgente! WC de clientes VIP de Banca Privada planta 2 nuevamente atascado. No traga agua. Hace unos días abrí un service now, vino el chico de CBRE pero otra vez está atascado. Le pasa lo mismo que el otro día. </t>
  </si>
  <si>
    <t>07/05/2026 SE DA AVISO AL SERVICIO TÉCNICO</t>
  </si>
  <si>
    <t>Acompañar a  la empresa Applus.com - Instalación de dos analizadores de redes en el cuadro eléctrico</t>
  </si>
  <si>
    <t>06/05/2026 SE PASA WO</t>
  </si>
  <si>
    <t xml:space="preserve">POMO PUERTA BAÑO - El pomo de la puerta está roto </t>
  </si>
  <si>
    <t>06/05/2026 SE DA AVISO AL SERVICIO TÉCNICO</t>
  </si>
  <si>
    <t>EL CUARTO DEL "RAC" TIENE LA BISAGRA DE ARRIBA ROTA. CON LO QUE LA PUERTA ESTA DESCOLGADA PARCIALMENTE Y TOCA EL SUELO CADA VEZ QUE LA ABRIMOS.</t>
  </si>
  <si>
    <t xml:space="preserve">07/05/2026 SE DA AVISO AL SERVICIO TÉCNICO </t>
  </si>
  <si>
    <t xml:space="preserve">MANECILLAS ( POMOS) DE LOS CAJONES SUELTAS - TENEMOS CAJONES QUE NO PODEMOS ABRIR, PORQUE LAS MANECILLAS SE HAN SEPARADO DE LOS TORNILLOS. </t>
  </si>
  <si>
    <t>07/05/2026 SE DA AVISO AL SERVICIO TECNICO
13/05/2026 ACUDE TECNICO, ARREGLO PROVISIONAL, HAY QUE CAMBIAR LOS TORNILLOS, PENDIENTE MATERIAL</t>
  </si>
  <si>
    <t>Quitar cerradura kiosko - Solicito técnico para quitar cerradura de kiosko, el CPU está bajo llave en un cajetín y no funciona la llave que tenemos para abrirla. Van a realizar unas gestiones y necesitan acceso a la CPU.</t>
  </si>
  <si>
    <t>05/05/2026 SE DA AVISO AL SERVICIO TÉCNICO - ACUDEN EL 06/05
14/05/2026 CERRADURA RETIRADA, ESTAN BUSCANDO EL BOMBIN PARA SUSTITUIR
19/05/2026 VAN  MAÑANA A SUSTITUIR EL BOMBIN</t>
  </si>
  <si>
    <t xml:space="preserve">Foco interior planta 1 - foco interior descolgado </t>
  </si>
  <si>
    <t>06/05/2026 SE DA AVISO AL SERVICIO TÉCNICO - SE ATIENDE HOY</t>
  </si>
  <si>
    <t>Puerta del baño no cierra bien - Puerta roza en el cierre</t>
  </si>
  <si>
    <t>13/07/2026 Damos aviso al servicio técnico
17/07/2026 Acuden hoy</t>
  </si>
  <si>
    <t>Hola, no podemos abrir la puerta del baño de clientes porque el manillar se ha desatornillado por completo</t>
  </si>
  <si>
    <t>13/05/2026 SE DA AVISO AL SERVICIO TÉCNICO</t>
  </si>
  <si>
    <t>Estor enrollable se ha enganchado. Traer una escalera porque está a una altura considerable</t>
  </si>
  <si>
    <t>13/05/2026 SE DA AVISO AL SERVICIO TÉCNICO
19/05/2026 ACUDEN MAÑANA
29/05/2026 RECLAMADO</t>
  </si>
  <si>
    <t>Tenemos problemas eléctricos en oficina A Coruña, diferencial caído de Alumbrado permanente, no podemos subirlo ya que se desconecta todo.
Necesitamos visita de electricista para revisar cuadro eléctrico de la oficina. Tenemos continuas caídas de varios diferenciales: Fuerza 2, Seguridad y SAI</t>
  </si>
  <si>
    <t>21/05/2026 SE DA AVISO URGENTE
23/06/2026 TRABAJOS PROGRAMADOS PARA EL VIERNES 3 DE JULIO, SOLICITADO SERVICIO DE VIGILANTE Y ACUDA EN HORARIO DE 14:30 A 00:00.</t>
  </si>
  <si>
    <t>VISITA CONJUNTA CON SECURITAS 22/07 13:00 - INSTALAR/EMPOTRAR CERRADURA EN LA PUERTA DEL CUARTO DE COMUNICACIONES LOCALIZADO EN EL SÓTANO</t>
  </si>
  <si>
    <t>21/07/2026 Damos aviso al servicio técnico
28/07/2026 Ayer acudián para concluir trabajos.
30/07/2026 SI MANDA PRESUPUESTO ES PARA SECURITAS (GONZALO GOMEZ SIMON, EMILIO LOPEZ , CLAUDIA PEREZ DE SECURITAS)</t>
  </si>
  <si>
    <t xml:space="preserve">PUERTA WC MUJERES PLANTA BAJA DESCOLGADA </t>
  </si>
  <si>
    <t>18/05/2026 Damos aviso al servicio técnico - Acudirá el 19 o 20 de mayo</t>
  </si>
  <si>
    <t>Fallo eléctrico</t>
  </si>
  <si>
    <t>21/05/2026 AVISADO URGENTE -  HA SALTADO UN CUADRO ELECTRICO DEL SÓTANO QUE NO HABÍAN VISTO- TODO FUNCIONA CORRECTAMENTE</t>
  </si>
  <si>
    <t xml:space="preserve">Debido a la subida de tensión en la oficina estamos sin aire y no podemos bajar los estores de la planta cero. Urge revisión por favor. </t>
  </si>
  <si>
    <t>15/05/2026 AVISADO MANTENIMIENTO
03/06/2026 :
•	La planta baja se encuentra operativa.
•	Están en funcionamiento el despacho de Cristina, la sala de reuniones de la planta 1 y el rack.
•	Está previsto realizar pruebas en carga (“en calor”) una vez que el personal abandone las instalaciones a las 14:00 h.
•	La tarjeta del Split del office no ha llegado todavía; está prevista su recepción a final de mes.
•	Actualmente están trabajando en la unidad interior de la planta 1 (zona diáfana).
11/06/2026 -PLACA OFFICE SUSTITUIDA - CLIMA FUNCIONA CORRECTAMENTE</t>
  </si>
  <si>
    <t>Necesitamos que nos revisen de forma urgente los estores de planta baja porque no bajan y estamos sin aire</t>
  </si>
  <si>
    <t xml:space="preserve">21/05/2026 SE DA AVISO URGENTE -  ME INDICAN QUE NO PODRAN ANTES DEL LUNES
25/05/2026 SE CONSIGUEN BAJAR 2 ESTORES DE MANERA MANUAL
29/05/2026 RECLAMADO - MOTORES QUEMADOS -  PENDIENTE PRESUPUESTO
04/06/2026 RECLAMADO
11/06/2026 PRESUPUESTO RECIBIDO - PASADO A SEIJO Y APROBADO - PENDIENTE MATERIAL Y PLANIFICACION
19/06/2026 TARDABAN 10 DÍAS, EN PRINCIPIO LA SEMANA QUE VIENE
</t>
  </si>
  <si>
    <t>Debido a la subida de tensión del viernes no funcionan varias luces de baños empleados y pasillo. Gracias -</t>
  </si>
  <si>
    <t>21/05/2026 SE DA AVISO A MANTENIMIENTO</t>
  </si>
  <si>
    <t xml:space="preserve">Bombillo fundido en baño de las chicas - Uno de los halogenos del baño de chicas de la planta alta esta fundido. </t>
  </si>
  <si>
    <t>19/05/2026 SE DA AVISO AL SERVICIO TECNICO
29/05/2026 RECLAMADO
08/06/2026 ACUDEN YA CON MATERIAL 09/06</t>
  </si>
  <si>
    <t>Inodoro atascado - En el baño de la primera planta de los hombres se sale el agua, hay que pulsar varias veces el dispensador</t>
  </si>
  <si>
    <t>19/05/2026 SE DA AVISO AL SERVICIO TECNICO
29/05/2026 RECLAMADO</t>
  </si>
  <si>
    <t>Mesa puesto siete rota - Tenemos una mesa que tiene el anclaje roto/partido y la mesa se mueve y no esta bien sujeta al mueble. Rogamos revisar</t>
  </si>
  <si>
    <t>08/07/2026 Damos aviso al servicio técnico
14/07/2026 RECLAMADO
15/07/2026 EL TECNICO ACUDIRA EL LUNES 20/07</t>
  </si>
  <si>
    <t>Gotera en techo cuarto de limpieza</t>
  </si>
  <si>
    <t>05/08/2026 damos aviso al servicio tecnico
07/08/2026 Revisan gotera y procede de inodoro aseo de planta de arriba conexion estaba derterirada se repara
14/08/2026 se solicta informacion del estado de la incidencia.
14/08/2026 Los técnicos me comunican que está solventada la incidencia. Queda pendiente el envío de los partes, fotos y proforma de la actuación</t>
  </si>
  <si>
    <t>Tenemos desde unas semanas continuas visitas de cucurachas en la cocina de la oficina, las trampas tienen varias ya pegadas pero las nuevas se quedan por la cocina, por la basura</t>
  </si>
  <si>
    <t>18/05/2026 Damos aviso a control de plaga</t>
  </si>
  <si>
    <t xml:space="preserve">Manillar vestuario de chicas - Está estropeado no abre la puerta, tenemos que abrirla girando la llave para entrar. Por favor revisad. </t>
  </si>
  <si>
    <t>27/05/2026 SE DA AVISO AL SERVICIO TECNICO
04/06/2026 RECLAMADO - ACUDEN HOY CON NUEVO POMO</t>
  </si>
  <si>
    <t>Puerta de entrada caída</t>
  </si>
  <si>
    <t>26/05/2026 SE DA AVISO AL SERVICIO TECNICO
27/05/2026 ACUDEN HOY- PROBABLEMENTE VUELVA A PASAR EN UNOS MESES, PUERTA VIEJA Y PESADA. SEIJO AL TANTO TOCARA CUANDO RESTYLING</t>
  </si>
  <si>
    <t>Hola, hemos visto dos cucarachas en la oficina. Necesitamos que venga a revisar por dónde están saliendo. Gracias</t>
  </si>
  <si>
    <t>27/05/2026 SE DA AVISO A CONTROL DE PLAGAS</t>
  </si>
  <si>
    <t>Uno de los tubos de iluminación de la planta baja parpadea.</t>
  </si>
  <si>
    <t>27/05/2026 SE DA AVISO AL SERVICIO TECNICO</t>
  </si>
  <si>
    <t xml:space="preserve">Nuestra nevera se abre sola </t>
  </si>
  <si>
    <t>26/05/2026 SE DA AVISO AL SERVICIO TECNICO</t>
  </si>
  <si>
    <t>Cristalera rota</t>
  </si>
  <si>
    <t>26/05/2026 SE DA AVISO 
27/05/2026 ACUDE CRISTALERO, PENDIENTE PRESUPUESTO
04/06/2026 RECLAMADO PRESUPUESTO
10/06/2026  RECIBIDO PRESUPUESTO
11/06/2026 APROBADO POR SEIJO -  PENDIENTE MATERIAL Y PLANIFICACION
10/07/2026 RECLAMADO
14/07/2026 RECLAMADO
28/07/2026 RECLAMADO</t>
  </si>
  <si>
    <t>NOS HAN HECHO UNA PINTADA EN UN CRISTAL LATERAL DE LA OFICINA, ROGAMOS NOS LO VENGAN A LIMPIAR. GRACIAS.</t>
  </si>
  <si>
    <t>27/05/2026 SE DA AVISO AL SERVICIO DE LIMPIEZA ESPECIAL</t>
  </si>
  <si>
    <t>Plagas ratón - Necesitamos revisión por plaga en oficina</t>
  </si>
  <si>
    <t>23/06/2026 Damos aviso a control de plagas</t>
  </si>
  <si>
    <t>Desde ayer no funciona y nos urge pues los operarios de las obras del aire necesitan utilizarlo para finalizar bien su trabajo, además de para los clientes</t>
  </si>
  <si>
    <t>14/07/2026 Damos aviso al servicio técnico - Acude técnico - Me indican que falta una pieza que se ha roto- En cuanto la tengan, nos avisan</t>
  </si>
  <si>
    <t>ARMARIO QUE SE VENCE - TENEMOS UN ARMARIO DESENCAJADO Y QUE SE VENCE HACIA DELANTE PORQUE NO ESTA ANCLADO A LA PARED</t>
  </si>
  <si>
    <t>15/07/2026 Damos aviso al servicio técnico - Me piden foto  - A la espera de que me la envíen - Enviada
16/07/2026 Acuden hoy, se bajó armario por los trabajos, Almu pide poner cuña</t>
  </si>
  <si>
    <t>Hay un lavabo que gotea por abajo la tubería en el vestuario femenino
REVISAR LAVABO QUE GOTEA Y SUSTIUIR SIFONES EN MAL ESTADO</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</si>
  <si>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
14/08/2026: reclamado ,acudieran la proxima semana estan con poco personal.
02/09/2026 RECLAMADO
03/09/2026 FACILITO NUEVA ORDEN DE TRABAJO PARA REVISAR LAVABO QUE SIGUE GOTEANDO Y SUSTITUIR LOS SIFONES EN MAL ESTADO
04/09/2026 ENVIADO PRESUPUESTO A SEIJO - PIDO PONERLO EN MARCHA YA</t>
  </si>
  <si>
    <t>No llega el pedido de productos solicitado - Buenas, la limpiadora me pide ayuda pues a pesar de haber hecho un pedido según me dice hace más de un mes, no llega y ya nos urge</t>
  </si>
  <si>
    <t>23/07/2026 Reclamamos a Garnica - Nos informan que el pedido está tramitado con el proveedor y está gestionado y  que llegará a la mayor brevedad.  Está habiendo retrasos con las empresas de reparto que no es el proveedor.</t>
  </si>
  <si>
    <t>TENEMOS OBRA DE BAJANTES EL JUEVES 28 - NECESITARÍAMOS QUE ENVIASEN EL SERVICIO DE CONTROL DE PLAGAS, YA QUE EN LA INSPECCIÓN SALIERON MUCHAS CUCARACHAS</t>
  </si>
  <si>
    <t>26/05/2026 SE DA AVISO ANTICIMEX
04/06/2026 HABLO EN DOS OCASIONES CON JUANA, NO HA SALIDO NINGUNA CUCARACHA - PROXIMA REVISION TRIMESTRAL PREVISTA PARA JULIO- INDICO NOS AVISE SI SALIESE ALGUNA ANTES PARA AVISAR.</t>
  </si>
  <si>
    <t>OBRAS EN LA OFICINA - El viernes 12 de junio tenemos pendiente el cambio de tubería en la oficina, por lo que solicitamos un servicio de limpieza extra el lunes 15 a las 8:30 de la mañana</t>
  </si>
  <si>
    <t>05/06/2026 Avisamos a Garnica
09/06/2026 - Juana pide anular servicio, se ha cancelado trabajos</t>
  </si>
  <si>
    <t>LA PUERTA SE QUEDA ABIERTA PORQUE SE ATASCA EN ABAJO
LA PUERTA SE QUEDA ABIERTA, ESTA SEMANA HAN VENIDO PARA ARREGLARLA, PERO HOY VUELVE A QUEDARSE ABIERTA</t>
  </si>
  <si>
    <t>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
27/07/2026 RECLAMADO
31/07/2026 RECLAMADO
04/08/2026 Damos aviso nuevamente vuelve a fallar puerta
07/08/2026 Informan que les cuesta encontrar cerrajeros en la zona y las fechas han contactado con otro cerrajero que si no pasa hoy el lunes sin falta.
07/08/2026   Nos informa Bojuna que pasara el cerrajero el lunes 10/08/2026 
11/08/2026 ajuste del marco de la puerta, colocación de tornillería nueva.Engrasado de mecanismo de cierre.Sellado del perímetro del marco de la puerta</t>
  </si>
  <si>
    <t>Necesito que mañana vaya alguien a desmontarme una tele que está en una columna - Simplemente quitarla</t>
  </si>
  <si>
    <t>27/08/2026 Se avisa a mantenimiento</t>
  </si>
  <si>
    <t>Colocación tv + wifi CÁDIZ - Solicitamos que acuda Enrique Pino si está disponible.</t>
  </si>
  <si>
    <t>02/09/2026 DAMOS AVISO A SERVICIO TÉCNICO PARA QUE ACUDAN MAÑANA- CONFIRMADO SERVICIO PARA EL 03/09</t>
  </si>
  <si>
    <t>TENEMOS VARIAS PEGATINAS EN EL CAJERO 4B</t>
  </si>
  <si>
    <t xml:space="preserve">03/09/2026 CONSULTO CON GARNICA SI PUEDE ENCARGARSE EL CRISTALERO
08/09/2026 El cristalero acudirá el viernes 11 a realizar la limpieza </t>
  </si>
  <si>
    <t xml:space="preserve">Luz baño empleados fundida </t>
  </si>
  <si>
    <t>05/06/2026 SE DA AVISO AL SERVICIO TÉCNICO</t>
  </si>
  <si>
    <t>REGLETA DESCOLGADA ESCALERA ACCESO COCINA</t>
  </si>
  <si>
    <t>01/06/2026 SE DA AVISO AL SERVICIO TÉCNICO  - ACUDEN EL MIERCOLES</t>
  </si>
  <si>
    <t>PROGRAMACION APAGADO AUTOMATICO AC - SOLICITAMOS QUE PROGRAMEN EL AC PARA QUE SE APAGUE TODOS LOS DIAS A LAS 20:00 HS, VIERNES Y SABADOS 16:00 HS</t>
  </si>
  <si>
    <t xml:space="preserve">Recolocar los números de identificación de las mesas de gestor </t>
  </si>
  <si>
    <t>02/06/2026 SE DA AVISO AL SERVICIO TÉCNICO</t>
  </si>
  <si>
    <t>Mal olor wc planta -1</t>
  </si>
  <si>
    <t xml:space="preserve">Es necesario recolocación de las balizas de escalera tras la colocación de PVC </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</si>
  <si>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</si>
  <si>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 xml:space="preserve">CANALIZACION ZONA CAJERO, TAPAR OQUEDADES </t>
  </si>
  <si>
    <t>01/06/2026 SE DA AVISO AL SERVICIO TÉCNICO
04/06/2026 RECLAMADO - YA LO TIENE CLIMAELEC
11/06/2026 ACUDE CESAR -  HECHO</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</si>
  <si>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</si>
  <si>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</si>
  <si>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Desde que tuvimos fallo eléctrico y nos cambiaron placas del aire la temperatura no sube en frio de 22.5 grados en sala y planta cero, aunque lo pongamos en 29 grados. Gracias</t>
  </si>
  <si>
    <t>09/07/2026 Damos aviso al servicio técnico
14/07/2026 Acude técnico a revisar.
16/07/2026 Pido me informen
27/08/2026 Se informa funcionamiento de termostato</t>
  </si>
  <si>
    <t>Tenemos dos termostatos averiados que hacen que no funcione el aire en la zona de atención de clientes. URGE REPARAR.</t>
  </si>
  <si>
    <t>03/06/2026 SE DA AVISO URGENTE AL SERVICO TÉCNICO- SE PASA ALGUIEN ESTA TARDE
05/06/2026 SE CAMBIA PLACA Y SE TIENE QUE CAMBIAR COMPRESOR DE UN EQUIPO AVERIADO QUE  ING RECHAZO ARREGLO PERO QUE NO INFLUYE EN EL CONFORT CLIMATICO DE LA OFICINA. PARA CAMBIAR COMPRESOR TIENEN QUE RETIRAR GAS Y LUEGO VOLVER A PONERLO DESPUESDEL TRASPASO. LOS TRABAJOS SE COMPLETARAN EL LUNES.
COMPROBARON LA TEMPERATURA DE LA OFICINA Y ESTÁN A 23 GRADOS.</t>
  </si>
  <si>
    <t>Gotera en zona de Office de O´Donnell</t>
  </si>
  <si>
    <t>02/06/2026 SE DA AVISO AL SERVICIO TÉCNICO -  ACUDEN HOY PERO NO PUEDEN TRABAJAR
03/06/2026 ACUDEN 2 TECNICOS, RETIRAN PLACA Y HACEN MÁS GRANDE EL REGISTRO - SE HABÍAN SOLTADO LINEAS DE DESAGUE -  ARREGLADO
04/06/2026 ME INDICAN QUE AVISEMOS ABAÑIL PARA PONER NUEVA PLACA -  AVISO A BOJUNA</t>
  </si>
  <si>
    <t>PONER PLACA REGISTRO ZONA OFFICE O'DONNELL</t>
  </si>
  <si>
    <t>04/06/2026 PASO WO
11/06/2026 ACUDE JESUS
16/06/2026 NOS INFORMAN DE QUE SIGUE GOTEANDO Y ZONA HUMEDA. AVISO A PROYECTOS, EQUIPO DEBE ESTAR EN GARANTÍA PARA QUE REVISEN ELLOS LA INCIDENCIA. ACUDE MAÑANA UN TÉCNICO DE ARYSE
18/06/2026 PREGUNTO A GUSTAVO DE PROYECTOS, SE INDICAN QUE SE HA RESUELTO EL PROBLEMA DE CONDENSACIÓN. AVISO A BOJUNA PARA QUE ACUDA NUEVAMENTE JESUS.
23/06/2026 BOJUNA ME ENVIA VIDEO, NO ESTÁ SOLUCIONADO Y CAE AÚN MÁS AGUA- CONTACTO NUEVAMENTE CON DEPTO DE PROYECTOS DE CBRE. ACUDIERON AYER POR LA TARDE, SE DEJARON UN PORO SIN SELLAR ... 
24/06/2026 AVISO A BOJUNA</t>
  </si>
  <si>
    <t>La cisterna del baño de clientes pierde agua y no carga</t>
  </si>
  <si>
    <t>03/06/2026 SE DA AVISO AL SERVICIO TECNICO
04/06/2026 ACUDEN HOY</t>
  </si>
  <si>
    <t>TOMA DE ENCHUFE NO FUNCIONA - Tenemos una toma de enchufe en la que hay que cargar un portatil y ipad que no da corriente</t>
  </si>
  <si>
    <t xml:space="preserve">DESAGÜE COCINA NO FUNCIONA CORRECTAMENTE. SE EMBOZA CONTINUAMENTE </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</si>
  <si>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
29/07/2026 ACUDIRA KAREN EL LUNES 03/08 PARA CERRAR HUECOS. LUEGO TENDRA QUE VOLVER PARA PINTAR</t>
  </si>
  <si>
    <t>Puerta principal con fisura en cristal</t>
  </si>
  <si>
    <t>10/08/2026 Se envia aviso a SP Barcelona
12/08/2026 Pasara la empresa Meddoors para revisar incidencia</t>
  </si>
  <si>
    <t>Necesitamos una limpieza profunda de la oficina de Salamanca, hemos tenido obra donde han lijado y pintado y necesitamos una limpieza en profundidad, donde se limpien todos los huecos que hay en mesas paredes etc, y manchas que hay en las partes de abajo de la mesa, patas de sillas sillones, baran¡dillas y metacrilatos, etc. Lo que es una limpieza profunda de todo. Gracias</t>
  </si>
  <si>
    <t>04/06/2026  SE AGENDA JUNTO CON LIMPIEZA SEMESTRAL PARA EL 11/06
10/06/2026 ERROR EN PETICION DE VIGILANCIA
11/06/2026 NOS DAN NUEVA FECHA PARA EL 16/06</t>
  </si>
  <si>
    <t>05/06/2026 OFERTA ACEPTADA - PASO WO PARA PEDIR MATERIAL Y PLANIFICAR</t>
  </si>
  <si>
    <t>Correctivo fontanería ING TENERIFE</t>
  </si>
  <si>
    <t>05/06/2026 OFERTA ACEPTADA, PASO WO PARA PEDIR MATERIAL Y PLANIFICAR
13/07/2026 PLANIFICAMOS TRABAJOS PARA EL VIERNES 24 DE JULIO A LAS 14:45 - SOLICITADO SERVICIO DE VIGILANCIA Y ACUDA PARA EL CIERRE.</t>
  </si>
  <si>
    <t>El termo pierde agua</t>
  </si>
  <si>
    <t>17/08/2026 Se da aviso al servicio tecnico
31/08/2026 RECLAMADO</t>
  </si>
  <si>
    <t>SUMINISTRO Y SUSTITUCION DE EMERGENCIAS</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</si>
  <si>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
31/08/2026 RECLAMADO</t>
  </si>
  <si>
    <t>Tenemos plaga de una especie de saltamontes marrones en la sucursal, en una zona determinada de atención al público Solicitamos control de plagas - Puede que sean cucarachas rubias o cienpies, no tenemos claro el tipo de bicho</t>
  </si>
  <si>
    <t>10/06/2026 DAMOS AVISO A DDD
11/06/2026 HECHO</t>
  </si>
  <si>
    <t>REVISAR BURLETES PUERTA DE ENTRADA - Plaga de ciempiés, revisar burletes para evitar la entrada de insectos</t>
  </si>
  <si>
    <t>12/06/2026 Damos aviso al servicio técnico 
23/06/2026 RECLAMADO
08/07/2026 RECLAMADO
16/07/2026 RECLAMADO
17/07/2026 EL TECNICO ACUDIRA HOY
28/07/2026 RECLAMADO 
29/07/2026 RECLAMADO - ACUDEN EL 30/07</t>
  </si>
  <si>
    <t>LOS BIOMBOS PRIVACIDAD ZONA CAJEROS TIENEN LOS ANCLAJES METALICOS ROTOS.</t>
  </si>
  <si>
    <t>10/06/2026 PASO AVISO, YA LO HAN VISTO ESTA MAÑANA</t>
  </si>
  <si>
    <t>Volvemos a tener cucarachas en la oficina, esta mañana nos hemos encontrado una - Creemos que ha caído del A/C porque estaba viva boca abajo</t>
  </si>
  <si>
    <t>09/06/2026 DAMOS AVISO A DDD
11/06/2026 HECHO</t>
  </si>
  <si>
    <t>La puerta de acceso principal se queda atascada y no cierra, creemos que es debido al calor que se dilata pq suele pasar en verano</t>
  </si>
  <si>
    <t>12/06/2026 SE DA AVISO AL SERVICIO TÉCNIO - EL TECNICO ACUDIRA EL LUNES 15/06</t>
  </si>
  <si>
    <t xml:space="preserve">PUERTA DE ENTRADA A LA OFICINA DESCOLGADA - La puerta de entrada a la oficina esta descolgada y pega mucho portazo cuando se suelta. </t>
  </si>
  <si>
    <t>08/06/2026 SE DA AVISO AL SERVICIO TECNICO
11/06/2026 RECLAMADO</t>
  </si>
  <si>
    <t>Es necesario fijar la tapa del Kioskos 4</t>
  </si>
  <si>
    <t>08/06/2026 SE DA AVISO AL SERVICIO TECNICO</t>
  </si>
  <si>
    <t>CAMBIO FILTRINA Y LIMPIEZA CON ASPIRADO DE FILTROS RECUPERADOR</t>
  </si>
  <si>
    <t>08/06/2026 PASO WO
16/06/2026 ACUDIRAN MAÑANA 17/06</t>
  </si>
  <si>
    <t>FILTRACIÓN AGUA - Hay filtraciones de agua al local “más que copas”, te dejo el teléfono del dueño para que lo gestionemos lo antes posible 684604707.</t>
  </si>
  <si>
    <t>12/06/2026 SE DA AVISO AL SERVICIO TÉCNICO- ACUDE HOY ADRIAN
23/06/2026 RECLAMADO, ME DICEN QUE NO VIERON NINGUNA  FUGA, VA A HABLAR CON ADRIAN PARA CONFIRMAR QUE HABLO Y VIO TAMBIÉN LOCAL</t>
  </si>
  <si>
    <t>VISITA CONJUNTA CON SECURITAS - MARTES 16 DE JUNIO A LAS 11:00 - ARREGLAR TECHO PARA QUE PUEDAN COLOCAR ELECTRO IMAN</t>
  </si>
  <si>
    <t>12/06/2026 PASO ORDEN DE TRABAJO PARA ACUDIR EL MARTES 16/06
18/06/2026 ME INFORMA EIFFAGE DE QUE NO HA ACUDIDO SECURITAS DESPUES DE HABER CONFIRMADO ASISTENCIA. A LA ESPERA DE QUE ME INDIQUEN…
19/06/2026 PROPONEN LUNES 22 A LAS 09:00, EIFFAGE CONFIRMA ASISTENCIA</t>
  </si>
  <si>
    <t>Bombilla baño clientes fundida y bombilla pasillo escaleras sótano fundida</t>
  </si>
  <si>
    <t>22/06/2026 SE PASA ORDEN DE TRABAJO
14/07/2026 RECLAMADO
16/07/2026 LUMINARIA DESCATALOGADA - PONDRAN ALGO SIMILAR LED .</t>
  </si>
  <si>
    <t>REVISAR SOTANO Y REALIZAR SUBSANACIONES - REVISAR HUECOS, FISURAS, OQUEDADES POR DONDE PUEDAN ENTRAR CUCARACHAS. A PETICION DE ANTICIMEX- ENVIAR EVIDENCIAS</t>
  </si>
  <si>
    <t>m22/07/2026 FACILITAMOS PDS PARA REALIZAR SUBNACIONES
31/08/2026 RECLAMO URGENTE, ME INDICA FRANCISCO QUE SIGUEN CON PLAGA IMPORTANTE A PESAR SE HABER PUESTO NUEVAMENTE TRAMPAS EL 7 DE AGOSTO. 
31/08/2026 ME INDICAN QUE ACUDIRÁN EL MIÉRCOLES. PIDO EVIDENCIAS. HABLARÉ CON ANTICIMEX PARA VER SI SE PUEDE HACER VISITA CONJUNTA
02/09/2026 AL FINAL ACUDIO AYER UN TECNICO DE EIFFAGE, NOS PASARAN UN PEQUEÑO INFORME CON ACTUACIONES A REALIZAR EN EL VESTUARIO PARA INTENTAR MEJORAR LA SITUACION CON LA PLAGA.</t>
  </si>
  <si>
    <t xml:space="preserve"> LUCES BAÑOS DE CLIENTES FALLAN</t>
  </si>
  <si>
    <t>06/08/2026 damos aviso al servicio tecnico
14/08/2026 Se solicita informacion del estdo de la incidencia</t>
  </si>
  <si>
    <t>TRATAMIENTO DE CHOQUE PLAGA CUCARACHAS</t>
  </si>
  <si>
    <t>02/09/2026 RECIBIDO PRESUPUESTO - SE ENVIA A ELSA PARRONDO PARA SU APROBACIÓN
07/09/2026 TRATAMIENTO SE REALIZARA EL VIERNES 11/09 AL CIERRE, TIENE PLAZO DE SEGURIDAD</t>
  </si>
  <si>
    <t>Hay un plaga de mosquitos - En la planta sótano de la oficina hay unos mosquitos que cada vez van a más y no sé de donde sales ni porque</t>
  </si>
  <si>
    <t>12/06/2026 Damos aviso a DDD</t>
  </si>
  <si>
    <t>LA VENTANA DE LA COCINA DE LA OFICINA DE COSTA RICA NO CIERRA BIEN, SI EMPUJAS DESDE FUERA SE ABRE. RUEGO REPAREN</t>
  </si>
  <si>
    <t>16/06/2026 SE DA AVISO AL SERVICIO TECNICO</t>
  </si>
  <si>
    <t>TEMPORIZADOR AIRE ACONCICIONADO - Vinieron a dejar regulado el AC para que se desconectase automáticamente de lunes a jueves a las 20:00 hs y los Viernes y sábados a las 16:00 pero observamos que se desconecta todos los dias a las 16:00. Rogamos vengan a revisar. GRACIAS</t>
  </si>
  <si>
    <t>19/06/2026 SE DA AVISO AL SERVICIO TECNICO</t>
  </si>
  <si>
    <t>Solicitamos material de limpieza urgente. La solicitud está hecha como siempre por la empleada de la limpieza de Costa Rica a su empresa pero no lo recibe. urgente porque faltan elementos esenciales para el dia a dia</t>
  </si>
  <si>
    <t>10/07/2026 RECLAMAMOS A GARNICA
15/07/2026 ENTREGAN HOY EL MATERIAL</t>
  </si>
  <si>
    <t>LUZ PLANTA ALTA AL LADO DE GESTORES PARPADEA + LUZ PARPEDEA PLANTA BAJA OFIICNA</t>
  </si>
  <si>
    <t>28/07/2026 Damos aviso al servicio técnico
30/07/2026 ACUDEN HOY</t>
  </si>
  <si>
    <t>Tirador suelto de la puerta de la entrada principal de la calle</t>
  </si>
  <si>
    <t>15/06/2026 SE DA AVISO URGENTE PARA QUE ACUDA CERRAJERO - ACUDE JESUS, CUANDO LLEGÁ EDUARDO HABIA ARRACANDO LA BARRA -  ME ENVÍAN VIDEOS Y FOTOS. EL CERRAJERO ACUDIRÁ EL VIERNES.</t>
  </si>
  <si>
    <t>Rotura de la tapa del dispensador de servilletas del baño de clientes.</t>
  </si>
  <si>
    <t>12/08/2026 Se da aviso a SP Madrid
13/08/2026 La tapa del dispensador de papel del baño de clientes está suelta, se le ha ido uno de los remaches. Con ayuda de un taladro quito el resto de remache que seguía en el agujero, a continuación le pongo otro nuevo y la tapa se queda arreglada.</t>
  </si>
  <si>
    <t>La tapa del mueble del Kiosko 4 esta caida, la han pegado varias veces pero sigue despegandose. Persona de contacto Eduardo Montaner Garcia +34 (912) 066701</t>
  </si>
  <si>
    <t>08/09/2026 Damos aviso al servicio técnico buscar solución duradera</t>
  </si>
  <si>
    <t>Manecilla interior aseo de minusvalidos se queda abajo y no hace buen juego para abrir. Adjunto imagen. Revisar puerta de acceso vestuario masculino no cierra</t>
  </si>
  <si>
    <t>Manivela apertura puerta de baño. La puerta de acceso al baño no funciona, ya que se ha salido la manivela y no se puede abrir desde dentro. No sé si será necesario cambiar todas las piezas o solo la manivela.</t>
  </si>
  <si>
    <t>15/07/2026 Damos aviso al servicio técnico 
17/07/2026 Acudieron pero material pendiente para arreglo definitivo
28/07/2026 RECLAMADO  - Falta manivela. Esperamos dejarlo esta semana.
30/07/2026 ACUDEN HOY - NO PUDO ACUDIR - LA MANIVELA SE TIENE QUE HACER A MEDIDA Y SIGUE PENDIENTE</t>
  </si>
  <si>
    <t>Foco del cuarto de limpieza fundido sustituir por uno nuevo</t>
  </si>
  <si>
    <t>09/09/2026 Damos aviso al servicio técnico</t>
  </si>
  <si>
    <t xml:space="preserve">Lampara luminaria puesto gestor 6 con un cable suelto </t>
  </si>
  <si>
    <t>EL AIRE ACONDICIONADO DE LA SALA RACK DE LA OFICINA DE SANTANDER ESTA AVERIADO. POR FAVOR NECESITAN REVISARLO</t>
  </si>
  <si>
    <t>18/06/2026 ESTÁ EL TECNICO EN LA OFI REALIZANDO EL MANTENIMIENTO PREVENTIVO, LO ESTÁ ARREGLANDO, DIO AVISO PARA ABRIR TICKET</t>
  </si>
  <si>
    <t>Fallo enchufe - Buenos días, el enchufe del puesto de la mesa del gestor no carga, se derramo agua y desde entonces no funciona. Un saludo</t>
  </si>
  <si>
    <t>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31/08/2026 RECLAMO
09/09/2026 RECLAMADO - AUN NO TIENEN LOS PUERTOS USB</t>
  </si>
  <si>
    <t>Rotura de zócalo en fachada</t>
  </si>
  <si>
    <t>15/07/2026 Damos aviso al servicio técnico
29/07/2026 Acudió el técnico y tiene que volver con material para arreglarlo
14/08/2026 Se repara zocalo fachada por Eiffage</t>
  </si>
  <si>
    <t xml:space="preserve">Pomo de la puerta de los baños femeninos - El pomo de la puerta se ha arrancado de su sitio. </t>
  </si>
  <si>
    <t>08/06/2026 SE DA AVISO AL SERVICIO TECNICO
10/06/2026 HECHO</t>
  </si>
  <si>
    <t>NO FUNCIONA A/A - Buenos dias el aire acondicionado no tiene fuerza suficiente, o bien no enfría correctamente. Podría echarnos una mano? Gracias</t>
  </si>
  <si>
    <t>24/06/2026 Damos aviso al servicio técnico
08/07/2026 RECLAMADO</t>
  </si>
  <si>
    <t>Esplit sala de reuniones - El split del aire acondicionado de la sala de reuniones está chorreando agua, huele muy mal y se ha llenado de mosquitos. Todo ha ocurrido con el aparato sin estar funcionando. Por favor podéis mandar a alguien con urgencia? Gracias</t>
  </si>
  <si>
    <t>16/07/2026 Damos aviso urgente al servicio técnico
Se realizó limpieza del equipo con guia, parece que el desague está conectado con alguna bajante y que ha debido de retroceder agua … Necesitan planos de climatización para averiguar dónde están los conductos
28/07/2026 Irene está de vacaciones y Carlos de baja.  - CArlos Fernández me envía planto en Autocad de clima, reenviado a Marco- No se ven los conductos. Hablo con Carlos, no suele haber planos de conductos de condensados.</t>
  </si>
  <si>
    <t>Foco interior de oficina encima de mesa de gestor que no para de chipsporrotear y el foco esta medio fundido</t>
  </si>
  <si>
    <t>10/08/2026 Se envia aviso a Eiffage
14/08/2026 se soliicta informacion del estado de la incidencia.
31/08/2026 RECLAMADO
09/09/2026 RECLAMADO -  ME INDICA QUE LO HICIERON JUNTO CON EL MANTENIMIENTO PREVENTIVO PERO TIENE QUE BUSCAR PARTE</t>
  </si>
  <si>
    <t>HAY UNA MAQUINA DE AIRE QUE ESTÁ CHORREANDO AGUA</t>
  </si>
  <si>
    <t>21/08/2026 Se da aviso a Efiffage
31/08/2026 RECLAMADO 
01/09/2026 Se vio la semana pasada la opción de cambiar el desagüe de sitio.  Tienen que hablar con el técnico para ver si ya se ha hecho o no. No tenemos planos de condensados
09/09/2026 RECLAMADO - ESTAN ESPERANDO UNA PIEZA</t>
  </si>
  <si>
    <t>LOCALIZAR FUGA Y REPARAR</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</si>
  <si>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
20/07/2026 Se aprueba cambio equipo Rack pero no SAI hasta que no se sepa si es de Facilities o Seguridad. Doy OK al equipo móvil.
29/07/2026 Reclamado - Intentarán pasar a lo largo de la semana que viene, están a la espera de recibir el equipo.
14/08/2026  Se instalara en la poxima semana ( del 17 al 21 de agosto)</t>
  </si>
  <si>
    <t>REVISAR PUERTA DE ENTRADA URGENTE</t>
  </si>
  <si>
    <t>15/07/2026 Damos aviso urgente. Acuden mañana a primera hora.</t>
  </si>
  <si>
    <t xml:space="preserve">Hemos llegado hoy a la oficina y la parte de nuestros vestuarios olía muy mal. Hemos comprobado que los inodoros tragan muy mal en ambos vestuarios, de hecho en uno revoca el agua hacia arriba. </t>
  </si>
  <si>
    <t>17/08/2026 Se da aviso al servicio tecnico de IKEA ZARAGOZA
31/08/2026 RECLAMADO</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</si>
  <si>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</si>
  <si>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</si>
  <si>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AVERÍA BAÑO CLIENTES - SOLICITAMOS ACUDA SERVICIO TÉCNICO YA QUE EN EL WC DE CLIENTES NO CARGA LA CISTERNA, GRACIAS</t>
  </si>
  <si>
    <t>30/06/2026 Damos aviso al servicio técnico</t>
  </si>
  <si>
    <t>POMO PUERTA VESTUARIO FEMENINO ACACIAS - Buenas tardes, por favor solicitamos asistencia para reparar el pomo de la puerta del vestuario femenino de la oficina de Madrid Acacias. muchas gracias y un saludo</t>
  </si>
  <si>
    <t>03/07/2026 Damos aviso al servicio técnico</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</si>
  <si>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</si>
  <si>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</si>
  <si>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Cisterna no funciona - No permite usar la cisterna de uno de los WC</t>
  </si>
  <si>
    <t>16/07/2026 Damos aviso al servicio técnico  -  Mañana acudirá el técnico
28/07/2026 RECLAMADO - Está pendiente. Tenemos que cambiar el descargador. Entre mañana y el jueves esperan dejarlo acabado.
30/07/2026 Acuden hoy</t>
  </si>
  <si>
    <t>Pomo de la puerta no abre la puerta, tenemos que hacerlo con la llave.</t>
  </si>
  <si>
    <t>16/07/2026 Damos aviso al servicio técnico  
28/07/2026 RECLAMADO</t>
  </si>
  <si>
    <t>SOLICITUD LIMPIEZA DE CRISTALES - Buenos dias, solicitamos servicio de limpieza de cristales externos e internos de la oficina porque hace tiempo que no recibimos este servicio y lo necesitamos. Muchas gracias.</t>
  </si>
  <si>
    <t>24/07/2026 Reclamamos a Garnica</t>
  </si>
  <si>
    <t>TIRADOR PUERTA PRINCIPAL ROTO  - Buenos dias, me gustaria reportar con urgencia que el tirador de la puerta de nuestra sucursal está roto por la parte inferior. Un cliente tiro con excesiva puerta sin saber que había que abrir desde dentro y fracturó la union. Esta provocando ruidos y posible fallo mayor mas adelante.</t>
  </si>
  <si>
    <t>03/09/2026 DAMOS AVISO AL CERRAJERO
11/09/2026 El cerrajero acudirá el lunes 14/09</t>
  </si>
  <si>
    <t>Necesitamos que vengan a limpiar los estores de la oficina</t>
  </si>
  <si>
    <t>11/09/2026 El cerrajero acudirá el lunes 14/09</t>
  </si>
  <si>
    <t>No funciona el A/C en dos salas de la planta 2</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</si>
  <si>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</si>
  <si>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Hace semanas que estamos sin servilletas de papel y ahora estamos a punto de quedarnos sin papel wc - El personal de limpieza hace el pedido y tardan semanas en traer el material</t>
  </si>
  <si>
    <t>14/07/2026 RECLAMAMOS A GARNICA
15/07/2026 ENTREGAN HOY MATERIAL</t>
  </si>
  <si>
    <t>El fluorescente del vestuario femenino de la planta -2 parpadea</t>
  </si>
  <si>
    <t>11/08/2026  Se envia aviso a SP Barcelona
13/08/2026 Se verifica fluorescente y se sustituye, material en propiedad del cliente</t>
  </si>
  <si>
    <t>El wc de la planta 2 no traga bien y se atasca</t>
  </si>
  <si>
    <t>18/08/2026 Se da aviso al SP Barcelona
20/07/2026 Problema por Sanitrit mal instalado y tuberia de evacuacion presenta posible atranco por resto de residuos de la obra vertido en esta. Se envia comunicacion a Carlos Seijo para que informe a la empresa encargada de la obra</t>
  </si>
  <si>
    <t>No funciona el agua en el vestuario masculino de planta -2</t>
  </si>
  <si>
    <t>21/08/2026 Se da aviso a SP Barcelona - Acude Karen
31/08/2026 Reclamo confirmen solucionado
07/09/2026 Se acudió el 21/08 a la oficina por un aviso de que no funcionan dos grifos de la planta -1. Tras realizar la revisión, se comprueba que ambos grifos presentan un funcionamiento incorrecto y es necesario sustituirlos. Se ha 
comprado uno de los grifos y el segundo ha sido solicitado, quedando pendiente de entrega para su posterior 
sustitución. Se acude el 25/08  a la oficina para realizar el cambio de un grifo. Se sustituye el grifo y se comprueba su correcto funcionamiento. Durante la revisión, se detecta que el sifón también presenta una fuga. Se informa a la oficina y solicitan la sustitución del sifón.
07/09/2026 RECLAMO ME ACTUALICEN SI HAN CAMBIADO EL SIFON PENDIENTE.</t>
  </si>
  <si>
    <t>Hay un diferencial en planta 1 que salta y no podemos subirlo.</t>
  </si>
  <si>
    <t>20/08/2026 Se da aviso al SP Barcelona
20/08/2026 Se detecytan varios cortocircuitos 1 en caja de conexiones y otro en conexion de regleta. Se queda solucionado</t>
  </si>
  <si>
    <t>En la planta 0 no funciona el A/C. está encendido a 23 grados pero la temperatura es muy superior a la que marca</t>
  </si>
  <si>
    <t>08/09/2026 Damos aviso al servicio técnico
09/09/2026 Pasaran hoy, indican que al estar recién reformado debería pasar tambien el instalador ya que no esta ni entregado. Avisamos a Irene y ya está al tanto el instalador. Se encarga el instalador</t>
  </si>
  <si>
    <t>Limpieza a fondo de las repisas y cristales externos de la planta 1 y 2 - Los cristales de la fachada externas están muy sucios. Adjunto foto.</t>
  </si>
  <si>
    <t>09/09/2026 Avisamos a Garnica, tienen que instalar plataforma elevadora</t>
  </si>
  <si>
    <t>Filtración de agua en almacén de planta -1 debido a las lluvias de ayer</t>
  </si>
  <si>
    <t>10/09/2026 Damos aviso al servicio técnico, comprobar si ayuntamiento ha arreglado zona rejilla en mal estado. Como hoy hay visita conjunta con Seijo, se verá medidas a tomar.
11/09/2026 Es la arqueta, no podemos hacer nada.</t>
  </si>
  <si>
    <t>SOLICITAMOS PONER 1 CERRADURA EN CADA BAÑO (2 CERRADURAS CON LLAVE)</t>
  </si>
  <si>
    <t>26/06/2026 SE DA AVISO AL SERVICIO TECNICO - SE ATENDERÁ A MÁS TARDAR ANTES DEL MIERCOLES 01/07</t>
  </si>
  <si>
    <t>BAÑOS OFICINA - Solicitamos quitar los carteles indicativos de baño de mujeres y hombres y poner alguna placa de privado.</t>
  </si>
  <si>
    <t>01/07/2026 SE PASA ORDEN DE TRABAJO - ACUDEN CON CARTEL QUE NO ES EL ADECUADO
08/07/2026 ENVIO MODELO CARTEL QUE SE NECESITA CON INDICACIONES PRIVADO Y NADA MAS - SE PASARA CARLES LA SEMANA QUE VIENE</t>
  </si>
  <si>
    <t xml:space="preserve">CAMBIOS HORARIOS - Solicitamos que nos cambien el horario de la centralita de aire acondicionado y carteleria luminosa exterior, ya que esta con horario antiguo, lo deberian haber hecho en abril pero no se hizo. Gracias.
</t>
  </si>
  <si>
    <t xml:space="preserve">01/07/2026 SE PASA ORDEN DE TRABAJO 
08/07/2026 ME AVISA JOSE MANUEL QUE NO ESTÁ BIEN CAMBIADO, HAY DIAS QUE SALTA Y OTROS QUE NO. AVISO AL EQUIPO MÓVIL- ME DICEN QUE ACUDIRAN EN LO QUE QUEDA DE SEMANA
13/07/2026 NO HAN ACUDIDO - RECLAMO </t>
  </si>
  <si>
    <t>REVISAR PUERTA CORREDERA ALMACEN - NO SE PUEDE ABRIR CORRECTAMANTE</t>
  </si>
  <si>
    <t>08/07/2026 Damos aviso a carpintero
15/07/2026 RECLAMADO
16/07/2026 ACUDIRAN MAÑANA 2 TECNICOS</t>
  </si>
  <si>
    <t>LAVABO DE BAÑO DE HOMBRES ECHA AGUA, NO PUEDE USARSE</t>
  </si>
  <si>
    <t>11/09/2026 DAMOS AVISO AL SERVICIO TECNICO</t>
  </si>
  <si>
    <t>Pierde agua el aire acondicionado y está filtrando agua por el techo. Hay goteras. Necesitamos servicio urgente. Gracias.</t>
  </si>
  <si>
    <t>25/06/2026 SE DA AVISO URGENTE AL SERVICIO TÉCNICO
26/06/2026 El problema viene del bajante comunitarios. Informo a Ana de que avisen al seguro de la comunidad</t>
  </si>
  <si>
    <t>Luz del baño de hombre apagada. tecnico para reemplazarla</t>
  </si>
  <si>
    <t>26/06/2026 Damos aviso al servicio técnico</t>
  </si>
  <si>
    <t>Válvula del WC esta clavada y no se puede utiliza</t>
  </si>
  <si>
    <t>03/08/2026 se da aviso al SP Barcelona
04/08/2026 Acuden a la sucursal de  meridiana por el aviso de que la válvula de entrada de agua no funciona . Al llegar se referían a la descarga del baño. Estos baños son complejos hay que desmontarlo casi enteros para poder reparar lo que le suceda . En esta ocasion tenía la descarga desmontada por que los botones se habian quedado enganchados y al total de ellos se había caído el mecanismo que actúa sobre la descarga.  Se vuelve a poner todo bien y se deja funcionando el wc.</t>
  </si>
  <si>
    <t>Valvula del WC sigue estando clavada</t>
  </si>
  <si>
    <t>11/08/2026  Se reclama a SP Barcelona
13/08/2026 Se verifica mochila especial de diseño se ajustan varillas se enrollan, se prueba y se deja en servicio</t>
  </si>
  <si>
    <t>La maneta de la puerta del baño no abre desde dentro</t>
  </si>
  <si>
    <t>01/09/2026 Damo aviso al servicio técnico - Acudirá Ricardo</t>
  </si>
  <si>
    <t>RENDIJA DEL CONDUCTO DEL AIRE ACONDICIONADO - Buenas tardes, en el día de hoy se ha caído unas de las rendijas del conducto del aire acondicionado situados en uno de los techos de la Oficina. Necesitamos que nos revisen esta incidencia. Adjunto imagen del elemento desprendido.</t>
  </si>
  <si>
    <t>23/06/2026 SE DA AVISO AL SERVICIO TÉCNICO
24/06/2026 ACUDEN HOY</t>
  </si>
  <si>
    <t>ENCHUFE LUZ INTERNA - El enchufe de la luz interna no gira correctamente y no enciende las luces, no el aire acondicionado....Es urgente de arreglar...gracias</t>
  </si>
  <si>
    <t>24/06/2026 Damos aviso urgente al servicio técnico
26/06/2026 ACUDEN A PRIMERA HORA CON EL MATERIAL PARA ARREGLO DE LA RULETA</t>
  </si>
  <si>
    <t xml:space="preserve">URGENTE GOTERA JUNTO A LA LUZ DEL TECHO EN A PARTE PRIVADA DE LA OFICINA </t>
  </si>
  <si>
    <t>06/08/2026 damos aviso al servicio tecnico 14:12
06/08/2026 Acude el tecnico fuera de horario  y lpersonal de oficina tiene que comer que vuelva a las 16:00h y comenta el tecnico que acudiria mañana
07/08/2026 Se reclama atencion a invalec para que acudan a revisar incidencia
07/08/2026 Se desatasca desague A/A</t>
  </si>
  <si>
    <t>Se ha roto el pomo del vestuario de chicas y no podemos cerrar la puerta</t>
  </si>
  <si>
    <t>12/08/2026 Se da aviso Invalec
14/08/2026 Se solicita informacion del estado de esta incidencia
12/08/2026  Se sujeta manivela</t>
  </si>
  <si>
    <t>Ruido molesto en fuente de agua</t>
  </si>
  <si>
    <t>14/08/2026 Se da aviso al servico tecnico invalec
14/08/2026 Esta incidencia no se encuentra dentro de nuestro alcance de actuación, por lo que deberá ser gestionada directamente por el área de Servicios Generales. se envia correo a Sucursal para su gestion.Petición reasignada a Facilities Support.</t>
  </si>
  <si>
    <t>EN EL RACK EL AIRE ACONDICIONADO NO FUNCIONA CORRECTAMENTE - Buenas. El aire acondicionado funciona bien en toda la oficina, pero algo pasa en el cuarto del rack que no está saliendo el aire como debería, está puesto a 19 grados y hay mucha más temperatura de lo habitual. Por favor, que vengan a revisarlo ya que se pueden dañar los equipos. Gracias.</t>
  </si>
  <si>
    <t>24/06/2026 Damos aviso al servicio técnico</t>
  </si>
  <si>
    <t>SE NOS APAGA EL AIRE ACONDICIONADO EN LA OFICINA - POR LAS TARDES SE NOS APAGA EL AIRE ACONDICIONADO, POR FAVOR QUE VENGAN A ARREGLARLO LO ANTES POSIBLE. GRACIAS.</t>
  </si>
  <si>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
30/07/2026 Equipo funcionando correctamente, se realiza limpieza de la batería, subida de presión de condensación por altas temperaturas exteriores. 
03/08/2026 Desistalacion de pinguinos 
RETIRADA DE PINGUINOS - ORGANIZAR CON PATRICIA MORA
 06/08/2026  informa Marco que se desintalaran la semana del 10 al 14
14/08/2026 Se solicita informacion del estado de la PDS
27/08/2026 Pinguinos desinstalados y empaquetados para su recogida.
28/08/2026 Recogida organizada para devolver a ING MAD.</t>
  </si>
  <si>
    <t>VENTANA AL LADO DE CAJEROS INTERNOS NO SE ABRE Y CIERRA BIEN + PUERTA</t>
  </si>
  <si>
    <t>28/07/2026 Damos aviso al servicio técnico
30/07/2026 Acuden hoy</t>
  </si>
  <si>
    <t>FUGA AGUA GARAJE  - FUGA AGUA EN GARAJE OFIICNA, HA OCASIONADO DESPERFECTOS EN LA PARED. SOLICITAMOS QUE VENGAN A REPARAR</t>
  </si>
  <si>
    <t>28/07/2026 Damos aviso al servicio técnico - Acudirá Jesús
29/07/2026 Estuvo ayer Jesús y reparó. El problema era una tubería, que estaba cortada, que, probablemente, pertenecía a la red de riego antigua y cuando se activa el riego, perdía. Ya está reparada y cerrado el agujero. Hoy vuelve a pintar y dejarlo terminado.
30/07/2026 ACUDE HOY PARA REMATAR - NO HA PODIDO, ESTA EN INGMAD
31/07/2026 HABLO CON LUIS, ME DICE QUE CUANDO PUEDA QUE NO ES URGENTE. LA FUGA ESTA ARREGLADA QUE ERA LO MÁS IMPORTANTE
05/08/2026 Se enfosca pared con cemento y se pinta la pared de blanco</t>
  </si>
  <si>
    <t>PLAGA DE CUCARACHAS EN OFICINA DE COSTA RICA - LLEVAMOS UNA SEMANA CON MUCHAS CUCARACHAS EN PLANTA BAJA Y COCINA</t>
  </si>
  <si>
    <t>28/08/2026 Damos aviso a DDD
02/09/2026 RECLAMADO - PENDIENTE CAE DEL TÉCNICO
04/09/2026 ACUDEN, APLICAN TRATAMIENTO- INDICAN CORRECTIVOS A REALIZAR</t>
  </si>
  <si>
    <t>SOLICITAMOS REPONER CINTA NEGRA Y AMARILLA DE AVISO EN ESCALONES DE ACCESO Y EN LA RECEPCION DE LA OFICINA  - SUSTITUIR CINTA NEGRA AM¡Y AMARILLA DE AVISO DE PELIGRO, ESTA TOTALMENTE DESGASTADA Y NO SE VE</t>
  </si>
  <si>
    <t>28/08/2026 Damos aviso al servicio técnico
31/08/2026 Técnico acudirá el 1/09
04/09/2026 Presupuesto enviado a Seijo</t>
  </si>
  <si>
    <t>Tapar huecos y oquedades en CPD - Poner una rejilla fina que impida el acceso de plagas</t>
  </si>
  <si>
    <t>08/09/2026 Se da orden de trabajo al servicio técnico
11/09/2026 Acude técnico el 09/09 y tapa 23 huecos en el CPD de posible entrada de insectos. Para el desagüe de bajada del garaje falta la rejilla métalica para impedir la subida de insectos. Pendiente recibir el material</t>
  </si>
  <si>
    <t>Necesitamos que se revisen los filtros y se cambien porque se vuelven a filtrar olores de churrería.</t>
  </si>
  <si>
    <t>27/07/2026 Damos aviso al  servicio técnico
14/08/2026 Se solicta informacion del estado de la incidencia. informan que esta pedido el filtro y cuando se reciba pasaran a montarlo
31/08/2026 RECLAMO
09/09/2026 RECLAMO, AUN NO HAN LLEGADO LOS FILTROS DE CARBONO</t>
  </si>
  <si>
    <t>ARREGLO ESQUINA FACHADA - Necesitamos por favor que se ponga un poco de masilla en la esquina de la fachada.</t>
  </si>
  <si>
    <t>03/09/2026 DAMOS AVISO AL SERVICIO TECNICO
09/09/2026 RECLAMADO
11/09/2026 RECLAMADO</t>
  </si>
  <si>
    <t>COLOCAR TAPA CONTADOR AGUA - Necesitamos por favor que nos pongan la tapa que se ha caído del contador de agua que está en la fachada. Gracias</t>
  </si>
  <si>
    <t xml:space="preserve"> SUMINISTRO Y SUSTITUCION DE EMERGENCIAS ING SANTANDER</t>
  </si>
  <si>
    <t>28/07/2026 PASAMOS WO y PO PARA SUSTITUCION DE EMERGENCIAS - pendiente recibir material
31/08/2026 RECLAMADO
03/09/2026 LES HAN LLEGADO LAS EMERGENCIAS, QUIEREN EMPEZAR INSTALACIÓN LA SEMANA QUE VIENE
08/09/2026 - SOLICITO ACCESOS PARA INSTALACION MAÑANA.</t>
  </si>
  <si>
    <t>Programar encendido del aire acondicionado - Necesitamos se programe si es posible el encendido del aire acondicionado a las 7:15, gracias.</t>
  </si>
  <si>
    <t>31/07/2026 Damos aviso al servicio técnico
05/08/2026 Siguiendo instrucciones de Irene Gallego, no nos encargamos.</t>
  </si>
  <si>
    <t>En mi despacho tengo un bombillo estropeado- Necesito que me cambien un bombillo del techo, el que va integrado en el falso techo</t>
  </si>
  <si>
    <t>02/09/2026 DAMOS AVISO A SERVICIO TÉCNICO
11/09/2026 RECLAMADO</t>
  </si>
  <si>
    <t>DESMONTAR TV Y EMPAQUETAR - DESMONTAR MADERA Y LLEVARSELA</t>
  </si>
  <si>
    <t>08/09/2026 Damos aviso al servicio técnico
10/09/2026 TV desmontada y empaquetada - Falta desmontar mueble y llevar al vertedero (necesitan furgoneta grande por las dimensiones) - Solicito a Carlos especificaciones, peso, medida, modelo e importe para seguro para solicitar servicio especial de recogida y entrega en la sucursal de A Coruña</t>
  </si>
  <si>
    <t xml:space="preserve">Oficina </t>
  </si>
  <si>
    <r>
      <t xml:space="preserve">Sillas 
</t>
    </r>
    <r>
      <rPr>
        <sz val="8"/>
        <color theme="1"/>
        <rFont val="Calibri"/>
        <family val="2"/>
        <scheme val="minor"/>
      </rPr>
      <t>(pon nº de uds que necesitas)</t>
    </r>
  </si>
  <si>
    <r>
      <t xml:space="preserve"> Sillones 
</t>
    </r>
    <r>
      <rPr>
        <sz val="8"/>
        <color theme="1"/>
        <rFont val="Calibri"/>
        <family val="2"/>
        <scheme val="minor"/>
      </rPr>
      <t>(pon cuántas uds de cada tipo que necesitas, p.ej, 2 de 5 plazas)</t>
    </r>
  </si>
  <si>
    <t xml:space="preserve">Córdoba </t>
  </si>
  <si>
    <t>1 alta para el TA con reposabrazo</t>
  </si>
  <si>
    <r>
      <t xml:space="preserve">Incidencia 
</t>
    </r>
    <r>
      <rPr>
        <b/>
        <sz val="10"/>
        <color theme="0"/>
        <rFont val="ING Me"/>
      </rPr>
      <t>(ILUMINACION
TEMPERATUIRA
HGUMEDAD,,,)</t>
    </r>
  </si>
  <si>
    <t>REVISAR</t>
  </si>
  <si>
    <t>Protecciones de elementos en tensión</t>
  </si>
  <si>
    <t>Cubrir los huecos existentes en los cuadros y armarios eléctricos asegurando un grado de protección IP2x (para dedos)</t>
  </si>
  <si>
    <t>Revisar</t>
  </si>
  <si>
    <t>Evaluación de riesgos</t>
  </si>
  <si>
    <t>Señalizacion cuadros electricos</t>
  </si>
  <si>
    <t xml:space="preserve">Señalizar los cuadros eléctricos. La señal deberá tener forma triangular, pictograma negro sobre fondo amarillo y bordes negros.
</t>
  </si>
  <si>
    <t>Revisión de moqueta</t>
  </si>
  <si>
    <t>Localizar certificado de ignifugación o de tratamiento de ignifugado de la moqueta. En caso de que esta no reúna las características ignifugas necesarias se recomienda retirarla.</t>
  </si>
  <si>
    <t>SSGG</t>
  </si>
  <si>
    <t>Productos de limpieza (externa) almacenados en pequeño cuarto (lejía, amoniaco, fregasuelos, desinfectante)</t>
  </si>
  <si>
    <t>Se recomienda disponer de las fichas de los productos que se almacenan en el cuarto de limpieza</t>
  </si>
  <si>
    <t>COMÚN A TODAS LAS OFICINAS</t>
  </si>
  <si>
    <t>Instalar señalización de suelos resbaladizos.</t>
  </si>
  <si>
    <t>Solicitar formalmente a CBRE que en todas las localizaciones el personal de limpieza utilice la sñal de "Suelo mojado"</t>
  </si>
  <si>
    <t>Suelo desliante</t>
  </si>
  <si>
    <t>Revisar el estado del suelo y tratar de eliminar el agente o circunstancia que hace del pavimento una superficie mas resbaladiza.
Por ejemplo: contactar con la empresa que realizó la desinfección para que revisen el estado del suelo, y comprobar si existe algún tratamiento o limpieza que pueda eliminar/disminuir el riesgo de caída al mismo nivel.</t>
  </si>
  <si>
    <t>Pedir parte al jefe de gernica Bilbao</t>
  </si>
  <si>
    <t>Solucionado</t>
  </si>
  <si>
    <t>Exceso de cableado y conexiones intermedias en el puesto de trabajo</t>
  </si>
  <si>
    <t>Canalizar el cableado existente en los puestos de trabajo (bajo las propias mesas, cajoneras, ..) y tratar de reducir las conexiones intermedias existentes, ampliando el numero de enchufes en origen, de forma que la instalación se encuentre acorde al numero de dispositivos eléctricos existentes.</t>
  </si>
  <si>
    <t>IT MANDADO</t>
  </si>
  <si>
    <t>Mandado aviso a IT</t>
  </si>
  <si>
    <t>Reflejos, cajeros interiores y pvd puesto gestor 5.</t>
  </si>
  <si>
    <t>Colocar estores, vinilos o reubicar el puesto de trabajo de tal forma que las fuentes de luz, tales como ventanas y otras aberturas, los tabiques transparentes o translúcidos y los equipos o tabiques de color claro no provoquen deslumbramiento directo ni produzcan reflejos molestos en la pantalla.</t>
  </si>
  <si>
    <t>realizado</t>
  </si>
  <si>
    <t>Escalera fija de acceso desde la primera planta a la segunda carece de sistema antideslizante sobre los escalones.</t>
  </si>
  <si>
    <t>Instalar bandas antideslizantes en los escalones o bien realizar un tratamiento sobre la superficie de los mismos de modo que sea menos resbaladiza.</t>
  </si>
  <si>
    <t>ABRIR TICKET</t>
  </si>
  <si>
    <t>REVISAR!</t>
  </si>
  <si>
    <t>Las puertas metálicas del cuadro eléctrico no tienen toma a tierra.</t>
  </si>
  <si>
    <t>Instalar sistema de puesta a tierra de las masas metálicas accesibles de los cuadros y armarios eléctricos metálicos (bisagras, puerta, etc.).</t>
  </si>
  <si>
    <t>TICKET</t>
  </si>
  <si>
    <t>Mantener actualizadas las fichas de datos de seguridad de los productos utilizados por la limpiadora externa y almacenados en cuarto almacén de primera planta.</t>
  </si>
  <si>
    <t>MANDADO MAIL. SEPIDE VERIFICACION POR PART DE CBRE</t>
  </si>
  <si>
    <t>EN PRINCIPIO SOLO USAN CAPSULAS Y NO ES NECESARIO ALMACENAR PRODUCTOS</t>
  </si>
  <si>
    <t>Colocar las fichas de datos de seguridad en el aseo de segunda planta (se almacenan envases de productos de limpieza)</t>
  </si>
  <si>
    <t>No se dispone de fichas</t>
  </si>
  <si>
    <t>No se dispone de fuente de agua potable (está instalado la toma de red con filtro, pero no se dispone aún de sistema de dosificación)</t>
  </si>
  <si>
    <t>Instalar fuente de agua potable en vestíbulo de acceso a vestuarios, en planta primera.</t>
  </si>
  <si>
    <t>SE QUEDA COMO ESTÁ</t>
  </si>
  <si>
    <t>En la planta baja hay una puerta en la zona de autoservicio que da acceso al garaje del edificio pero no tienen acceso.</t>
  </si>
  <si>
    <t xml:space="preserve"> Colocar una señal de "SIN SALIDA" o de "No utilizar en caso de evacuación)</t>
  </si>
  <si>
    <t>REVISAR Y PREGUNTAR A COORDI</t>
  </si>
  <si>
    <t>No hay luz en el puesto alto PAD, dificulta el trabajo</t>
  </si>
  <si>
    <t>Colocar punto de luz</t>
  </si>
  <si>
    <t>REVISAR ALEJANDRO</t>
  </si>
  <si>
    <t>Poner a tierra las masas metálicas accesibles del cuadro eléctrico (bisagras, puerta, etc.).</t>
  </si>
  <si>
    <t>Conectar a tierra la puerta metálica del cuadro eléctrico.</t>
  </si>
  <si>
    <t>Instalar envolventes en las partes activas de la instalación eléctrica o situarlas detrás de barreras.</t>
  </si>
  <si>
    <t>Tapar huecos accesibles en el cuadro eléctrico.</t>
  </si>
  <si>
    <t>No hay señal que marca el botiquin</t>
  </si>
  <si>
    <t>Señalizar el botiquín con señal de salvamento o socorro, de forma rectangular o cuadrada, con pictograma blanco sobre fondo verde.</t>
  </si>
  <si>
    <t>Intensidad de luz insuficiente</t>
  </si>
  <si>
    <t>Aumentar el nivel de iluminación hasta alcanzar los 500 lux, para puestos que simultanean tareas de lectura y de escritura, tanto en el papel como en la pantalla</t>
  </si>
  <si>
    <t>SR5909805</t>
  </si>
  <si>
    <t>Puntualmente se repone el bidón de la máquina de agua (19L)</t>
  </si>
  <si>
    <t>Valorar la dotación de fuente de agua potable conectada a red u otro sistema que evite realizar manipulación de cargas</t>
  </si>
  <si>
    <t>HABLARLO CON CARLOS</t>
  </si>
  <si>
    <t>Puertas situadas en recorrido de evacuación sin señalizar</t>
  </si>
  <si>
    <t>Señalizar las puertas situadas en el recorrido de evacuación con señales de salvamento o socorro.</t>
  </si>
  <si>
    <t>Sin señalizar recorrido de evacuación</t>
  </si>
  <si>
    <t>Señalizar los recorridos de evacuación.</t>
  </si>
  <si>
    <t>Llas escaleras de acceso al RAQ no tienen bandas antideslizantes</t>
  </si>
  <si>
    <t>Instalar bandas antideslizantes en los escalones.</t>
  </si>
  <si>
    <t>No se disponen de señales de advertencia de riesgo de caidas a mismo nivel</t>
  </si>
  <si>
    <t>Disponer de señales de advertencia de riesgo de caídas al mismo nivel.</t>
  </si>
  <si>
    <t xml:space="preserve">Durante la visita se observan productos químicos de limpieza doméstica almacenados en el centro de trabajo para su utilización por parte del personal de limpieza. </t>
  </si>
  <si>
    <t>Disponer de las fichas de datos de seguridad en castellano de los productos químicos existentes en el centro de trabajo en lugares accesibles y conocidos por todos los operarios para su posible consulta.</t>
  </si>
  <si>
    <t>No se dispone de recipiente especial y cerrado en la cabina del retrete utilizado por mujeres.</t>
  </si>
  <si>
    <t>Instalar recipiente especial y cerrado en la cabina del retrete utilizado por mujeres.</t>
  </si>
  <si>
    <t>Ausencia señalización de la prohibición del uso del ascensor en caso de emergencia</t>
  </si>
  <si>
    <t>Señalizar el ascensor para prohibir su uso en caso de emergencia.</t>
  </si>
  <si>
    <t>Tapa del botiquin roto</t>
  </si>
  <si>
    <t>Sustituir el botiquín que tiene la tapa rota por otro en buenas condiciones.</t>
  </si>
  <si>
    <t>Asesor-puesto 6 planta calle y asesor-puesto 5 planta 1ª no cumplen con los mínimos establecidos en el RD486/97 (Realizada medición de iluminación en fecha 29/03/2022)</t>
  </si>
  <si>
    <t>Aumentar el nivel de iluminación hasta alcanzar los 500 lux en aquellos puestos en los que sea necesario.</t>
  </si>
  <si>
    <t>Mala ubicación extintor</t>
  </si>
  <si>
    <t>Cambiar la ubicación del extintor que ha quedado tapado por la instalación de una fuete de agua</t>
  </si>
  <si>
    <t>SEGURIDAD PREGUNTAR A COORDI</t>
  </si>
  <si>
    <t>SR6347580</t>
  </si>
  <si>
    <t>ING MAD</t>
  </si>
  <si>
    <t>Faltan señales de Salida en zona de ascensores de ambos sotanos</t>
  </si>
  <si>
    <t>Añadir señales de Salida en zona de ascensores de ambos sotanos</t>
  </si>
  <si>
    <t>Señales de salida del comedor quedan ocultas por los stores</t>
  </si>
  <si>
    <t>Colgar señales de forma que queden delante de los stores</t>
  </si>
  <si>
    <t xml:space="preserve">Gotera </t>
  </si>
  <si>
    <t>Arreglar gotera. Pendiente del seguro de comunidad</t>
  </si>
  <si>
    <t>Pulsadores de alarma quedan tapados por plantas</t>
  </si>
  <si>
    <t>Mover plantas de sitio para dejr visibles las señales</t>
  </si>
  <si>
    <t>Incidencia</t>
  </si>
  <si>
    <t>Abierta</t>
  </si>
  <si>
    <t>Apertura</t>
  </si>
  <si>
    <t>Lugar</t>
  </si>
  <si>
    <t>Categoría</t>
  </si>
  <si>
    <t>Descripción</t>
  </si>
  <si>
    <t>Fecha Cierre</t>
  </si>
  <si>
    <t>Tiempo abierta</t>
  </si>
  <si>
    <t>Notas</t>
  </si>
  <si>
    <t>Hoy</t>
  </si>
  <si>
    <t xml:space="preserve">Dias </t>
  </si>
  <si>
    <t>SR5493108</t>
  </si>
  <si>
    <t>Angel</t>
  </si>
  <si>
    <t>Oficina</t>
  </si>
  <si>
    <t>Cambio de cerradura por perdida de llave. Necesitamos 4 llaves para la oficina, una para el acuda y 1 para enviar al centro de control de INGMAD junto con la tarjeta codificadora.</t>
  </si>
  <si>
    <t>Problemas para encontrar un técncio de Assa Abloy, pendientes de hablar con Securitas.
Aprobado el presupuesto
Pendientes de ver que proveedor es barato, buscando proveedor en Tenerife
17-03 En teroria llega el material este viernes, pero depende de la huelga de trasnportistas
25-03 Afectacion por la huelga de trasnportistas, enviada el dia 18
01-04 Pendiente de planificar trabajo, la cerradura acaba de llegar</t>
  </si>
  <si>
    <t>SR5493752</t>
  </si>
  <si>
    <t>Tienen problemas para armar y desarmar la central de intrusión, que se pase un técnico para revisarlo.</t>
  </si>
  <si>
    <t>Han revisado la central de PCI, queda ver si la central de intrusión ya funciona correctamente.
Hay que cambiar todo el sistema de PCI del sotáno
Estan en obras en la oficina
Siguen de obras
09/03 Siguen con las obras de las bajantes
17/03 Sigguen con las obras de las bajantes
25/03 Siguen con las obras de las bajantes
01/04 Siguen con las obras de las bajantes</t>
  </si>
  <si>
    <t>SR5673875</t>
  </si>
  <si>
    <t>Alejandro</t>
  </si>
  <si>
    <t>Cámara `cajero exterior 2´sin señal.</t>
  </si>
  <si>
    <t>Pendiente de que Securitas acuda a la oficina
17/03 Pendiente de cambiar la PIN Hole
25/03 Pendientes de recibir el material
01/04 Seguimos pendientes de material</t>
  </si>
  <si>
    <t>SR5711934</t>
  </si>
  <si>
    <t>Lenuta</t>
  </si>
  <si>
    <t>Camara entrada mal enfocada</t>
  </si>
  <si>
    <t>25/03 Pendiente</t>
  </si>
  <si>
    <t>SR5718979</t>
  </si>
  <si>
    <t>Porfirio</t>
  </si>
  <si>
    <t>Necesitamos que modifiquen en el videograbador la fecha y hora ya que al seleccionar una grabacion aparecen 8 horas de diferencia y fecha del año 1970.</t>
  </si>
  <si>
    <t>01/04 Pendiente de planificación</t>
  </si>
  <si>
    <t>SR5740318</t>
  </si>
  <si>
    <t>Necesitamos revisen videograbador ya que no podemos acceder a él para importar configuracion.</t>
  </si>
  <si>
    <t>SR5746591</t>
  </si>
  <si>
    <t>A Coruña</t>
  </si>
  <si>
    <t>Servicio de vigilancia en horario ce cierre de la oficina hasta que la puerta trasera/emergencia quede reparada</t>
  </si>
  <si>
    <t>Diagonal securitas</t>
  </si>
  <si>
    <t>Presupuesto x kiosko: 15-20mil (amortización 10 años)</t>
  </si>
  <si>
    <t xml:space="preserve">Propuesta </t>
  </si>
  <si>
    <t>Comentario</t>
  </si>
  <si>
    <t>Fecha</t>
  </si>
  <si>
    <t>Comentario OFI</t>
  </si>
  <si>
    <t>Kioskos FLOR 3</t>
  </si>
  <si>
    <t>OK - Además quitamos sofá y ponemos puff</t>
  </si>
  <si>
    <t>Esquinarlo menos porque se pega a la mesa del gestor</t>
  </si>
  <si>
    <t>Quitar módulo cerrado y poner en su lugar: Kioskos FLOR 5, turnomatic, PAD y reorganizar cajeros internos para poner +1Cajero de fachada en la pared del pasillo</t>
  </si>
  <si>
    <t>1. FLOR en el centro raro porque: se come el flujo de la oficina y da cero intimidad
2. ¿Se puede mover el nuevo cajero 4b al lado del otro, dejar los cajeros internos en la pared derecha, donde están ahora, y poner el PAD y el kiosko en la pared de la derecha?</t>
  </si>
  <si>
    <t>¿¿Coste?? ¿Sylvia sabe?</t>
  </si>
  <si>
    <t>OK</t>
  </si>
  <si>
    <t xml:space="preserve">Hay que buscar la forma de darle la vuelta, poner los PC de cara a la pared y, si se puede, el de minusválidos que sea el de la derecha porque queda dando al pasillo por el que entran. Deberiamos buscar también una forma de que la trasera del mueble se vea "bien" En la oficina insisten en que nadie usa/quiere usar el de cara al gestor. </t>
  </si>
  <si>
    <t xml:space="preserve">Tenerife </t>
  </si>
  <si>
    <t>Kioskos FLOR 5</t>
  </si>
  <si>
    <t>Ok</t>
  </si>
  <si>
    <t>Poner 1 PAD</t>
  </si>
  <si>
    <t>Cambiar PAD por mesa de gestor
Cambiar sofá roto por módulos naranjas</t>
  </si>
  <si>
    <t>Propuesta 29/9/2022</t>
  </si>
  <si>
    <t>¿Se puede?</t>
  </si>
  <si>
    <t>Mesa de gestor en Planta Baja 
Unos de los PADs de abajo ponerlo arriba 
Poner 2 puestos de autoservicio en Planta Alta</t>
  </si>
  <si>
    <t>Enviado por email 7/10 (pendiente de revisar en reunión)</t>
  </si>
  <si>
    <t>Dejar 2 mesas arriba por intimidad y callbacks. 
El PAD lo queremos poner en la columna al lado de la TV de turnos y el kiosko al lado de la multiusos (con dos puestos)</t>
  </si>
  <si>
    <t>Cambiar PAD antiguo por un modelo nuevo</t>
  </si>
  <si>
    <t>Propuesto 27/10/2022</t>
  </si>
  <si>
    <t>Con plano de Valencia vemos dónde ubicarlo con Almudena</t>
  </si>
  <si>
    <t>Gjón</t>
  </si>
  <si>
    <t xml:space="preserve">Rediseño de los puestos de autoservicio y así aprovechar más el espacio y darle más intimidad. </t>
  </si>
  <si>
    <t>ELEMENTOS DE PRIVACIDAD EN PUESTOS Y KIOSKOS + MAMPARA PARA TABLET</t>
  </si>
  <si>
    <r>
      <rPr>
        <b/>
        <sz val="10"/>
        <color rgb="FFFF0000"/>
        <rFont val="ING Me"/>
      </rPr>
      <t>DESCARTADO</t>
    </r>
    <r>
      <rPr>
        <sz val="10"/>
        <color rgb="FFFF0000"/>
        <rFont val="ING Me"/>
      </rPr>
      <t xml:space="preserve">: </t>
    </r>
    <r>
      <rPr>
        <sz val="10"/>
        <rFont val="ING Me"/>
      </rPr>
      <t>No creemos necesario ampliar el número de kioskos con 3 es suficiente</t>
    </r>
  </si>
  <si>
    <t>AMORTIZABLE?</t>
  </si>
  <si>
    <t>NO</t>
  </si>
  <si>
    <t>SI</t>
  </si>
  <si>
    <t>PINTAR</t>
  </si>
  <si>
    <t>SILLAS</t>
  </si>
  <si>
    <t>MESAS</t>
  </si>
  <si>
    <t>SOFAS</t>
  </si>
  <si>
    <t>SUELO</t>
  </si>
  <si>
    <t>KIOSCOS</t>
  </si>
  <si>
    <t>TV</t>
  </si>
  <si>
    <t>OTRO</t>
  </si>
  <si>
    <t>COMENTARIOS Facilities</t>
  </si>
  <si>
    <t>COMENTARIOS</t>
  </si>
  <si>
    <t>(CG 08/03) SILLAS - Solicitado Presupuesto
(CG 27/05) SILLAS - Nuevas sillas entregadas</t>
  </si>
  <si>
    <t>Ya solicitado Work Order 696174</t>
  </si>
  <si>
    <t>Alta</t>
  </si>
  <si>
    <t>2 tv de puesto de gestor, 4 impresoras para no compartir estaba aprobado pero nunca llegaron, no hay espacio para poner la tarjeta de imprimir</t>
  </si>
  <si>
    <t>O´Donnell</t>
  </si>
  <si>
    <t>X</t>
  </si>
  <si>
    <t xml:space="preserve">1 Tv de puesto de gestor no funciona remitido ya a IT </t>
  </si>
  <si>
    <t>Media</t>
  </si>
  <si>
    <t>Se puede meter como obra y amortizar, hay que cerrar la oficina para hacerlo. Opcion poner vinilo PVC, no es amortizable entonces</t>
  </si>
  <si>
    <t>Quitar kioscos 3 petalos por uno solo y poner 1 pad</t>
  </si>
  <si>
    <t>(CG 27/05) La fachada de la oficiana se limpió</t>
  </si>
  <si>
    <t>Mejora fachada oficina (limpieza baldosas y suelo acceso oficina) Request Se pasó ticket el 21/10/21ID, SR5417300 pero es un deseable, no algo urgente. No cancelo ticket hasta nueva orden.</t>
  </si>
  <si>
    <t>(CG 27/05) SUELOS - Buscando una solución para los suelos deteriorados</t>
  </si>
  <si>
    <t>El sofá para clientes esta con la funda tan gastada que está agrietada de sentarse. Los suelos estan todos marcados por manchas y algunas baldosas sueltas. Las mesas ralladas</t>
  </si>
  <si>
    <t>Cambiar kiosco antiguo de 2 por nueva flor con 3</t>
  </si>
  <si>
    <t>(CG 27/05) PLATAFORMA SALVAESCALERAS Instalada y funcionando</t>
  </si>
  <si>
    <t>Rampa minusválidos, está en aprobación de presupuesto desde hace mucho tiempo</t>
  </si>
  <si>
    <t xml:space="preserve">Cambiar kiosco antiguo de 2 por nueva flor con 3. </t>
  </si>
  <si>
    <t>Ordenar el cableado de los puestos, tenemos una maraña de cables, alguno fijos que no podemos quitar y no se usan. Mesas deterioradas</t>
  </si>
  <si>
    <t xml:space="preserve">Media </t>
  </si>
  <si>
    <t>Cambiar backligthts exteriores por TV (Tenemos 6 en Oviedo y normalmente se ven deteriorados por el sol)</t>
  </si>
  <si>
    <t>Baja</t>
  </si>
  <si>
    <t>(CG 27/05) PEGATINAS - Pedido</t>
  </si>
  <si>
    <t>Cambiar pegatinas de León (2)</t>
  </si>
  <si>
    <t>(CG 27/05) BIOMBO -OK</t>
  </si>
  <si>
    <t>Biombo naranja zona vestuarios</t>
  </si>
  <si>
    <t>SOFA CLIENTES ROTO DESCOLCHADO</t>
  </si>
  <si>
    <t>MEDIA</t>
  </si>
  <si>
    <t>NUEVO DISEÑO RECEPCION DIAFANO PLANTA 0</t>
  </si>
  <si>
    <t>La oficina esta a medio terminar. Con el cambio sistema de seguirdad, tenemos agujeros en techos y paredes que no se han cerrado. Deberiamos pintar la oficina.</t>
  </si>
  <si>
    <t>(CG 27/05) El Renove terminó y se taparon agujeron y se pintó toda la oficna cn DYT</t>
  </si>
  <si>
    <t>Sobre todo pintar y adecentar las mesas si no es posible sustituirlas sería muy recomentable, están muy deterioradas</t>
  </si>
  <si>
    <t>Sustituir un monitor de un puesto</t>
  </si>
  <si>
    <t>Cambiar mesa entera, no solo tablero. Está coja y se ha roto el soporte que la aguanta</t>
  </si>
  <si>
    <t xml:space="preserve">MEDIA </t>
  </si>
  <si>
    <t>x</t>
  </si>
  <si>
    <t>(CG 27/05) Se ha pintado toda la oficina con DYT. Confirmar con Oficina que ya está ok ( no se ha hecho aún)</t>
  </si>
  <si>
    <t>Pintar zona cajero 24 horas y limpieza suelo profunda</t>
  </si>
  <si>
    <t>media</t>
  </si>
  <si>
    <t>(CG 27/05) BARANDILLA . Presupeusto aprobado. Pte ejecución</t>
  </si>
  <si>
    <t>Arreglo barandilla de escalera de Sabadell. Se ha deformado y hay bordes de metal que pueden dañar a los usuarios. SR5601333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</si>
</sst>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40">
    <font>
      <sz val="11"/>
      <color theme="1"/>
      <name val="Calibri"/>
      <family val="2"/>
      <scheme val="minor"/>
    </font>
    <font>
      <sz val="11"/>
      <color theme="1"/>
      <name val="ING Me"/>
    </font>
    <font>
      <b/>
      <sz val="12"/>
      <color theme="0"/>
      <name val="ING Me"/>
    </font>
    <font>
      <sz val="12"/>
      <color theme="1"/>
      <name val="ING Me"/>
    </font>
    <font>
      <sz val="12"/>
      <color rgb="FF000000"/>
      <name val="ING Me"/>
    </font>
    <font>
      <sz val="11"/>
      <name val="ING Me"/>
    </font>
    <font>
      <sz val="12"/>
      <name val="ING Me"/>
    </font>
    <font>
      <b/>
      <sz val="10"/>
      <color theme="0"/>
      <name val="ING Me"/>
    </font>
    <font>
      <b/>
      <sz val="10"/>
      <color theme="4"/>
      <name val="ING Me"/>
    </font>
    <font>
      <b/>
      <sz val="10"/>
      <color theme="5"/>
      <name val="ING Me"/>
    </font>
    <font>
      <b/>
      <sz val="10"/>
      <color rgb="FFFFFFFF"/>
      <name val="ING Me"/>
    </font>
    <font>
      <b/>
      <sz val="10"/>
      <color theme="1"/>
      <name val="ING Me"/>
    </font>
    <font>
      <sz val="10"/>
      <color rgb="FF000000"/>
      <name val="ING Me"/>
    </font>
    <font>
      <sz val="10"/>
      <color theme="1"/>
      <name val="ING Me"/>
    </font>
    <font>
      <b/>
      <sz val="10"/>
      <color rgb="FF70AD47"/>
      <name val="ING Me"/>
    </font>
    <font>
      <sz val="11"/>
      <color rgb="FF000000"/>
      <name val="ING Me"/>
    </font>
    <font>
      <b/>
      <sz val="9"/>
      <color indexed="81"/>
      <name val="Tahoma"/>
      <family val="2"/>
    </font>
    <font>
      <sz val="9"/>
      <color indexed="81"/>
      <name val="Tahoma"/>
      <family val="2"/>
    </font>
    <font>
      <sz val="11"/>
      <color theme="1"/>
      <name val="Calibri"/>
      <family val="2"/>
      <charset val="1"/>
    </font>
    <font>
      <sz val="11"/>
      <color rgb="FF000000"/>
      <name val="Calibri"/>
      <family val="2"/>
    </font>
    <font>
      <sz val="11"/>
      <color rgb="FF000000"/>
      <name val="Calibri"/>
      <family val="2"/>
      <scheme val="minor"/>
    </font>
    <font>
      <b/>
      <sz val="10"/>
      <color rgb="FF000000"/>
      <name val="ING Me"/>
    </font>
    <font>
      <sz val="8"/>
      <color theme="1"/>
      <name val="Calibri"/>
      <family val="2"/>
      <scheme val="minor"/>
    </font>
    <font>
      <b/>
      <sz val="11"/>
      <color theme="1"/>
      <name val="Calibri"/>
      <family val="2"/>
      <scheme val="minor"/>
    </font>
    <font>
      <b/>
      <sz val="10"/>
      <color theme="9"/>
      <name val="ING Me"/>
    </font>
    <font>
      <sz val="11"/>
      <color indexed="8"/>
      <name val="Calibri"/>
      <family val="2"/>
      <scheme val="minor"/>
    </font>
    <font>
      <sz val="10"/>
      <name val="ING Me"/>
    </font>
    <font>
      <sz val="10"/>
      <color rgb="FFFF0000"/>
      <name val="ING Me"/>
    </font>
    <font>
      <b/>
      <sz val="10"/>
      <color rgb="FFFF0000"/>
      <name val="ING Me"/>
    </font>
    <font>
      <sz val="12"/>
      <color rgb="FFFF0000"/>
      <name val="ING Me"/>
    </font>
    <font>
      <strike/>
      <sz val="11"/>
      <color rgb="FF000000"/>
      <name val="Calibri"/>
      <family val="2"/>
      <scheme val="minor"/>
    </font>
    <font>
      <sz val="11"/>
      <color rgb="FFFF0000"/>
      <name val="Calibri"/>
      <family val="2"/>
      <scheme val="minor"/>
    </font>
    <font>
      <b/>
      <sz val="11"/>
      <color rgb="FFFF0000"/>
      <name val="Calibri"/>
      <family val="2"/>
      <scheme val="minor"/>
    </font>
    <font>
      <strike/>
      <sz val="11"/>
      <color rgb="FFFF0000"/>
      <name val="Calibri"/>
      <family val="2"/>
      <scheme val="minor"/>
    </font>
    <font>
      <strike/>
      <sz val="11"/>
      <color indexed="8"/>
      <name val="Calibri"/>
      <family val="2"/>
      <scheme val="minor"/>
    </font>
    <font>
      <sz val="11"/>
      <name val="Calibri"/>
      <family val="2"/>
      <scheme val="minor"/>
    </font>
    <font>
      <strike/>
      <sz val="11"/>
      <name val="Calibri"/>
      <family val="2"/>
      <scheme val="minor"/>
    </font>
    <font>
      <u/>
      <sz val="11"/>
      <color theme="10"/>
      <name val="Calibri"/>
      <family val="2"/>
      <scheme val="minor"/>
    </font>
    <font>
      <sz val="8"/>
      <name val="Calibri"/>
      <family val="2"/>
      <scheme val="minor"/>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FF6200"/>
        <bgColor indexed="64"/>
      </patternFill>
    </fill>
    <fill>
      <patternFill patternType="solid">
        <fgColor rgb="FFC65911"/>
        <bgColor indexed="64"/>
      </patternFill>
    </fill>
    <fill>
      <patternFill patternType="solid">
        <fgColor rgb="FFC6E0B4"/>
        <bgColor indexed="64"/>
      </patternFill>
    </fill>
    <fill>
      <patternFill patternType="solid">
        <fgColor rgb="FFFFFFFF"/>
        <bgColor indexed="64"/>
      </patternFill>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9"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theme="0" tint="-0.499984740745262"/>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499984740745262"/>
      </left>
      <right style="thin">
        <color rgb="FFFF6200"/>
      </right>
      <top style="thin">
        <color theme="0" tint="-0.499984740745262"/>
      </top>
      <bottom/>
      <diagonal/>
    </border>
    <border>
      <left style="thin">
        <color rgb="FFFF6200"/>
      </left>
      <right style="thin">
        <color rgb="FFFF6200"/>
      </right>
      <top style="thin">
        <color theme="0" tint="-0.499984740745262"/>
      </top>
      <bottom/>
      <diagonal/>
    </border>
    <border>
      <left style="thin">
        <color rgb="FFFF6200"/>
      </left>
      <right style="thin">
        <color theme="0" tint="-0.499984740745262"/>
      </right>
      <top style="thin">
        <color theme="0" tint="-0.499984740745262"/>
      </top>
      <bottom/>
      <diagonal/>
    </border>
    <border>
      <left/>
      <right style="thin">
        <color theme="0" tint="-0.499984740745262"/>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theme="0" tint="-0.499984740745262"/>
      </right>
      <top/>
      <bottom style="thin">
        <color indexed="64"/>
      </bottom>
      <diagonal/>
    </border>
    <border>
      <left/>
      <right style="thin">
        <color theme="0" tint="-0.499984740745262"/>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rgb="FF000000"/>
      </top>
      <bottom/>
      <diagonal/>
    </border>
    <border>
      <left/>
      <right style="thin">
        <color indexed="64"/>
      </right>
      <top style="thin">
        <color rgb="FF000000"/>
      </top>
      <bottom style="thin">
        <color rgb="FF000000"/>
      </bottom>
      <diagonal/>
    </border>
    <border>
      <left/>
      <right/>
      <top style="thin">
        <color indexed="64"/>
      </top>
      <bottom style="thin">
        <color rgb="FF000000"/>
      </bottom>
      <diagonal/>
    </border>
    <border>
      <left/>
      <right style="thin">
        <color theme="0" tint="-0.499984740745262"/>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rgb="FFFF6200"/>
      </left>
      <right/>
      <top style="thin">
        <color theme="0" tint="-0.499984740745262"/>
      </top>
      <bottom/>
      <diagonal/>
    </border>
    <border>
      <left/>
      <right style="thin">
        <color rgb="FFFF6200"/>
      </right>
      <top style="thin">
        <color theme="0" tint="-0.499984740745262"/>
      </top>
      <bottom/>
      <diagonal/>
    </border>
    <border>
      <left style="thin">
        <color rgb="FF000000"/>
      </left>
      <right/>
      <top style="thin">
        <color rgb="FF000000"/>
      </top>
      <bottom/>
      <diagonal/>
    </border>
    <border>
      <left/>
      <right style="thin">
        <color theme="0" tint="-0.499984740745262"/>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25" fillId="0" borderId="0"/>
    <xf numFmtId="0" fontId="37" fillId="0" borderId="0" applyNumberFormat="0" applyFill="0" applyBorder="0" applyAlignment="0" applyProtection="0"/>
  </cellStyleXfs>
  <cellXfs count="444">
    <xf numFmtId="0" fontId="0" fillId="0" borderId="0" xfId="0"/>
    <xf numFmtId="0" fontId="1" fillId="2" borderId="0" xfId="0" applyFont="1" applyFill="1"/>
    <xf numFmtId="0" fontId="1" fillId="2" borderId="0" xfId="0" applyFont="1" applyFill="1" applyAlignment="1">
      <alignment horizontal="center" vertical="center"/>
    </xf>
    <xf numFmtId="0" fontId="3"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5" fillId="2" borderId="0" xfId="0" applyFont="1" applyFill="1"/>
    <xf numFmtId="0" fontId="8" fillId="0" borderId="0" xfId="0" applyFont="1" applyAlignment="1">
      <alignment horizontal="center"/>
    </xf>
    <xf numFmtId="0" fontId="8" fillId="0" borderId="0" xfId="0" applyFont="1" applyAlignment="1">
      <alignment horizontal="center" vertical="center"/>
    </xf>
    <xf numFmtId="0" fontId="8" fillId="0" borderId="0" xfId="0" applyFont="1" applyAlignment="1">
      <alignment wrapText="1"/>
    </xf>
    <xf numFmtId="0" fontId="8" fillId="0" borderId="0" xfId="0" applyFont="1"/>
    <xf numFmtId="0" fontId="9" fillId="0" borderId="0" xfId="0" applyFont="1" applyAlignment="1">
      <alignment horizontal="center" vertical="center"/>
    </xf>
    <xf numFmtId="0" fontId="10" fillId="4" borderId="1" xfId="0" applyFont="1" applyFill="1" applyBorder="1" applyAlignment="1">
      <alignment horizontal="center" vertical="center"/>
    </xf>
    <xf numFmtId="0" fontId="10" fillId="4" borderId="0" xfId="0" applyFont="1" applyFill="1" applyAlignment="1">
      <alignment horizontal="center" vertical="center"/>
    </xf>
    <xf numFmtId="0" fontId="11" fillId="0" borderId="0" xfId="0" applyFont="1"/>
    <xf numFmtId="0" fontId="9" fillId="0" borderId="1" xfId="0" applyFont="1" applyBorder="1" applyAlignment="1">
      <alignment horizontal="center" vertical="center"/>
    </xf>
    <xf numFmtId="0" fontId="12" fillId="2"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0" borderId="1" xfId="0" applyFont="1" applyBorder="1" applyAlignment="1">
      <alignment wrapText="1"/>
    </xf>
    <xf numFmtId="0" fontId="13" fillId="0" borderId="0" xfId="0" applyFont="1"/>
    <xf numFmtId="0" fontId="13" fillId="2" borderId="1" xfId="0" applyFont="1" applyFill="1" applyBorder="1" applyAlignment="1">
      <alignment horizontal="left" vertical="center"/>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xf>
    <xf numFmtId="0" fontId="9" fillId="0" borderId="2" xfId="0" applyFont="1" applyBorder="1" applyAlignment="1">
      <alignment horizontal="center" vertical="center"/>
    </xf>
    <xf numFmtId="0" fontId="13" fillId="2" borderId="2" xfId="0" applyFont="1" applyFill="1" applyBorder="1" applyAlignment="1">
      <alignment horizontal="center"/>
    </xf>
    <xf numFmtId="0" fontId="12" fillId="2" borderId="1" xfId="0" applyFont="1" applyFill="1" applyBorder="1" applyAlignment="1">
      <alignment horizontal="center" vertical="center" wrapText="1"/>
    </xf>
    <xf numFmtId="0" fontId="9" fillId="0" borderId="1" xfId="0" applyFont="1" applyBorder="1" applyAlignment="1">
      <alignment vertical="center"/>
    </xf>
    <xf numFmtId="0" fontId="15"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5" fillId="0" borderId="1" xfId="0" applyFont="1" applyBorder="1" applyAlignment="1">
      <alignment horizontal="center" vertical="center"/>
    </xf>
    <xf numFmtId="0" fontId="15" fillId="2" borderId="1" xfId="0" applyFont="1" applyFill="1" applyBorder="1" applyAlignment="1">
      <alignment horizontal="left" vertical="center"/>
    </xf>
    <xf numFmtId="0" fontId="15" fillId="0" borderId="1" xfId="0" applyFont="1" applyBorder="1" applyAlignment="1">
      <alignment horizontal="left" vertical="center"/>
    </xf>
    <xf numFmtId="0" fontId="15" fillId="2" borderId="2" xfId="0" applyFont="1" applyFill="1" applyBorder="1" applyAlignment="1">
      <alignment horizontal="center" vertical="center"/>
    </xf>
    <xf numFmtId="0" fontId="15" fillId="2" borderId="2" xfId="0" applyFont="1" applyFill="1" applyBorder="1" applyAlignment="1">
      <alignment horizontal="left" vertical="center"/>
    </xf>
    <xf numFmtId="0" fontId="15" fillId="0" borderId="2" xfId="0" applyFont="1" applyBorder="1" applyAlignment="1">
      <alignment horizontal="center" vertical="center"/>
    </xf>
    <xf numFmtId="0" fontId="9" fillId="0" borderId="5" xfId="0" applyFont="1" applyBorder="1" applyAlignment="1">
      <alignment horizontal="center" vertical="center"/>
    </xf>
    <xf numFmtId="0" fontId="15" fillId="2" borderId="5" xfId="0" applyFont="1" applyFill="1" applyBorder="1" applyAlignment="1">
      <alignment horizontal="center" vertical="center"/>
    </xf>
    <xf numFmtId="0" fontId="15" fillId="0" borderId="5" xfId="0" applyFont="1" applyBorder="1" applyAlignment="1">
      <alignment horizontal="center" vertical="center"/>
    </xf>
    <xf numFmtId="0" fontId="9" fillId="0" borderId="0" xfId="0" applyFont="1" applyAlignment="1">
      <alignment horizontal="center"/>
    </xf>
    <xf numFmtId="0" fontId="13" fillId="0" borderId="0" xfId="0" applyFont="1" applyAlignment="1">
      <alignment horizontal="center"/>
    </xf>
    <xf numFmtId="0" fontId="11" fillId="0" borderId="4" xfId="0" applyFont="1" applyBorder="1" applyAlignment="1">
      <alignment horizontal="center" vertical="center"/>
    </xf>
    <xf numFmtId="0" fontId="11" fillId="0" borderId="0" xfId="0" applyFont="1" applyAlignment="1">
      <alignment horizontal="center" vertical="center"/>
    </xf>
    <xf numFmtId="0" fontId="13" fillId="0" borderId="0" xfId="0" applyFont="1" applyAlignment="1">
      <alignment wrapText="1"/>
    </xf>
    <xf numFmtId="0" fontId="13" fillId="0" borderId="0" xfId="0" applyFont="1" applyAlignment="1">
      <alignment horizontal="center" vertical="center"/>
    </xf>
    <xf numFmtId="0" fontId="1" fillId="2" borderId="0" xfId="0" applyFont="1" applyFill="1" applyAlignment="1">
      <alignment horizontal="left"/>
    </xf>
    <xf numFmtId="0" fontId="1" fillId="6" borderId="0" xfId="0" applyFont="1" applyFill="1"/>
    <xf numFmtId="0" fontId="5" fillId="6" borderId="0" xfId="0" applyFont="1" applyFill="1"/>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xf>
    <xf numFmtId="0" fontId="3" fillId="6" borderId="8" xfId="0" applyFont="1" applyFill="1" applyBorder="1" applyAlignment="1">
      <alignment vertical="center"/>
    </xf>
    <xf numFmtId="0" fontId="3" fillId="6" borderId="9" xfId="0" applyFont="1" applyFill="1" applyBorder="1" applyAlignment="1">
      <alignment vertical="center"/>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7" xfId="0" applyFont="1" applyFill="1" applyBorder="1" applyAlignment="1">
      <alignment horizontal="left" vertical="center" wrapText="1"/>
    </xf>
    <xf numFmtId="0" fontId="6" fillId="6" borderId="7" xfId="0" applyFont="1" applyFill="1" applyBorder="1" applyAlignment="1">
      <alignment horizontal="center" vertical="center" wrapText="1"/>
    </xf>
    <xf numFmtId="14" fontId="6" fillId="6" borderId="7" xfId="0" applyNumberFormat="1" applyFont="1" applyFill="1" applyBorder="1" applyAlignment="1">
      <alignment horizontal="center" vertical="center"/>
    </xf>
    <xf numFmtId="0" fontId="6" fillId="6" borderId="1" xfId="0" applyFont="1" applyFill="1" applyBorder="1" applyAlignment="1">
      <alignment horizontal="left" vertical="center"/>
    </xf>
    <xf numFmtId="0" fontId="6" fillId="6" borderId="8" xfId="0" applyFont="1" applyFill="1" applyBorder="1" applyAlignment="1">
      <alignment vertical="center"/>
    </xf>
    <xf numFmtId="0" fontId="3" fillId="6" borderId="0" xfId="0" applyFont="1" applyFill="1" applyAlignment="1">
      <alignment horizontal="center" vertical="center"/>
    </xf>
    <xf numFmtId="0" fontId="3" fillId="6" borderId="0" xfId="0" applyFont="1" applyFill="1" applyAlignment="1">
      <alignment horizontal="left" vertical="center" wrapText="1"/>
    </xf>
    <xf numFmtId="0" fontId="3" fillId="6" borderId="0" xfId="0" applyFont="1" applyFill="1" applyAlignment="1">
      <alignment horizontal="center" vertical="center" wrapText="1"/>
    </xf>
    <xf numFmtId="14" fontId="6" fillId="6" borderId="0" xfId="0" applyNumberFormat="1" applyFont="1" applyFill="1" applyAlignment="1">
      <alignment horizontal="center" vertical="center"/>
    </xf>
    <xf numFmtId="14" fontId="3" fillId="6" borderId="0" xfId="0" applyNumberFormat="1" applyFont="1" applyFill="1" applyAlignment="1">
      <alignment horizontal="center" vertical="center"/>
    </xf>
    <xf numFmtId="0" fontId="4" fillId="6" borderId="0" xfId="0" applyFont="1" applyFill="1" applyAlignment="1">
      <alignment horizontal="center" vertical="center"/>
    </xf>
    <xf numFmtId="0" fontId="3" fillId="6" borderId="0" xfId="0" applyFont="1" applyFill="1" applyAlignment="1">
      <alignment horizontal="left" vertical="center"/>
    </xf>
    <xf numFmtId="0" fontId="3" fillId="6" borderId="0" xfId="0" applyFont="1" applyFill="1" applyAlignment="1">
      <alignment vertical="center"/>
    </xf>
    <xf numFmtId="0" fontId="6" fillId="6" borderId="0" xfId="0" applyFont="1" applyFill="1" applyAlignment="1">
      <alignment horizontal="center" vertical="center"/>
    </xf>
    <xf numFmtId="0" fontId="6" fillId="6" borderId="0" xfId="0" applyFont="1" applyFill="1" applyAlignment="1">
      <alignment horizontal="left" vertical="center" wrapText="1"/>
    </xf>
    <xf numFmtId="0" fontId="6" fillId="6" borderId="0" xfId="0" applyFont="1" applyFill="1" applyAlignment="1">
      <alignment horizontal="center" vertical="center" wrapText="1"/>
    </xf>
    <xf numFmtId="0" fontId="6" fillId="6" borderId="0" xfId="0" applyFont="1" applyFill="1" applyAlignment="1">
      <alignment horizontal="left" vertical="center"/>
    </xf>
    <xf numFmtId="0" fontId="6" fillId="6" borderId="0" xfId="0" applyFont="1" applyFill="1" applyAlignment="1">
      <alignment vertical="center"/>
    </xf>
    <xf numFmtId="0" fontId="1" fillId="6" borderId="0" xfId="0" applyFont="1" applyFill="1" applyAlignment="1">
      <alignment horizontal="left"/>
    </xf>
    <xf numFmtId="0" fontId="19" fillId="7" borderId="5" xfId="0" applyFont="1" applyFill="1" applyBorder="1" applyAlignment="1">
      <alignment horizontal="center" vertical="center" wrapText="1"/>
    </xf>
    <xf numFmtId="0" fontId="19" fillId="0" borderId="5" xfId="0" applyFont="1" applyBorder="1" applyAlignment="1">
      <alignment vertical="center" wrapText="1"/>
    </xf>
    <xf numFmtId="0" fontId="19" fillId="0" borderId="9" xfId="0" applyFont="1" applyBorder="1" applyAlignment="1">
      <alignment horizontal="center" vertical="center"/>
    </xf>
    <xf numFmtId="14" fontId="19" fillId="0" borderId="5" xfId="0" applyNumberFormat="1" applyFont="1" applyBorder="1" applyAlignment="1">
      <alignment horizontal="center" vertical="center"/>
    </xf>
    <xf numFmtId="0" fontId="19" fillId="0" borderId="15" xfId="0" applyFont="1" applyBorder="1" applyAlignment="1">
      <alignment horizontal="center" vertical="center"/>
    </xf>
    <xf numFmtId="0" fontId="19" fillId="0" borderId="0" xfId="0" applyFont="1" applyAlignment="1">
      <alignment horizontal="center" vertical="center" wrapText="1"/>
    </xf>
    <xf numFmtId="14" fontId="19" fillId="0" borderId="5" xfId="0" applyNumberFormat="1" applyFont="1" applyBorder="1" applyAlignment="1">
      <alignment vertical="center" wrapText="1"/>
    </xf>
    <xf numFmtId="0" fontId="19" fillId="0" borderId="5" xfId="0" applyFont="1" applyBorder="1" applyAlignment="1">
      <alignment horizontal="center" vertical="center"/>
    </xf>
    <xf numFmtId="0" fontId="20" fillId="0" borderId="5" xfId="0" applyFont="1" applyBorder="1" applyAlignment="1">
      <alignment vertical="center" wrapText="1"/>
    </xf>
    <xf numFmtId="14" fontId="19" fillId="0" borderId="5" xfId="0" applyNumberFormat="1" applyFont="1" applyBorder="1" applyAlignment="1">
      <alignment vertical="center"/>
    </xf>
    <xf numFmtId="0" fontId="19" fillId="0" borderId="5" xfId="0" applyFont="1" applyBorder="1" applyAlignment="1">
      <alignment horizontal="center" vertical="center" wrapText="1"/>
    </xf>
    <xf numFmtId="14" fontId="19" fillId="0" borderId="5"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7" xfId="0" applyFont="1" applyBorder="1" applyAlignment="1">
      <alignment horizontal="center" vertical="center"/>
    </xf>
    <xf numFmtId="0" fontId="19" fillId="0" borderId="9" xfId="0" applyFont="1" applyBorder="1" applyAlignment="1">
      <alignment vertical="center" wrapText="1"/>
    </xf>
    <xf numFmtId="0" fontId="20" fillId="0" borderId="5" xfId="0" applyFont="1" applyBorder="1" applyAlignment="1">
      <alignment horizontal="center" vertical="center" wrapText="1"/>
    </xf>
    <xf numFmtId="0" fontId="19" fillId="0" borderId="0" xfId="0" applyFont="1" applyAlignment="1">
      <alignment horizontal="center" wrapText="1"/>
    </xf>
    <xf numFmtId="0" fontId="19" fillId="0" borderId="1" xfId="0" applyFont="1" applyBorder="1" applyAlignment="1">
      <alignment horizontal="center" vertical="center"/>
    </xf>
    <xf numFmtId="0" fontId="18" fillId="0" borderId="17" xfId="0" applyFont="1" applyBorder="1" applyAlignment="1">
      <alignment horizontal="center"/>
    </xf>
    <xf numFmtId="0" fontId="19" fillId="0" borderId="5" xfId="0" applyFont="1" applyBorder="1" applyAlignment="1">
      <alignment horizontal="center" wrapText="1"/>
    </xf>
    <xf numFmtId="0" fontId="19" fillId="0" borderId="5" xfId="0" applyFont="1" applyBorder="1"/>
    <xf numFmtId="0" fontId="19" fillId="0" borderId="9" xfId="0" applyFont="1" applyBorder="1" applyAlignment="1">
      <alignment horizontal="center" vertical="center" wrapText="1"/>
    </xf>
    <xf numFmtId="0" fontId="19" fillId="0" borderId="15" xfId="0" applyFont="1" applyBorder="1" applyAlignment="1">
      <alignment wrapText="1"/>
    </xf>
    <xf numFmtId="0" fontId="19" fillId="0" borderId="15" xfId="0" applyFont="1" applyBorder="1" applyAlignment="1">
      <alignment horizontal="center"/>
    </xf>
    <xf numFmtId="0" fontId="19" fillId="0" borderId="17" xfId="0" applyFont="1" applyBorder="1" applyAlignment="1">
      <alignment vertical="center" wrapText="1"/>
    </xf>
    <xf numFmtId="0" fontId="0" fillId="0" borderId="1" xfId="0" applyBorder="1"/>
    <xf numFmtId="0" fontId="14" fillId="2"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3" fillId="8" borderId="1"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7" xfId="0" applyFont="1" applyFill="1" applyBorder="1" applyAlignment="1">
      <alignment horizontal="center" vertical="center" wrapText="1"/>
    </xf>
    <xf numFmtId="14" fontId="6" fillId="8"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7" xfId="0" applyFont="1" applyFill="1" applyBorder="1" applyAlignment="1">
      <alignment horizontal="left" vertical="center" wrapText="1"/>
    </xf>
    <xf numFmtId="0" fontId="3" fillId="2" borderId="7" xfId="0" applyFont="1" applyFill="1" applyBorder="1" applyAlignment="1">
      <alignment horizontal="center" vertical="center" wrapText="1"/>
    </xf>
    <xf numFmtId="14" fontId="6" fillId="2" borderId="7" xfId="0" applyNumberFormat="1" applyFont="1" applyFill="1" applyBorder="1" applyAlignment="1">
      <alignment horizontal="center" vertical="center"/>
    </xf>
    <xf numFmtId="14" fontId="3" fillId="2" borderId="7" xfId="0" applyNumberFormat="1" applyFont="1" applyFill="1" applyBorder="1" applyAlignment="1">
      <alignment horizontal="center" vertical="center"/>
    </xf>
    <xf numFmtId="0" fontId="4" fillId="2" borderId="7"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8" xfId="0" applyFont="1" applyFill="1" applyBorder="1" applyAlignment="1">
      <alignment vertical="center"/>
    </xf>
    <xf numFmtId="0" fontId="3" fillId="2" borderId="9" xfId="0" applyFont="1" applyFill="1" applyBorder="1" applyAlignment="1">
      <alignment vertical="center"/>
    </xf>
    <xf numFmtId="0" fontId="3" fillId="2" borderId="1" xfId="0" applyFont="1" applyFill="1" applyBorder="1" applyAlignment="1">
      <alignment horizontal="left" vertical="center"/>
    </xf>
    <xf numFmtId="0" fontId="1" fillId="8" borderId="0" xfId="0" applyFont="1" applyFill="1"/>
    <xf numFmtId="0" fontId="0" fillId="0" borderId="0" xfId="0" applyAlignment="1">
      <alignment horizontal="center"/>
    </xf>
    <xf numFmtId="0" fontId="0" fillId="0" borderId="0" xfId="0" applyAlignment="1">
      <alignment vertical="center"/>
    </xf>
    <xf numFmtId="0" fontId="0" fillId="0" borderId="18" xfId="0" applyBorder="1" applyAlignment="1">
      <alignment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xf numFmtId="0" fontId="0" fillId="0" borderId="22" xfId="0" applyBorder="1" applyAlignment="1">
      <alignment horizontal="center"/>
    </xf>
    <xf numFmtId="0" fontId="0" fillId="0" borderId="23" xfId="0" applyBorder="1" applyAlignment="1">
      <alignment horizontal="center"/>
    </xf>
    <xf numFmtId="0" fontId="0" fillId="0" borderId="24" xfId="0" applyBorder="1"/>
    <xf numFmtId="0" fontId="0" fillId="0" borderId="25" xfId="0" applyBorder="1" applyAlignment="1">
      <alignment horizontal="center"/>
    </xf>
    <xf numFmtId="0" fontId="21" fillId="0" borderId="0" xfId="0" applyFont="1"/>
    <xf numFmtId="0" fontId="4" fillId="9" borderId="0" xfId="0" applyFont="1" applyFill="1"/>
    <xf numFmtId="0" fontId="24" fillId="2" borderId="1" xfId="0" applyFont="1" applyFill="1" applyBorder="1" applyAlignment="1">
      <alignment horizontal="left" vertical="center" wrapText="1"/>
    </xf>
    <xf numFmtId="0" fontId="23" fillId="0" borderId="1" xfId="0" applyFont="1" applyBorder="1" applyAlignment="1">
      <alignment horizontal="center" wrapText="1"/>
    </xf>
    <xf numFmtId="0" fontId="23" fillId="0" borderId="1" xfId="0" applyFont="1" applyBorder="1" applyAlignment="1">
      <alignment wrapText="1"/>
    </xf>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horizontal="center" wrapText="1"/>
    </xf>
    <xf numFmtId="0" fontId="0" fillId="2" borderId="1" xfId="0" applyFill="1" applyBorder="1" applyAlignment="1">
      <alignment vertical="center" wrapText="1"/>
    </xf>
    <xf numFmtId="0" fontId="13" fillId="0" borderId="1" xfId="0" quotePrefix="1" applyFont="1" applyBorder="1" applyAlignment="1">
      <alignment horizontal="left" vertical="center" wrapText="1"/>
    </xf>
    <xf numFmtId="0" fontId="13" fillId="0" borderId="1" xfId="0" quotePrefix="1" applyFont="1" applyBorder="1" applyAlignment="1">
      <alignment horizontal="center" vertical="center" wrapText="1"/>
    </xf>
    <xf numFmtId="0" fontId="0" fillId="0" borderId="1" xfId="0" applyBorder="1" applyAlignment="1">
      <alignment vertical="center" wrapText="1"/>
    </xf>
    <xf numFmtId="0" fontId="0" fillId="8" borderId="1" xfId="0" applyFill="1" applyBorder="1" applyAlignment="1">
      <alignment horizontal="left" vertical="center" wrapText="1"/>
    </xf>
    <xf numFmtId="0" fontId="23" fillId="0" borderId="0" xfId="0" quotePrefix="1" applyFont="1" applyAlignment="1">
      <alignment vertical="center"/>
    </xf>
    <xf numFmtId="0" fontId="0" fillId="0" borderId="1" xfId="0" applyBorder="1" applyAlignment="1">
      <alignment horizontal="center" vertical="center" wrapText="1"/>
    </xf>
    <xf numFmtId="0" fontId="0" fillId="8" borderId="1" xfId="0" applyFill="1" applyBorder="1" applyAlignment="1">
      <alignment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26" fillId="2" borderId="1" xfId="0" applyFont="1"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xf numFmtId="0" fontId="0" fillId="8" borderId="1" xfId="0" applyFill="1" applyBorder="1" applyAlignment="1">
      <alignment vertical="center"/>
    </xf>
    <xf numFmtId="0" fontId="0" fillId="0" borderId="1" xfId="0" applyBorder="1" applyAlignment="1">
      <alignment horizontal="center"/>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27" fillId="0" borderId="1" xfId="0" applyFont="1" applyBorder="1" applyAlignment="1">
      <alignment horizontal="left" wrapText="1"/>
    </xf>
    <xf numFmtId="0" fontId="0" fillId="0" borderId="0" xfId="0" applyAlignment="1">
      <alignment horizontal="center" vertical="center"/>
    </xf>
    <xf numFmtId="0" fontId="6" fillId="6" borderId="13" xfId="0" applyFont="1" applyFill="1" applyBorder="1" applyAlignment="1">
      <alignment vertical="center"/>
    </xf>
    <xf numFmtId="0" fontId="3" fillId="2" borderId="13" xfId="0" applyFont="1" applyFill="1" applyBorder="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0" fontId="1" fillId="0" borderId="0" xfId="0" applyFont="1"/>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14" fontId="6" fillId="0" borderId="7" xfId="0" applyNumberFormat="1" applyFont="1" applyBorder="1" applyAlignment="1">
      <alignment horizontal="center" vertical="center"/>
    </xf>
    <xf numFmtId="14" fontId="3" fillId="0" borderId="7" xfId="0" applyNumberFormat="1" applyFont="1" applyBorder="1" applyAlignment="1">
      <alignment horizontal="center" vertical="center"/>
    </xf>
    <xf numFmtId="0" fontId="4" fillId="0" borderId="7" xfId="0" applyFont="1" applyBorder="1" applyAlignment="1">
      <alignment horizontal="center" vertical="center"/>
    </xf>
    <xf numFmtId="0" fontId="3" fillId="0" borderId="1" xfId="0" applyFont="1" applyBorder="1" applyAlignment="1">
      <alignment horizontal="left" vertical="center"/>
    </xf>
    <xf numFmtId="0" fontId="3" fillId="0" borderId="8" xfId="0" applyFont="1" applyBorder="1" applyAlignment="1">
      <alignment vertical="center"/>
    </xf>
    <xf numFmtId="0" fontId="3" fillId="0" borderId="9" xfId="0" applyFont="1" applyBorder="1" applyAlignment="1">
      <alignment vertical="center"/>
    </xf>
    <xf numFmtId="0" fontId="5" fillId="0" borderId="0" xfId="0" applyFont="1"/>
    <xf numFmtId="0" fontId="6" fillId="2" borderId="7" xfId="0" applyFont="1" applyFill="1" applyBorder="1" applyAlignment="1">
      <alignment horizontal="center" vertical="center"/>
    </xf>
    <xf numFmtId="0" fontId="6" fillId="2" borderId="7" xfId="0" applyFont="1" applyFill="1" applyBorder="1" applyAlignment="1">
      <alignment horizontal="left" vertical="center" wrapText="1"/>
    </xf>
    <xf numFmtId="0" fontId="6"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9" borderId="0" xfId="0" applyFont="1" applyFill="1" applyAlignment="1">
      <alignment vertical="center"/>
    </xf>
    <xf numFmtId="0" fontId="6" fillId="2" borderId="13" xfId="0" applyFont="1" applyFill="1" applyBorder="1" applyAlignment="1">
      <alignment vertical="center"/>
    </xf>
    <xf numFmtId="0" fontId="6" fillId="0" borderId="13" xfId="0" applyFont="1" applyBorder="1" applyAlignment="1">
      <alignment vertical="center"/>
    </xf>
    <xf numFmtId="0" fontId="1" fillId="10" borderId="0" xfId="0" applyFont="1" applyFill="1"/>
    <xf numFmtId="0" fontId="3" fillId="10" borderId="6" xfId="0" applyFont="1" applyFill="1" applyBorder="1" applyAlignment="1">
      <alignment horizontal="center" vertical="center"/>
    </xf>
    <xf numFmtId="0" fontId="3" fillId="10" borderId="7" xfId="0" applyFont="1" applyFill="1" applyBorder="1" applyAlignment="1">
      <alignment horizontal="center" vertical="center"/>
    </xf>
    <xf numFmtId="0" fontId="3" fillId="10" borderId="7" xfId="0" applyFont="1" applyFill="1" applyBorder="1" applyAlignment="1">
      <alignment horizontal="left" vertical="center" wrapText="1"/>
    </xf>
    <xf numFmtId="0" fontId="3" fillId="10" borderId="7" xfId="0" applyFont="1" applyFill="1" applyBorder="1" applyAlignment="1">
      <alignment horizontal="center" vertical="center" wrapText="1"/>
    </xf>
    <xf numFmtId="14" fontId="3" fillId="10" borderId="7" xfId="0" applyNumberFormat="1" applyFont="1" applyFill="1" applyBorder="1" applyAlignment="1">
      <alignment horizontal="center" vertical="center"/>
    </xf>
    <xf numFmtId="0" fontId="4" fillId="10" borderId="7" xfId="0" applyFont="1" applyFill="1" applyBorder="1" applyAlignment="1">
      <alignment horizontal="center" vertical="center"/>
    </xf>
    <xf numFmtId="0" fontId="3" fillId="10" borderId="1" xfId="0" applyFont="1" applyFill="1" applyBorder="1" applyAlignment="1">
      <alignment horizontal="left" vertical="center" wrapText="1"/>
    </xf>
    <xf numFmtId="0" fontId="6" fillId="10" borderId="13" xfId="0" applyFont="1" applyFill="1" applyBorder="1" applyAlignment="1">
      <alignment vertical="center"/>
    </xf>
    <xf numFmtId="0" fontId="3" fillId="10" borderId="8" xfId="0" applyFont="1" applyFill="1" applyBorder="1" applyAlignment="1">
      <alignment vertical="center"/>
    </xf>
    <xf numFmtId="0" fontId="3" fillId="10" borderId="9" xfId="0" applyFont="1" applyFill="1" applyBorder="1" applyAlignment="1">
      <alignment vertical="center"/>
    </xf>
    <xf numFmtId="0" fontId="5" fillId="10" borderId="0" xfId="0" applyFont="1" applyFill="1"/>
    <xf numFmtId="0" fontId="3" fillId="0" borderId="13" xfId="0" applyFont="1" applyBorder="1" applyAlignment="1">
      <alignment vertical="center"/>
    </xf>
    <xf numFmtId="0" fontId="6" fillId="0" borderId="14" xfId="0" applyFont="1" applyBorder="1" applyAlignment="1">
      <alignment vertical="center"/>
    </xf>
    <xf numFmtId="0" fontId="6" fillId="0" borderId="13" xfId="0" applyFont="1" applyBorder="1" applyAlignment="1">
      <alignment vertical="center" wrapText="1"/>
    </xf>
    <xf numFmtId="0" fontId="3" fillId="8" borderId="0" xfId="0" applyFont="1" applyFill="1" applyAlignment="1">
      <alignment horizontal="center" vertical="center" wrapText="1"/>
    </xf>
    <xf numFmtId="14" fontId="6" fillId="8" borderId="0" xfId="0" applyNumberFormat="1" applyFont="1" applyFill="1" applyAlignment="1">
      <alignment horizontal="center" vertical="center"/>
    </xf>
    <xf numFmtId="14" fontId="6" fillId="6" borderId="0" xfId="0" applyNumberFormat="1" applyFont="1" applyFill="1" applyAlignment="1">
      <alignment horizontal="left" vertical="center"/>
    </xf>
    <xf numFmtId="16" fontId="3" fillId="2" borderId="1" xfId="0" applyNumberFormat="1" applyFont="1" applyFill="1" applyBorder="1" applyAlignment="1">
      <alignment horizontal="left" vertical="center" wrapText="1"/>
    </xf>
    <xf numFmtId="16" fontId="3" fillId="0" borderId="1" xfId="0" applyNumberFormat="1" applyFont="1" applyBorder="1" applyAlignment="1">
      <alignment horizontal="left" vertical="center" wrapText="1"/>
    </xf>
    <xf numFmtId="16" fontId="6" fillId="10" borderId="13" xfId="0" applyNumberFormat="1" applyFont="1" applyFill="1" applyBorder="1" applyAlignment="1">
      <alignment vertical="center"/>
    </xf>
    <xf numFmtId="0" fontId="0" fillId="0" borderId="7" xfId="0" applyBorder="1"/>
    <xf numFmtId="0" fontId="1" fillId="11" borderId="0" xfId="0" applyFont="1" applyFill="1"/>
    <xf numFmtId="0" fontId="3" fillId="11" borderId="6" xfId="0" applyFont="1" applyFill="1" applyBorder="1" applyAlignment="1">
      <alignment horizontal="center" vertical="center"/>
    </xf>
    <xf numFmtId="0" fontId="3" fillId="11" borderId="7" xfId="0" applyFont="1" applyFill="1" applyBorder="1" applyAlignment="1">
      <alignment horizontal="center" vertical="center"/>
    </xf>
    <xf numFmtId="0" fontId="3" fillId="11" borderId="7" xfId="0" applyFont="1" applyFill="1" applyBorder="1" applyAlignment="1">
      <alignment horizontal="left" vertical="center" wrapText="1"/>
    </xf>
    <xf numFmtId="0" fontId="3" fillId="11" borderId="7" xfId="0" applyFont="1" applyFill="1" applyBorder="1" applyAlignment="1">
      <alignment horizontal="center" vertical="center" wrapText="1"/>
    </xf>
    <xf numFmtId="14" fontId="3" fillId="11" borderId="7" xfId="0" applyNumberFormat="1" applyFont="1" applyFill="1" applyBorder="1" applyAlignment="1">
      <alignment horizontal="center" vertical="center"/>
    </xf>
    <xf numFmtId="0" fontId="4" fillId="11" borderId="7" xfId="0" applyFont="1" applyFill="1" applyBorder="1" applyAlignment="1">
      <alignment horizontal="center" vertical="center"/>
    </xf>
    <xf numFmtId="0" fontId="3" fillId="11" borderId="1" xfId="0" applyFont="1" applyFill="1" applyBorder="1" applyAlignment="1">
      <alignment horizontal="left" vertical="center" wrapText="1"/>
    </xf>
    <xf numFmtId="0" fontId="6" fillId="11" borderId="13" xfId="0" applyFont="1" applyFill="1" applyBorder="1" applyAlignment="1">
      <alignment vertical="center"/>
    </xf>
    <xf numFmtId="0" fontId="3" fillId="11" borderId="8" xfId="0" applyFont="1" applyFill="1" applyBorder="1" applyAlignment="1">
      <alignment vertical="center"/>
    </xf>
    <xf numFmtId="0" fontId="3" fillId="11" borderId="9" xfId="0" applyFont="1" applyFill="1" applyBorder="1" applyAlignment="1">
      <alignment vertical="center"/>
    </xf>
    <xf numFmtId="0" fontId="5" fillId="11" borderId="0" xfId="0" applyFont="1" applyFill="1"/>
    <xf numFmtId="0" fontId="4" fillId="0" borderId="0" xfId="0" applyFont="1"/>
    <xf numFmtId="0" fontId="3" fillId="0" borderId="28" xfId="0" applyFont="1" applyBorder="1" applyAlignment="1">
      <alignment horizontal="left" vertical="center" wrapText="1"/>
    </xf>
    <xf numFmtId="0" fontId="3" fillId="0" borderId="28" xfId="0" applyFont="1" applyBorder="1" applyAlignment="1">
      <alignment horizontal="center" vertical="center" wrapText="1"/>
    </xf>
    <xf numFmtId="0" fontId="1" fillId="0" borderId="26" xfId="0" applyFont="1" applyBorder="1"/>
    <xf numFmtId="0" fontId="3" fillId="0" borderId="31" xfId="0" applyFont="1" applyBorder="1" applyAlignment="1">
      <alignment horizontal="left" vertical="center" wrapText="1"/>
    </xf>
    <xf numFmtId="0" fontId="3" fillId="0" borderId="31" xfId="0" applyFont="1" applyBorder="1" applyAlignment="1">
      <alignment horizontal="center" vertical="center" wrapText="1"/>
    </xf>
    <xf numFmtId="0" fontId="3" fillId="0" borderId="33" xfId="0" applyFont="1" applyBorder="1" applyAlignment="1">
      <alignment vertical="center"/>
    </xf>
    <xf numFmtId="0" fontId="3" fillId="0" borderId="7" xfId="0" applyFont="1" applyBorder="1" applyAlignment="1">
      <alignmen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6" fillId="0" borderId="1" xfId="0" applyFont="1" applyBorder="1" applyAlignment="1">
      <alignment horizontal="left" vertical="center" wrapText="1"/>
    </xf>
    <xf numFmtId="0" fontId="6" fillId="0" borderId="8" xfId="0" applyFont="1" applyBorder="1" applyAlignment="1">
      <alignment vertical="center"/>
    </xf>
    <xf numFmtId="0" fontId="6" fillId="0" borderId="9" xfId="0" applyFont="1" applyBorder="1" applyAlignment="1">
      <alignment vertical="center"/>
    </xf>
    <xf numFmtId="0" fontId="0" fillId="0" borderId="7" xfId="0" applyBorder="1" applyAlignment="1">
      <alignment horizontal="center" vertical="center"/>
    </xf>
    <xf numFmtId="0" fontId="3" fillId="6" borderId="13" xfId="0" applyFont="1" applyFill="1" applyBorder="1" applyAlignment="1">
      <alignment vertical="center"/>
    </xf>
    <xf numFmtId="0" fontId="3" fillId="10" borderId="0" xfId="0" applyFont="1" applyFill="1" applyAlignment="1">
      <alignment horizontal="center" vertical="center"/>
    </xf>
    <xf numFmtId="14" fontId="6" fillId="10" borderId="7" xfId="0" applyNumberFormat="1" applyFont="1" applyFill="1" applyBorder="1" applyAlignment="1">
      <alignment horizontal="center" vertical="center"/>
    </xf>
    <xf numFmtId="16" fontId="3" fillId="10" borderId="1" xfId="0" applyNumberFormat="1" applyFont="1" applyFill="1" applyBorder="1" applyAlignment="1">
      <alignment horizontal="left" vertical="center" wrapText="1"/>
    </xf>
    <xf numFmtId="0" fontId="1" fillId="12" borderId="0" xfId="0" applyFont="1" applyFill="1"/>
    <xf numFmtId="0" fontId="3" fillId="12" borderId="6" xfId="0" applyFont="1" applyFill="1" applyBorder="1" applyAlignment="1">
      <alignment horizontal="center" vertical="center"/>
    </xf>
    <xf numFmtId="0" fontId="3" fillId="12" borderId="7" xfId="0" applyFont="1" applyFill="1" applyBorder="1" applyAlignment="1">
      <alignment horizontal="center" vertical="center"/>
    </xf>
    <xf numFmtId="0" fontId="3" fillId="12" borderId="7" xfId="0" applyFont="1" applyFill="1" applyBorder="1" applyAlignment="1">
      <alignment horizontal="left" vertical="center" wrapText="1"/>
    </xf>
    <xf numFmtId="0" fontId="3" fillId="12" borderId="7" xfId="0" applyFont="1" applyFill="1" applyBorder="1" applyAlignment="1">
      <alignment horizontal="center" vertical="center" wrapText="1"/>
    </xf>
    <xf numFmtId="14" fontId="3" fillId="12" borderId="7" xfId="0" applyNumberFormat="1" applyFont="1" applyFill="1" applyBorder="1" applyAlignment="1">
      <alignment horizontal="center" vertical="center"/>
    </xf>
    <xf numFmtId="0" fontId="4" fillId="12" borderId="7" xfId="0" applyFont="1" applyFill="1" applyBorder="1" applyAlignment="1">
      <alignment horizontal="center" vertical="center"/>
    </xf>
    <xf numFmtId="0" fontId="3" fillId="12" borderId="1" xfId="0" applyFont="1" applyFill="1" applyBorder="1" applyAlignment="1">
      <alignment horizontal="left" vertical="center" wrapText="1"/>
    </xf>
    <xf numFmtId="0" fontId="6" fillId="12" borderId="13" xfId="0" applyFont="1" applyFill="1" applyBorder="1" applyAlignment="1">
      <alignment vertical="center"/>
    </xf>
    <xf numFmtId="0" fontId="3" fillId="12" borderId="8" xfId="0" applyFont="1" applyFill="1" applyBorder="1" applyAlignment="1">
      <alignment vertical="center"/>
    </xf>
    <xf numFmtId="0" fontId="3" fillId="12" borderId="9" xfId="0" applyFont="1" applyFill="1" applyBorder="1" applyAlignment="1">
      <alignment vertical="center"/>
    </xf>
    <xf numFmtId="0" fontId="0" fillId="0" borderId="5" xfId="0" applyBorder="1"/>
    <xf numFmtId="0" fontId="19" fillId="0" borderId="16" xfId="0" applyFont="1" applyBorder="1" applyAlignment="1">
      <alignment horizontal="center" vertical="center"/>
    </xf>
    <xf numFmtId="0" fontId="19" fillId="0" borderId="35" xfId="0" applyFont="1" applyBorder="1" applyAlignment="1">
      <alignment horizontal="center" vertical="center" wrapText="1"/>
    </xf>
    <xf numFmtId="0" fontId="19" fillId="0" borderId="36" xfId="0" applyFont="1" applyBorder="1" applyAlignment="1">
      <alignment horizontal="center" vertical="center"/>
    </xf>
    <xf numFmtId="0" fontId="0" fillId="0" borderId="16" xfId="0" applyBorder="1"/>
    <xf numFmtId="0" fontId="19" fillId="0" borderId="7" xfId="0" applyFont="1" applyBorder="1" applyAlignment="1">
      <alignment horizontal="center" vertical="center" wrapText="1"/>
    </xf>
    <xf numFmtId="0" fontId="19" fillId="0" borderId="37" xfId="0" applyFont="1" applyBorder="1" applyAlignment="1">
      <alignment horizontal="center" vertical="center" wrapText="1"/>
    </xf>
    <xf numFmtId="0" fontId="0" fillId="0" borderId="14" xfId="0" applyBorder="1"/>
    <xf numFmtId="14" fontId="19" fillId="0" borderId="15" xfId="0" applyNumberFormat="1" applyFont="1" applyBorder="1" applyAlignment="1">
      <alignment horizontal="center" vertical="center" wrapText="1"/>
    </xf>
    <xf numFmtId="0" fontId="19" fillId="0" borderId="15" xfId="0" applyFont="1" applyBorder="1" applyAlignment="1">
      <alignment horizontal="center" vertical="center" wrapText="1"/>
    </xf>
    <xf numFmtId="0" fontId="6" fillId="2" borderId="14" xfId="0" applyFont="1" applyFill="1" applyBorder="1" applyAlignment="1">
      <alignment vertical="center"/>
    </xf>
    <xf numFmtId="0" fontId="3" fillId="8" borderId="6" xfId="0" applyFont="1" applyFill="1" applyBorder="1" applyAlignment="1">
      <alignment horizontal="center" vertical="center"/>
    </xf>
    <xf numFmtId="0" fontId="3" fillId="8" borderId="7" xfId="0" applyFont="1" applyFill="1" applyBorder="1" applyAlignment="1">
      <alignment horizontal="left" vertical="center" wrapText="1"/>
    </xf>
    <xf numFmtId="14" fontId="3" fillId="8" borderId="7" xfId="0" applyNumberFormat="1" applyFont="1" applyFill="1" applyBorder="1" applyAlignment="1">
      <alignment horizontal="center" vertical="center"/>
    </xf>
    <xf numFmtId="0" fontId="4" fillId="8" borderId="7" xfId="0" applyFont="1" applyFill="1" applyBorder="1" applyAlignment="1">
      <alignment horizontal="center" vertical="center"/>
    </xf>
    <xf numFmtId="0" fontId="3" fillId="8" borderId="1" xfId="0" applyFont="1" applyFill="1" applyBorder="1" applyAlignment="1">
      <alignment horizontal="left" vertical="center" wrapText="1"/>
    </xf>
    <xf numFmtId="0" fontId="6" fillId="8" borderId="13" xfId="0" applyFont="1" applyFill="1" applyBorder="1" applyAlignment="1">
      <alignment vertical="center"/>
    </xf>
    <xf numFmtId="0" fontId="3" fillId="8" borderId="8" xfId="0" applyFont="1" applyFill="1" applyBorder="1" applyAlignment="1">
      <alignment vertical="center"/>
    </xf>
    <xf numFmtId="0" fontId="3" fillId="8" borderId="9" xfId="0" applyFont="1" applyFill="1" applyBorder="1" applyAlignment="1">
      <alignment vertical="center"/>
    </xf>
    <xf numFmtId="0" fontId="4" fillId="2" borderId="38" xfId="0" applyFont="1" applyFill="1" applyBorder="1" applyAlignment="1">
      <alignment horizontal="center" vertical="center"/>
    </xf>
    <xf numFmtId="0" fontId="1" fillId="2" borderId="7" xfId="0" applyFont="1" applyFill="1" applyBorder="1"/>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1" fillId="0" borderId="7" xfId="0" applyFont="1" applyBorder="1"/>
    <xf numFmtId="0" fontId="6" fillId="2" borderId="0" xfId="0" applyFont="1" applyFill="1" applyAlignment="1">
      <alignment horizontal="center" vertical="center" wrapText="1"/>
    </xf>
    <xf numFmtId="0" fontId="4" fillId="6" borderId="38" xfId="0" applyFont="1" applyFill="1" applyBorder="1" applyAlignment="1">
      <alignment horizontal="center" vertical="center"/>
    </xf>
    <xf numFmtId="0" fontId="4" fillId="0" borderId="38" xfId="0" applyFont="1" applyBorder="1" applyAlignment="1">
      <alignment horizontal="center" vertical="center"/>
    </xf>
    <xf numFmtId="0" fontId="6" fillId="6" borderId="38" xfId="0" applyFont="1" applyFill="1" applyBorder="1" applyAlignment="1">
      <alignment horizontal="center" vertical="center"/>
    </xf>
    <xf numFmtId="0" fontId="6" fillId="2" borderId="38" xfId="0" applyFont="1" applyFill="1" applyBorder="1" applyAlignment="1">
      <alignment horizontal="center" vertical="center"/>
    </xf>
    <xf numFmtId="0" fontId="3" fillId="8" borderId="0" xfId="0" applyFont="1" applyFill="1" applyAlignment="1">
      <alignment horizontal="center" vertical="center"/>
    </xf>
    <xf numFmtId="0" fontId="3" fillId="2" borderId="13" xfId="0" applyFont="1" applyFill="1" applyBorder="1" applyAlignment="1">
      <alignment horizontal="left" vertical="center" wrapText="1"/>
    </xf>
    <xf numFmtId="0" fontId="6" fillId="6" borderId="1" xfId="0" applyFont="1" applyFill="1" applyBorder="1" applyAlignment="1">
      <alignment vertical="center"/>
    </xf>
    <xf numFmtId="0" fontId="6" fillId="0" borderId="1" xfId="0" applyFont="1" applyBorder="1" applyAlignment="1">
      <alignment vertical="center"/>
    </xf>
    <xf numFmtId="0" fontId="3" fillId="2" borderId="1" xfId="0" applyFont="1" applyFill="1" applyBorder="1" applyAlignment="1">
      <alignment vertical="center"/>
    </xf>
    <xf numFmtId="0" fontId="6" fillId="6" borderId="14" xfId="0" applyFont="1" applyFill="1" applyBorder="1" applyAlignment="1">
      <alignment vertical="center"/>
    </xf>
    <xf numFmtId="0" fontId="3" fillId="0" borderId="1" xfId="0" applyFont="1" applyBorder="1" applyAlignment="1">
      <alignment vertical="center"/>
    </xf>
    <xf numFmtId="0" fontId="6" fillId="10" borderId="13" xfId="0" applyFont="1" applyFill="1" applyBorder="1" applyAlignment="1">
      <alignment vertical="center" wrapText="1"/>
    </xf>
    <xf numFmtId="0" fontId="6" fillId="2" borderId="1" xfId="0" applyFont="1" applyFill="1" applyBorder="1" applyAlignment="1">
      <alignment vertical="center"/>
    </xf>
    <xf numFmtId="0" fontId="1" fillId="2" borderId="8" xfId="0" applyFont="1" applyFill="1" applyBorder="1"/>
    <xf numFmtId="0" fontId="3" fillId="0" borderId="0" xfId="0" applyFont="1" applyAlignment="1">
      <alignment vertical="center"/>
    </xf>
    <xf numFmtId="0" fontId="3" fillId="2" borderId="0" xfId="0" applyFont="1" applyFill="1" applyAlignment="1">
      <alignment vertical="center"/>
    </xf>
    <xf numFmtId="0" fontId="3" fillId="2" borderId="8" xfId="0" applyFont="1" applyFill="1" applyBorder="1" applyAlignment="1">
      <alignment horizontal="center" vertical="center"/>
    </xf>
    <xf numFmtId="0" fontId="3" fillId="6" borderId="6" xfId="0" applyFont="1" applyFill="1" applyBorder="1" applyAlignment="1">
      <alignment vertical="center"/>
    </xf>
    <xf numFmtId="0" fontId="6" fillId="2" borderId="0" xfId="0" applyFont="1" applyFill="1" applyAlignment="1">
      <alignment vertical="center"/>
    </xf>
    <xf numFmtId="0" fontId="1" fillId="2" borderId="9" xfId="0" applyFont="1" applyFill="1" applyBorder="1"/>
    <xf numFmtId="0" fontId="3" fillId="2" borderId="9" xfId="0" applyFont="1" applyFill="1" applyBorder="1" applyAlignment="1">
      <alignment horizontal="center" vertical="center"/>
    </xf>
    <xf numFmtId="0" fontId="3" fillId="6" borderId="7" xfId="0" applyFont="1" applyFill="1" applyBorder="1" applyAlignment="1">
      <alignment vertical="center"/>
    </xf>
    <xf numFmtId="0" fontId="3" fillId="0" borderId="27" xfId="0" applyFont="1" applyBorder="1" applyAlignment="1">
      <alignment horizontal="center" vertical="center"/>
    </xf>
    <xf numFmtId="0" fontId="3" fillId="0" borderId="30" xfId="0" applyFont="1" applyBorder="1" applyAlignment="1">
      <alignment horizontal="center" vertical="center"/>
    </xf>
    <xf numFmtId="0" fontId="3" fillId="0" borderId="28" xfId="0" applyFont="1" applyBorder="1" applyAlignment="1">
      <alignment horizontal="center" vertical="center"/>
    </xf>
    <xf numFmtId="0" fontId="3" fillId="0" borderId="31" xfId="0" applyFont="1" applyBorder="1" applyAlignment="1">
      <alignment horizontal="center" vertical="center"/>
    </xf>
    <xf numFmtId="14" fontId="3" fillId="0" borderId="28" xfId="0" applyNumberFormat="1" applyFont="1" applyBorder="1" applyAlignment="1">
      <alignment horizontal="center" vertical="center"/>
    </xf>
    <xf numFmtId="14" fontId="3" fillId="0" borderId="31" xfId="0" applyNumberFormat="1" applyFont="1" applyBorder="1" applyAlignment="1">
      <alignment horizontal="center" vertical="center"/>
    </xf>
    <xf numFmtId="0" fontId="4" fillId="6" borderId="7" xfId="0" applyFont="1" applyFill="1" applyBorder="1" applyAlignment="1">
      <alignment horizontal="center" vertical="center"/>
    </xf>
    <xf numFmtId="0" fontId="4" fillId="0" borderId="28" xfId="0" applyFont="1" applyBorder="1" applyAlignment="1">
      <alignment horizontal="center" vertical="center"/>
    </xf>
    <xf numFmtId="0" fontId="4" fillId="0" borderId="31" xfId="0" applyFont="1" applyBorder="1" applyAlignment="1">
      <alignment horizontal="center" vertical="center"/>
    </xf>
    <xf numFmtId="0" fontId="3" fillId="0" borderId="4" xfId="0" applyFont="1" applyBorder="1" applyAlignment="1">
      <alignment horizontal="left" vertical="center" wrapText="1"/>
    </xf>
    <xf numFmtId="0" fontId="3" fillId="6" borderId="14" xfId="0" applyFont="1" applyFill="1" applyBorder="1" applyAlignment="1">
      <alignment vertical="center"/>
    </xf>
    <xf numFmtId="0" fontId="3" fillId="2" borderId="14" xfId="0" applyFont="1" applyFill="1" applyBorder="1" applyAlignment="1">
      <alignment vertical="center"/>
    </xf>
    <xf numFmtId="0" fontId="3" fillId="0" borderId="14" xfId="0" applyFont="1" applyBorder="1" applyAlignment="1">
      <alignment vertical="center" wrapText="1"/>
    </xf>
    <xf numFmtId="0" fontId="6" fillId="0" borderId="32" xfId="0" applyFont="1" applyBorder="1" applyAlignment="1">
      <alignment vertical="center"/>
    </xf>
    <xf numFmtId="0" fontId="6" fillId="2" borderId="8" xfId="0" applyFont="1" applyFill="1" applyBorder="1" applyAlignment="1">
      <alignment vertical="center"/>
    </xf>
    <xf numFmtId="0" fontId="3" fillId="0" borderId="29" xfId="0" applyFont="1" applyBorder="1" applyAlignment="1">
      <alignment vertical="center"/>
    </xf>
    <xf numFmtId="0" fontId="6" fillId="6" borderId="9" xfId="0" applyFont="1" applyFill="1" applyBorder="1" applyAlignment="1">
      <alignment vertical="center"/>
    </xf>
    <xf numFmtId="0" fontId="3" fillId="0" borderId="34" xfId="0" applyFont="1" applyBorder="1" applyAlignment="1">
      <alignment vertical="center"/>
    </xf>
    <xf numFmtId="0" fontId="6" fillId="6" borderId="13" xfId="0" applyFont="1" applyFill="1" applyBorder="1" applyAlignment="1">
      <alignment vertical="center" wrapText="1"/>
    </xf>
    <xf numFmtId="0" fontId="1" fillId="13" borderId="0" xfId="0" applyFont="1" applyFill="1"/>
    <xf numFmtId="0" fontId="3" fillId="13" borderId="6"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7" xfId="0" applyFont="1" applyFill="1" applyBorder="1" applyAlignment="1">
      <alignment horizontal="left" vertical="center" wrapText="1"/>
    </xf>
    <xf numFmtId="0" fontId="3" fillId="13" borderId="7" xfId="0" applyFont="1" applyFill="1" applyBorder="1" applyAlignment="1">
      <alignment horizontal="center" vertical="center" wrapText="1"/>
    </xf>
    <xf numFmtId="14" fontId="3" fillId="13" borderId="7" xfId="0" applyNumberFormat="1" applyFont="1" applyFill="1" applyBorder="1" applyAlignment="1">
      <alignment horizontal="center" vertical="center"/>
    </xf>
    <xf numFmtId="0" fontId="4" fillId="13" borderId="7" xfId="0" applyFont="1" applyFill="1" applyBorder="1" applyAlignment="1">
      <alignment horizontal="center" vertical="center"/>
    </xf>
    <xf numFmtId="0" fontId="3" fillId="13" borderId="1" xfId="0" applyFont="1" applyFill="1" applyBorder="1" applyAlignment="1">
      <alignment horizontal="left" vertical="center" wrapText="1"/>
    </xf>
    <xf numFmtId="0" fontId="6" fillId="13" borderId="13" xfId="0" applyFont="1" applyFill="1" applyBorder="1" applyAlignment="1">
      <alignment vertical="center"/>
    </xf>
    <xf numFmtId="0" fontId="3" fillId="13" borderId="8" xfId="0" applyFont="1" applyFill="1" applyBorder="1" applyAlignment="1">
      <alignment vertical="center"/>
    </xf>
    <xf numFmtId="0" fontId="3" fillId="13" borderId="9" xfId="0" applyFont="1" applyFill="1" applyBorder="1" applyAlignment="1">
      <alignment vertical="center"/>
    </xf>
    <xf numFmtId="0" fontId="4" fillId="11" borderId="38" xfId="0" applyFont="1" applyFill="1" applyBorder="1" applyAlignment="1">
      <alignment horizontal="center" vertical="center"/>
    </xf>
    <xf numFmtId="0" fontId="4" fillId="2" borderId="38" xfId="0" applyFont="1" applyFill="1" applyBorder="1" applyAlignment="1">
      <alignment horizontal="center" vertical="center" wrapText="1"/>
    </xf>
    <xf numFmtId="0" fontId="3" fillId="11" borderId="13" xfId="0" applyFont="1" applyFill="1" applyBorder="1" applyAlignment="1">
      <alignment vertical="center"/>
    </xf>
    <xf numFmtId="0" fontId="4" fillId="10" borderId="38" xfId="0" applyFont="1" applyFill="1" applyBorder="1" applyAlignment="1">
      <alignment horizontal="center" vertical="center"/>
    </xf>
    <xf numFmtId="0" fontId="3" fillId="10" borderId="13" xfId="0" applyFont="1" applyFill="1" applyBorder="1" applyAlignment="1">
      <alignment vertical="center"/>
    </xf>
    <xf numFmtId="0" fontId="3" fillId="2" borderId="0" xfId="0" applyFont="1" applyFill="1" applyAlignment="1">
      <alignment horizontal="left" vertical="center" wrapText="1"/>
    </xf>
    <xf numFmtId="14" fontId="3" fillId="0" borderId="0" xfId="0" applyNumberFormat="1" applyFont="1" applyAlignment="1">
      <alignment horizontal="center" vertical="center"/>
    </xf>
    <xf numFmtId="0" fontId="4" fillId="0" borderId="0" xfId="0" applyFont="1" applyAlignment="1">
      <alignment horizontal="center" vertical="center"/>
    </xf>
    <xf numFmtId="0" fontId="35" fillId="0" borderId="0" xfId="0" applyFont="1" applyAlignment="1">
      <alignment horizontal="left"/>
    </xf>
    <xf numFmtId="0" fontId="35" fillId="0" borderId="0" xfId="0" applyFont="1"/>
    <xf numFmtId="164" fontId="35" fillId="0" borderId="0" xfId="0" applyNumberFormat="1" applyFont="1" applyAlignment="1">
      <alignment horizontal="center"/>
    </xf>
    <xf numFmtId="0" fontId="35" fillId="14" borderId="0" xfId="0" applyFont="1" applyFill="1"/>
    <xf numFmtId="0" fontId="35" fillId="14" borderId="0" xfId="0" applyFont="1" applyFill="1" applyAlignment="1">
      <alignment horizontal="left" wrapText="1"/>
    </xf>
    <xf numFmtId="0" fontId="1" fillId="2" borderId="39" xfId="0" applyFont="1" applyFill="1" applyBorder="1" applyAlignment="1">
      <alignment horizontal="left"/>
    </xf>
    <xf numFmtId="0" fontId="35" fillId="2" borderId="0" xfId="0" applyFont="1" applyFill="1" applyAlignment="1">
      <alignment horizontal="left" wrapText="1"/>
    </xf>
    <xf numFmtId="0" fontId="35" fillId="2" borderId="0" xfId="0" applyFont="1" applyFill="1"/>
    <xf numFmtId="0" fontId="4" fillId="10" borderId="38" xfId="0" applyFont="1" applyFill="1" applyBorder="1" applyAlignment="1">
      <alignment horizontal="center" vertical="center" wrapText="1"/>
    </xf>
    <xf numFmtId="0" fontId="3" fillId="0" borderId="13" xfId="0" applyFont="1" applyBorder="1" applyAlignment="1">
      <alignment horizontal="left" vertical="center"/>
    </xf>
    <xf numFmtId="0" fontId="6" fillId="6" borderId="28" xfId="0" applyFont="1" applyFill="1" applyBorder="1" applyAlignment="1">
      <alignment vertical="center"/>
    </xf>
    <xf numFmtId="0" fontId="3" fillId="0" borderId="40" xfId="0" applyFont="1" applyBorder="1" applyAlignment="1">
      <alignment vertical="center"/>
    </xf>
    <xf numFmtId="0" fontId="1" fillId="2" borderId="1" xfId="0" applyFont="1" applyFill="1" applyBorder="1"/>
    <xf numFmtId="0" fontId="35" fillId="0" borderId="0" xfId="0" applyFont="1" applyAlignment="1">
      <alignment wrapText="1"/>
    </xf>
    <xf numFmtId="14" fontId="35" fillId="0" borderId="0" xfId="0" applyNumberFormat="1" applyFont="1" applyAlignment="1">
      <alignment wrapText="1"/>
    </xf>
    <xf numFmtId="0" fontId="6" fillId="2" borderId="13" xfId="0" applyFont="1" applyFill="1" applyBorder="1" applyAlignment="1">
      <alignment vertical="center" wrapText="1"/>
    </xf>
    <xf numFmtId="0" fontId="3" fillId="10" borderId="40" xfId="0" applyFont="1" applyFill="1" applyBorder="1" applyAlignment="1">
      <alignment vertical="center"/>
    </xf>
    <xf numFmtId="0" fontId="4" fillId="0" borderId="38" xfId="0" applyFont="1" applyBorder="1" applyAlignment="1">
      <alignment horizontal="center" vertical="center" wrapText="1"/>
    </xf>
    <xf numFmtId="0" fontId="4" fillId="10" borderId="1" xfId="0" applyFont="1" applyFill="1" applyBorder="1" applyAlignment="1">
      <alignment horizontal="left" vertical="center" wrapText="1"/>
    </xf>
    <xf numFmtId="14" fontId="3" fillId="2" borderId="7" xfId="0" applyNumberFormat="1" applyFont="1" applyFill="1" applyBorder="1" applyAlignment="1">
      <alignment horizontal="center" vertical="center" wrapText="1"/>
    </xf>
    <xf numFmtId="0" fontId="3" fillId="0" borderId="13" xfId="0" applyFont="1" applyBorder="1" applyAlignment="1">
      <alignment vertical="center" wrapText="1"/>
    </xf>
    <xf numFmtId="0" fontId="1" fillId="2" borderId="0" xfId="0" applyFont="1" applyFill="1" applyAlignment="1">
      <alignment wrapText="1"/>
    </xf>
    <xf numFmtId="0" fontId="4" fillId="2" borderId="4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6" fillId="6" borderId="5" xfId="0" applyFont="1" applyFill="1" applyBorder="1" applyAlignment="1">
      <alignment vertical="center" wrapText="1"/>
    </xf>
    <xf numFmtId="0" fontId="4" fillId="2" borderId="42" xfId="0" applyFont="1" applyFill="1" applyBorder="1" applyAlignment="1">
      <alignment horizontal="center" vertical="center" wrapText="1"/>
    </xf>
    <xf numFmtId="0" fontId="6" fillId="6" borderId="40" xfId="0" applyFont="1" applyFill="1" applyBorder="1" applyAlignment="1">
      <alignment vertical="center" wrapText="1"/>
    </xf>
    <xf numFmtId="0" fontId="2" fillId="3" borderId="43" xfId="0" applyFont="1" applyFill="1" applyBorder="1" applyAlignment="1">
      <alignment horizontal="center" vertical="center" wrapText="1"/>
    </xf>
    <xf numFmtId="0" fontId="4" fillId="0" borderId="5" xfId="0" applyFont="1" applyBorder="1" applyAlignment="1">
      <alignment horizontal="center" vertical="center"/>
    </xf>
    <xf numFmtId="0" fontId="4" fillId="2" borderId="5" xfId="0" applyFont="1" applyFill="1" applyBorder="1" applyAlignment="1">
      <alignment horizontal="center" vertical="center"/>
    </xf>
    <xf numFmtId="0" fontId="35" fillId="0" borderId="5" xfId="0" applyFont="1" applyBorder="1" applyAlignment="1">
      <alignment horizontal="left"/>
    </xf>
    <xf numFmtId="0" fontId="2" fillId="3" borderId="44" xfId="0" applyFont="1" applyFill="1" applyBorder="1" applyAlignment="1">
      <alignment horizontal="center" vertical="center" wrapText="1"/>
    </xf>
    <xf numFmtId="0" fontId="4" fillId="2" borderId="37" xfId="0" applyFont="1" applyFill="1" applyBorder="1" applyAlignment="1">
      <alignment horizontal="center" vertical="center"/>
    </xf>
    <xf numFmtId="0" fontId="4" fillId="0" borderId="37" xfId="0" applyFont="1" applyBorder="1" applyAlignment="1">
      <alignment horizontal="center" vertical="center"/>
    </xf>
    <xf numFmtId="0" fontId="4" fillId="2" borderId="42" xfId="0" applyFont="1" applyFill="1" applyBorder="1" applyAlignment="1">
      <alignment horizontal="center" vertical="center"/>
    </xf>
    <xf numFmtId="0" fontId="4" fillId="10" borderId="42"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0" xfId="0" applyFont="1" applyFill="1" applyAlignment="1">
      <alignment horizontal="center" vertical="center"/>
    </xf>
    <xf numFmtId="0" fontId="4" fillId="2" borderId="41" xfId="0" applyFont="1" applyFill="1" applyBorder="1" applyAlignment="1">
      <alignment horizontal="center" vertical="center"/>
    </xf>
    <xf numFmtId="0" fontId="2" fillId="3" borderId="0" xfId="0" applyFont="1" applyFill="1" applyAlignment="1">
      <alignment horizontal="center" vertical="center" wrapText="1"/>
    </xf>
    <xf numFmtId="0" fontId="4" fillId="2" borderId="37" xfId="0" applyFont="1" applyFill="1" applyBorder="1" applyAlignment="1">
      <alignment horizontal="center" vertical="center" wrapText="1"/>
    </xf>
    <xf numFmtId="0" fontId="3" fillId="0" borderId="5" xfId="0" applyFont="1" applyBorder="1" applyAlignment="1">
      <alignment vertical="center" wrapText="1"/>
    </xf>
    <xf numFmtId="0" fontId="3" fillId="6" borderId="45" xfId="0" applyFont="1" applyFill="1" applyBorder="1" applyAlignment="1">
      <alignment horizontal="center" vertical="center"/>
    </xf>
    <xf numFmtId="0" fontId="3" fillId="2" borderId="37" xfId="0" applyFont="1" applyFill="1" applyBorder="1" applyAlignment="1">
      <alignment horizontal="center" vertical="center"/>
    </xf>
    <xf numFmtId="0" fontId="3" fillId="2" borderId="37" xfId="0" applyFont="1" applyFill="1" applyBorder="1" applyAlignment="1">
      <alignment horizontal="left" vertical="center" wrapText="1"/>
    </xf>
    <xf numFmtId="0" fontId="3" fillId="0" borderId="37" xfId="0" applyFont="1" applyBorder="1" applyAlignment="1">
      <alignment horizontal="center" vertical="center" wrapText="1"/>
    </xf>
    <xf numFmtId="14" fontId="3" fillId="2" borderId="37" xfId="0" applyNumberFormat="1"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6" borderId="15" xfId="0" applyFont="1" applyFill="1" applyBorder="1" applyAlignment="1">
      <alignment vertical="center" wrapText="1"/>
    </xf>
    <xf numFmtId="0" fontId="3" fillId="0" borderId="40" xfId="0" applyFont="1" applyBorder="1" applyAlignment="1">
      <alignment vertical="center" wrapText="1"/>
    </xf>
    <xf numFmtId="0" fontId="3" fillId="6"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8" xfId="0" applyFont="1" applyFill="1" applyBorder="1" applyAlignment="1">
      <alignment horizontal="left" vertical="center" wrapText="1"/>
    </xf>
    <xf numFmtId="14" fontId="3" fillId="2" borderId="28" xfId="0" applyNumberFormat="1" applyFont="1" applyFill="1" applyBorder="1" applyAlignment="1">
      <alignment horizontal="center" vertical="center"/>
    </xf>
    <xf numFmtId="14" fontId="3" fillId="2" borderId="28" xfId="0" applyNumberFormat="1" applyFont="1" applyFill="1" applyBorder="1" applyAlignment="1">
      <alignment horizontal="center" vertical="center" wrapText="1"/>
    </xf>
    <xf numFmtId="0" fontId="3" fillId="0" borderId="46" xfId="0" applyFont="1" applyBorder="1" applyAlignment="1">
      <alignment vertical="center" wrapText="1"/>
    </xf>
    <xf numFmtId="14" fontId="3" fillId="2" borderId="37" xfId="0" applyNumberFormat="1" applyFont="1" applyFill="1" applyBorder="1" applyAlignment="1">
      <alignment horizontal="center" vertical="center"/>
    </xf>
    <xf numFmtId="0" fontId="3" fillId="0" borderId="2" xfId="0" applyFont="1" applyBorder="1" applyAlignment="1">
      <alignment horizontal="left" vertical="center" wrapText="1"/>
    </xf>
    <xf numFmtId="0" fontId="6" fillId="6" borderId="40" xfId="0" applyFont="1" applyFill="1" applyBorder="1" applyAlignment="1">
      <alignment vertical="center"/>
    </xf>
    <xf numFmtId="0" fontId="3" fillId="0" borderId="17" xfId="0" applyFont="1" applyBorder="1" applyAlignment="1">
      <alignment vertical="center"/>
    </xf>
    <xf numFmtId="0" fontId="1" fillId="2" borderId="37" xfId="0" applyFont="1" applyFill="1" applyBorder="1" applyAlignment="1">
      <alignment wrapText="1"/>
    </xf>
    <xf numFmtId="0" fontId="1" fillId="2" borderId="7" xfId="0" applyFont="1" applyFill="1" applyBorder="1" applyAlignment="1">
      <alignment wrapText="1"/>
    </xf>
    <xf numFmtId="0" fontId="1" fillId="2" borderId="6" xfId="0" applyFont="1" applyFill="1" applyBorder="1" applyAlignment="1">
      <alignment wrapText="1"/>
    </xf>
    <xf numFmtId="0" fontId="1" fillId="2" borderId="45" xfId="0" applyFont="1" applyFill="1" applyBorder="1" applyAlignment="1">
      <alignment wrapText="1"/>
    </xf>
    <xf numFmtId="0" fontId="1" fillId="2" borderId="15" xfId="0" applyFont="1" applyFill="1" applyBorder="1" applyAlignment="1">
      <alignment wrapText="1"/>
    </xf>
    <xf numFmtId="0" fontId="3" fillId="6" borderId="4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1" fillId="2" borderId="47" xfId="0" applyFont="1" applyFill="1" applyBorder="1" applyAlignment="1">
      <alignment wrapText="1"/>
    </xf>
    <xf numFmtId="0" fontId="3" fillId="0" borderId="5" xfId="0" applyFont="1" applyBorder="1" applyAlignment="1">
      <alignment vertical="center"/>
    </xf>
    <xf numFmtId="0" fontId="3" fillId="0" borderId="15" xfId="0" applyFont="1" applyBorder="1" applyAlignment="1">
      <alignment vertical="center"/>
    </xf>
    <xf numFmtId="0" fontId="1" fillId="2" borderId="0" xfId="0" applyFont="1" applyFill="1" applyAlignment="1">
      <alignment vertical="center"/>
    </xf>
    <xf numFmtId="0" fontId="1" fillId="2" borderId="37" xfId="0" applyFont="1" applyFill="1" applyBorder="1" applyAlignment="1">
      <alignment horizontal="left" vertical="center" wrapText="1"/>
    </xf>
    <xf numFmtId="0" fontId="1" fillId="2" borderId="37" xfId="0" applyFont="1" applyFill="1" applyBorder="1" applyAlignment="1">
      <alignment vertical="center" wrapText="1"/>
    </xf>
    <xf numFmtId="0" fontId="1" fillId="2" borderId="17" xfId="0" applyFont="1" applyFill="1" applyBorder="1" applyAlignment="1">
      <alignment vertical="center" wrapText="1"/>
    </xf>
    <xf numFmtId="0" fontId="1" fillId="2" borderId="7" xfId="0" applyFont="1" applyFill="1" applyBorder="1" applyAlignment="1">
      <alignment vertical="center" wrapText="1"/>
    </xf>
    <xf numFmtId="0" fontId="1" fillId="2" borderId="45" xfId="0" applyFont="1" applyFill="1" applyBorder="1" applyAlignment="1">
      <alignment vertical="center" wrapText="1"/>
    </xf>
    <xf numFmtId="0" fontId="1" fillId="2" borderId="0" xfId="0" applyFont="1" applyFill="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horizontal="left" vertical="center" wrapText="1"/>
    </xf>
    <xf numFmtId="0" fontId="1" fillId="2" borderId="9" xfId="0" applyFont="1" applyFill="1" applyBorder="1" applyAlignment="1">
      <alignment vertical="center" wrapText="1"/>
    </xf>
    <xf numFmtId="0" fontId="1" fillId="2" borderId="27" xfId="0" applyFont="1" applyFill="1" applyBorder="1" applyAlignment="1">
      <alignment vertical="center" wrapText="1"/>
    </xf>
    <xf numFmtId="0" fontId="6" fillId="6" borderId="28" xfId="0" applyFont="1" applyFill="1" applyBorder="1" applyAlignment="1">
      <alignment vertical="center" wrapText="1"/>
    </xf>
    <xf numFmtId="0" fontId="1" fillId="2" borderId="28" xfId="0" applyFont="1" applyFill="1" applyBorder="1" applyAlignment="1">
      <alignment wrapText="1"/>
    </xf>
    <xf numFmtId="0" fontId="1" fillId="2" borderId="28" xfId="0" applyFont="1" applyFill="1" applyBorder="1" applyAlignment="1">
      <alignment horizontal="left" vertical="center" wrapText="1"/>
    </xf>
    <xf numFmtId="0" fontId="1" fillId="2" borderId="28" xfId="0" applyFont="1" applyFill="1" applyBorder="1" applyAlignment="1">
      <alignment vertic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4" xfId="0" applyFont="1" applyFill="1" applyBorder="1" applyAlignment="1">
      <alignment horizontal="center" vertical="center"/>
    </xf>
    <xf numFmtId="0" fontId="3" fillId="6" borderId="0" xfId="0" applyFont="1" applyFill="1" applyBorder="1" applyAlignment="1">
      <alignment horizontal="center" vertical="center" wrapText="1"/>
    </xf>
    <xf numFmtId="0" fontId="1" fillId="2" borderId="0" xfId="0" applyFont="1" applyFill="1" applyBorder="1" applyAlignment="1">
      <alignment wrapText="1"/>
    </xf>
    <xf numFmtId="0" fontId="1" fillId="2" borderId="0" xfId="0" applyFont="1" applyFill="1" applyBorder="1" applyAlignment="1">
      <alignment horizontal="left" vertical="center" wrapText="1"/>
    </xf>
    <xf numFmtId="0" fontId="3" fillId="0" borderId="0" xfId="0" applyFont="1" applyBorder="1" applyAlignment="1">
      <alignment horizontal="center" vertical="center" wrapText="1"/>
    </xf>
    <xf numFmtId="0" fontId="1" fillId="2" borderId="0" xfId="0" applyFont="1" applyFill="1" applyBorder="1" applyAlignment="1">
      <alignment vertical="center" wrapText="1"/>
    </xf>
    <xf numFmtId="14" fontId="3" fillId="2" borderId="0" xfId="0" applyNumberFormat="1" applyFont="1" applyFill="1" applyBorder="1" applyAlignment="1">
      <alignment horizontal="center" vertical="center" wrapText="1"/>
    </xf>
    <xf numFmtId="0" fontId="3" fillId="0" borderId="0" xfId="0" applyFont="1" applyBorder="1" applyAlignment="1">
      <alignment vertical="center"/>
    </xf>
  </cellXfs>
  <cellStyles count="3">
    <cellStyle name="Hyperlink" xfId="2" xr:uid="{26CB7FF0-4494-44BD-8A6B-6F323A58D606}"/>
    <cellStyle name="Normal" xfId="0" builtinId="0"/>
    <cellStyle name="Normal 2" xfId="1" xr:uid="{5301B0FB-9E88-4477-9BC0-7C511839C448}"/>
  </cellStyles>
  <dxfs count="0"/>
  <tableStyles count="0" defaultTableStyle="TableStyleMedium2" defaultPivotStyle="PivotStyleLight16"/>
  <colors>
    <mruColors>
      <color rgb="FFFF6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66070</xdr:colOff>
      <xdr:row>24</xdr:row>
      <xdr:rowOff>25401</xdr:rowOff>
    </xdr:from>
    <xdr:to>
      <xdr:col>8</xdr:col>
      <xdr:colOff>114300</xdr:colOff>
      <xdr:row>41</xdr:row>
      <xdr:rowOff>115245</xdr:rowOff>
    </xdr:to>
    <xdr:pic>
      <xdr:nvPicPr>
        <xdr:cNvPr id="3" name="Picture 2">
          <a:extLst>
            <a:ext uri="{FF2B5EF4-FFF2-40B4-BE49-F238E27FC236}">
              <a16:creationId xmlns:a16="http://schemas.microsoft.com/office/drawing/2014/main" id="{8A378A16-E4E2-7546-4B1A-AD14F5FFE06C}"/>
            </a:ext>
          </a:extLst>
        </xdr:cNvPr>
        <xdr:cNvPicPr>
          <a:picLocks noChangeAspect="1"/>
        </xdr:cNvPicPr>
      </xdr:nvPicPr>
      <xdr:blipFill>
        <a:blip xmlns:r="http://schemas.openxmlformats.org/officeDocument/2006/relationships" r:embed="rId1"/>
        <a:stretch>
          <a:fillRect/>
        </a:stretch>
      </xdr:blipFill>
      <xdr:spPr>
        <a:xfrm>
          <a:off x="66070" y="3524251"/>
          <a:ext cx="4925030" cy="32203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Fernandez Amboage, D. (Diego)" id="{94B17F4A-8997-48BF-BB13-36A0A320BDA6}" userId="S::diego.fernandez@ing.com::62015fc7-97f3-4271-a13c-5da071865cf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5" dT="2022-01-27T08:05:12.96" personId="{94B17F4A-8997-48BF-BB13-36A0A320BDA6}" id="{65E08829-99C9-4675-A971-2B0E693FD13B}">
    <text>No urgente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69EF3-D370-4196-957F-836FEFBA7F3F}">
  <sheetPr codeName="Hoja1"/>
  <dimension ref="A1:A47"/>
  <sheetViews>
    <sheetView showGridLines="0" topLeftCell="D25" workbookViewId="0">
      <selection activeCell="A3" sqref="A3"/>
    </sheetView>
  </sheetViews>
  <sheetFormatPr defaultColWidth="8.7109375" defaultRowHeight="14.45"/>
  <sheetData>
    <row r="1" spans="1:1">
      <c r="A1" t="s">
        <v>0</v>
      </c>
    </row>
    <row r="3" spans="1:1">
      <c r="A3" t="s">
        <v>1</v>
      </c>
    </row>
    <row r="5" spans="1:1">
      <c r="A5" t="s">
        <v>2</v>
      </c>
    </row>
    <row r="7" spans="1:1">
      <c r="A7" t="s">
        <v>3</v>
      </c>
    </row>
    <row r="9" spans="1:1">
      <c r="A9" t="s">
        <v>4</v>
      </c>
    </row>
    <row r="10" spans="1:1">
      <c r="A10" t="s">
        <v>5</v>
      </c>
    </row>
    <row r="11" spans="1:1">
      <c r="A11" t="s">
        <v>6</v>
      </c>
    </row>
    <row r="12" spans="1:1">
      <c r="A12" t="s">
        <v>7</v>
      </c>
    </row>
    <row r="14" spans="1:1">
      <c r="A14" t="s">
        <v>8</v>
      </c>
    </row>
    <row r="15" spans="1:1">
      <c r="A15" t="s">
        <v>9</v>
      </c>
    </row>
    <row r="16" spans="1:1">
      <c r="A16" t="s">
        <v>10</v>
      </c>
    </row>
    <row r="17" spans="1:1">
      <c r="A17" t="s">
        <v>11</v>
      </c>
    </row>
    <row r="18" spans="1:1">
      <c r="A18" t="s">
        <v>12</v>
      </c>
    </row>
    <row r="19" spans="1:1">
      <c r="A19" t="s">
        <v>13</v>
      </c>
    </row>
    <row r="21" spans="1:1">
      <c r="A21" t="s">
        <v>14</v>
      </c>
    </row>
    <row r="22" spans="1:1">
      <c r="A22" t="s">
        <v>15</v>
      </c>
    </row>
    <row r="23" spans="1:1">
      <c r="A23" t="s">
        <v>16</v>
      </c>
    </row>
    <row r="24" spans="1:1">
      <c r="A24" t="s">
        <v>17</v>
      </c>
    </row>
    <row r="44" spans="1:1">
      <c r="A44" t="s">
        <v>18</v>
      </c>
    </row>
    <row r="45" spans="1:1">
      <c r="A45" t="s">
        <v>19</v>
      </c>
    </row>
    <row r="46" spans="1:1">
      <c r="A46" t="s">
        <v>20</v>
      </c>
    </row>
    <row r="47" spans="1:1">
      <c r="A47" t="s">
        <v>21</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filterMode="1">
    <tabColor theme="5"/>
  </sheetPr>
  <dimension ref="A1:XFD1661"/>
  <sheetViews>
    <sheetView showGridLines="0" tabSelected="1" zoomScale="43" zoomScaleNormal="53" workbookViewId="0">
      <pane ySplit="1" topLeftCell="A957" activePane="bottomLeft" state="frozen"/>
      <selection pane="bottomLeft" activeCell="N1510" sqref="N1510"/>
      <selection activeCell="C1" sqref="C1"/>
    </sheetView>
  </sheetViews>
  <sheetFormatPr defaultColWidth="8.7109375" defaultRowHeight="14.45"/>
  <cols>
    <col min="1" max="1" width="8.7109375" style="1"/>
    <col min="2" max="2" width="27" style="1" bestFit="1" customWidth="1"/>
    <col min="3" max="3" width="19.85546875" style="1" customWidth="1"/>
    <col min="4" max="4" width="66.28515625" style="45" customWidth="1"/>
    <col min="5" max="5" width="18.5703125" style="1" customWidth="1"/>
    <col min="6" max="6" width="33.85546875" style="1" hidden="1" customWidth="1"/>
    <col min="7" max="7" width="17.5703125" style="1" hidden="1" customWidth="1"/>
    <col min="8" max="9" width="18.7109375" style="1" hidden="1" customWidth="1"/>
    <col min="10" max="10" width="18.42578125" style="1" customWidth="1"/>
    <col min="11" max="11" width="14.7109375" style="1" customWidth="1"/>
    <col min="12" max="12" width="24.28515625" style="1" hidden="1" customWidth="1"/>
    <col min="13" max="13" width="22.7109375" style="1" hidden="1" customWidth="1"/>
    <col min="14" max="14" width="71.7109375" style="1" customWidth="1"/>
    <col min="15" max="15" width="84.85546875" style="1" customWidth="1"/>
    <col min="16" max="16" width="23.42578125" style="1" customWidth="1"/>
    <col min="17" max="17" width="18" style="1" hidden="1" customWidth="1"/>
    <col min="18" max="18" width="23.42578125" style="1" hidden="1" customWidth="1"/>
    <col min="19" max="19" width="33.42578125" style="1" customWidth="1"/>
    <col min="20" max="20" width="49" style="1" customWidth="1"/>
    <col min="21" max="21" width="31.85546875" style="6" customWidth="1"/>
    <col min="22" max="22" width="29.140625" style="6" customWidth="1"/>
    <col min="23" max="23" width="22.140625" style="6" customWidth="1"/>
    <col min="24" max="24" width="24.28515625" style="1" customWidth="1"/>
    <col min="25" max="25" width="24.7109375" style="1" customWidth="1"/>
    <col min="26" max="26" width="25" style="1" customWidth="1"/>
    <col min="27" max="27" width="28.7109375" style="1" customWidth="1"/>
    <col min="28" max="28" width="21.140625" style="1" customWidth="1"/>
    <col min="29" max="29" width="8.7109375" style="1"/>
    <col min="30" max="30" width="27.42578125" style="1" customWidth="1"/>
    <col min="31" max="31" width="28.7109375" style="1" customWidth="1"/>
    <col min="32" max="16384" width="8.7109375" style="1"/>
  </cols>
  <sheetData>
    <row r="1" spans="1:23" s="2" customFormat="1" ht="111.95">
      <c r="A1" s="2" t="s">
        <v>22</v>
      </c>
      <c r="B1" s="55" t="s">
        <v>23</v>
      </c>
      <c r="C1" s="56" t="s">
        <v>24</v>
      </c>
      <c r="D1" s="56" t="s">
        <v>25</v>
      </c>
      <c r="E1" s="56" t="s">
        <v>26</v>
      </c>
      <c r="F1" s="56" t="s">
        <v>27</v>
      </c>
      <c r="G1" s="56" t="s">
        <v>28</v>
      </c>
      <c r="H1" s="56" t="s">
        <v>29</v>
      </c>
      <c r="I1" s="56" t="s">
        <v>30</v>
      </c>
      <c r="J1" s="363" t="s">
        <v>31</v>
      </c>
      <c r="K1" s="375" t="s">
        <v>32</v>
      </c>
      <c r="L1" s="367" t="s">
        <v>33</v>
      </c>
      <c r="M1" s="56" t="s">
        <v>34</v>
      </c>
      <c r="N1" s="56" t="s">
        <v>35</v>
      </c>
      <c r="O1" s="57" t="s">
        <v>36</v>
      </c>
      <c r="P1" s="57" t="s">
        <v>37</v>
      </c>
      <c r="Q1" s="56" t="s">
        <v>38</v>
      </c>
      <c r="R1" s="56" t="s">
        <v>39</v>
      </c>
      <c r="U1" s="4" t="s">
        <v>40</v>
      </c>
      <c r="V1" s="4" t="s">
        <v>41</v>
      </c>
      <c r="W1" s="4" t="s">
        <v>42</v>
      </c>
    </row>
    <row r="2" spans="1:23" s="165" customFormat="1" ht="189" hidden="1" customHeight="1">
      <c r="B2" s="114" t="s">
        <v>43</v>
      </c>
      <c r="C2" s="115" t="s">
        <v>44</v>
      </c>
      <c r="D2" s="116" t="s">
        <v>45</v>
      </c>
      <c r="E2" s="117" t="s">
        <v>46</v>
      </c>
      <c r="F2" s="117"/>
      <c r="G2" s="118"/>
      <c r="H2" s="118"/>
      <c r="I2" s="118"/>
      <c r="J2" s="119">
        <v>2018</v>
      </c>
      <c r="K2" s="372"/>
      <c r="L2" s="115"/>
      <c r="M2" s="115"/>
      <c r="N2" s="121" t="s">
        <v>47</v>
      </c>
      <c r="O2" s="285" t="s">
        <v>48</v>
      </c>
      <c r="P2" s="122" t="s">
        <v>49</v>
      </c>
      <c r="Q2" s="53"/>
      <c r="R2" s="54"/>
      <c r="S2" s="167"/>
      <c r="T2" s="167"/>
      <c r="U2" s="178"/>
      <c r="V2" s="178"/>
      <c r="W2" s="178"/>
    </row>
    <row r="3" spans="1:23" s="237" customFormat="1" ht="191.1" hidden="1" customHeight="1">
      <c r="A3" s="167"/>
      <c r="B3" s="114" t="s">
        <v>50</v>
      </c>
      <c r="C3" s="115" t="s">
        <v>44</v>
      </c>
      <c r="D3" s="116" t="s">
        <v>51</v>
      </c>
      <c r="E3" s="117" t="s">
        <v>46</v>
      </c>
      <c r="F3" s="117"/>
      <c r="G3" s="118"/>
      <c r="H3" s="118"/>
      <c r="I3" s="118"/>
      <c r="J3" s="119">
        <v>44503</v>
      </c>
      <c r="K3" s="120" t="s">
        <v>52</v>
      </c>
      <c r="L3" s="115"/>
      <c r="M3" s="115"/>
      <c r="N3" s="121" t="s">
        <v>53</v>
      </c>
      <c r="O3" s="285" t="s">
        <v>48</v>
      </c>
      <c r="P3" s="53" t="s">
        <v>49</v>
      </c>
      <c r="Q3" s="53"/>
      <c r="R3" s="54"/>
      <c r="S3" s="186"/>
      <c r="T3" s="186"/>
      <c r="U3" s="197"/>
      <c r="V3" s="197"/>
      <c r="W3" s="197"/>
    </row>
    <row r="4" spans="1:23" s="165" customFormat="1" ht="68.099999999999994" hidden="1" customHeight="1">
      <c r="B4" s="114" t="s">
        <v>54</v>
      </c>
      <c r="C4" s="115" t="s">
        <v>44</v>
      </c>
      <c r="D4" s="116" t="s">
        <v>55</v>
      </c>
      <c r="E4" s="117" t="s">
        <v>46</v>
      </c>
      <c r="F4" s="117"/>
      <c r="G4" s="118"/>
      <c r="H4" s="118"/>
      <c r="I4" s="118"/>
      <c r="J4" s="119">
        <v>44514</v>
      </c>
      <c r="K4" s="368" t="s">
        <v>56</v>
      </c>
      <c r="L4" s="115"/>
      <c r="M4" s="115"/>
      <c r="N4" s="121" t="s">
        <v>57</v>
      </c>
      <c r="O4" s="285" t="s">
        <v>48</v>
      </c>
      <c r="P4" s="122" t="s">
        <v>49</v>
      </c>
      <c r="Q4" s="53"/>
      <c r="R4" s="54"/>
      <c r="S4" s="167"/>
      <c r="T4" s="167"/>
      <c r="U4" s="178"/>
      <c r="V4" s="178"/>
      <c r="W4" s="178"/>
    </row>
    <row r="5" spans="1:23" s="3" customFormat="1" ht="111.95" hidden="1">
      <c r="A5" s="165"/>
      <c r="B5" s="168" t="s">
        <v>58</v>
      </c>
      <c r="C5" s="169"/>
      <c r="D5" s="170" t="s">
        <v>59</v>
      </c>
      <c r="E5" s="171" t="s">
        <v>46</v>
      </c>
      <c r="F5" s="117"/>
      <c r="G5" s="118"/>
      <c r="H5" s="118"/>
      <c r="I5" s="115"/>
      <c r="J5" s="173">
        <v>44542</v>
      </c>
      <c r="K5" s="364" t="s">
        <v>60</v>
      </c>
      <c r="L5" s="115"/>
      <c r="M5" s="115"/>
      <c r="N5" s="182" t="s">
        <v>61</v>
      </c>
      <c r="O5" s="310" t="s">
        <v>62</v>
      </c>
      <c r="P5" s="176" t="s">
        <v>49</v>
      </c>
      <c r="Q5" s="176"/>
      <c r="R5" s="177"/>
      <c r="S5" s="1"/>
      <c r="T5" s="1"/>
      <c r="U5" s="6"/>
      <c r="V5" s="6"/>
      <c r="W5" s="6"/>
    </row>
    <row r="6" spans="1:23" s="165" customFormat="1" ht="144" hidden="1">
      <c r="A6" s="167"/>
      <c r="B6" s="168" t="s">
        <v>63</v>
      </c>
      <c r="C6" s="169" t="s">
        <v>44</v>
      </c>
      <c r="D6" s="170" t="s">
        <v>64</v>
      </c>
      <c r="E6" s="171" t="s">
        <v>46</v>
      </c>
      <c r="F6" s="117"/>
      <c r="G6" s="118"/>
      <c r="H6" s="118"/>
      <c r="I6" s="118"/>
      <c r="J6" s="173">
        <v>44568.3125</v>
      </c>
      <c r="K6" s="305" t="s">
        <v>65</v>
      </c>
      <c r="L6" s="115"/>
      <c r="M6" s="115"/>
      <c r="N6" s="182" t="s">
        <v>66</v>
      </c>
      <c r="O6" s="199"/>
      <c r="P6" s="176" t="s">
        <v>49</v>
      </c>
      <c r="Q6" s="176"/>
      <c r="R6" s="177"/>
      <c r="S6" s="167"/>
      <c r="T6" s="167"/>
      <c r="U6" s="178"/>
      <c r="V6" s="178"/>
      <c r="W6" s="178"/>
    </row>
    <row r="7" spans="1:23" s="165" customFormat="1" ht="48" hidden="1">
      <c r="B7" s="114" t="s">
        <v>67</v>
      </c>
      <c r="C7" s="115"/>
      <c r="D7" s="116" t="s">
        <v>68</v>
      </c>
      <c r="E7" s="117" t="s">
        <v>46</v>
      </c>
      <c r="F7" s="117"/>
      <c r="G7" s="118"/>
      <c r="H7" s="118"/>
      <c r="I7" s="118"/>
      <c r="J7" s="119">
        <v>44581</v>
      </c>
      <c r="K7" s="120" t="s">
        <v>69</v>
      </c>
      <c r="L7" s="115"/>
      <c r="M7" s="115"/>
      <c r="N7" s="121" t="s">
        <v>70</v>
      </c>
      <c r="O7" s="285" t="s">
        <v>48</v>
      </c>
      <c r="P7" s="122" t="s">
        <v>49</v>
      </c>
      <c r="Q7" s="122"/>
      <c r="R7" s="123"/>
      <c r="S7" s="167"/>
      <c r="T7" s="167"/>
      <c r="U7" s="178"/>
      <c r="V7" s="178"/>
      <c r="W7" s="178"/>
    </row>
    <row r="8" spans="1:23" s="166" customFormat="1" ht="32.1" hidden="1">
      <c r="A8" s="165"/>
      <c r="B8" s="48" t="s">
        <v>71</v>
      </c>
      <c r="C8" s="49"/>
      <c r="D8" s="50" t="s">
        <v>72</v>
      </c>
      <c r="E8" s="51" t="s">
        <v>46</v>
      </c>
      <c r="F8" s="51"/>
      <c r="G8" s="62"/>
      <c r="H8" s="62"/>
      <c r="I8" s="49"/>
      <c r="J8" s="52">
        <v>44586</v>
      </c>
      <c r="K8" s="304" t="s">
        <v>73</v>
      </c>
      <c r="L8" s="49"/>
      <c r="M8" s="49"/>
      <c r="N8" s="108" t="s">
        <v>74</v>
      </c>
      <c r="O8" s="308" t="s">
        <v>48</v>
      </c>
      <c r="P8" s="122" t="s">
        <v>49</v>
      </c>
      <c r="Q8" s="53"/>
      <c r="R8" s="54"/>
      <c r="S8" s="167"/>
      <c r="T8" s="167"/>
      <c r="U8" s="178"/>
      <c r="V8" s="178"/>
      <c r="W8" s="178"/>
    </row>
    <row r="9" spans="1:23" s="165" customFormat="1" ht="32.1" hidden="1">
      <c r="B9" s="168" t="s">
        <v>75</v>
      </c>
      <c r="C9" s="169" t="s">
        <v>44</v>
      </c>
      <c r="D9" s="170" t="s">
        <v>76</v>
      </c>
      <c r="E9" s="171" t="s">
        <v>46</v>
      </c>
      <c r="F9" s="171"/>
      <c r="G9" s="172"/>
      <c r="H9" s="172"/>
      <c r="I9" s="172"/>
      <c r="J9" s="173">
        <v>44589</v>
      </c>
      <c r="K9" s="174" t="s">
        <v>77</v>
      </c>
      <c r="L9" s="169"/>
      <c r="M9" s="169"/>
      <c r="N9" s="182" t="s">
        <v>78</v>
      </c>
      <c r="O9" s="290"/>
      <c r="P9" s="312" t="s">
        <v>49</v>
      </c>
      <c r="Q9" s="176"/>
      <c r="R9" s="177"/>
      <c r="S9" s="167"/>
      <c r="T9" s="167"/>
      <c r="U9" s="178"/>
      <c r="V9" s="178"/>
      <c r="W9" s="178"/>
    </row>
    <row r="10" spans="1:23" s="165" customFormat="1" ht="32.1" hidden="1">
      <c r="A10" s="167"/>
      <c r="B10" s="114" t="s">
        <v>79</v>
      </c>
      <c r="C10" s="115" t="s">
        <v>44</v>
      </c>
      <c r="D10" s="116" t="s">
        <v>80</v>
      </c>
      <c r="E10" s="117" t="s">
        <v>46</v>
      </c>
      <c r="F10" s="117"/>
      <c r="G10" s="118"/>
      <c r="H10" s="118"/>
      <c r="I10" s="118">
        <v>44594</v>
      </c>
      <c r="J10" s="119">
        <v>44589</v>
      </c>
      <c r="K10" s="120" t="s">
        <v>81</v>
      </c>
      <c r="L10" s="115"/>
      <c r="M10" s="115"/>
      <c r="N10" s="121" t="s">
        <v>82</v>
      </c>
      <c r="O10" s="285" t="s">
        <v>48</v>
      </c>
      <c r="P10" s="53" t="s">
        <v>49</v>
      </c>
      <c r="Q10" s="53"/>
      <c r="R10" s="54"/>
      <c r="S10" s="167"/>
      <c r="T10" s="167"/>
      <c r="U10" s="178"/>
      <c r="V10" s="178"/>
      <c r="W10" s="178"/>
    </row>
    <row r="11" spans="1:23" s="165" customFormat="1" ht="63.95" hidden="1" customHeight="1">
      <c r="B11" s="114" t="s">
        <v>54</v>
      </c>
      <c r="C11" s="115" t="s">
        <v>44</v>
      </c>
      <c r="D11" s="116" t="s">
        <v>83</v>
      </c>
      <c r="E11" s="117" t="s">
        <v>46</v>
      </c>
      <c r="F11" s="117"/>
      <c r="G11" s="118"/>
      <c r="H11" s="118"/>
      <c r="I11" s="118"/>
      <c r="J11" s="119">
        <v>44593</v>
      </c>
      <c r="K11" s="120" t="s">
        <v>84</v>
      </c>
      <c r="L11" s="115"/>
      <c r="M11" s="115"/>
      <c r="N11" s="121" t="s">
        <v>85</v>
      </c>
      <c r="O11" s="285" t="s">
        <v>48</v>
      </c>
      <c r="P11" s="122" t="s">
        <v>49</v>
      </c>
      <c r="Q11" s="53"/>
      <c r="R11" s="54"/>
      <c r="S11" s="167"/>
      <c r="T11" s="167"/>
      <c r="U11" s="178"/>
      <c r="V11" s="178"/>
      <c r="W11" s="178"/>
    </row>
    <row r="12" spans="1:23" s="167" customFormat="1" ht="80.099999999999994" hidden="1">
      <c r="B12" s="168" t="s">
        <v>86</v>
      </c>
      <c r="C12" s="169" t="s">
        <v>44</v>
      </c>
      <c r="D12" s="170" t="s">
        <v>87</v>
      </c>
      <c r="E12" s="171" t="s">
        <v>46</v>
      </c>
      <c r="F12" s="117"/>
      <c r="G12" s="118"/>
      <c r="H12" s="118"/>
      <c r="I12" s="118"/>
      <c r="J12" s="173">
        <v>44593</v>
      </c>
      <c r="K12" s="174" t="s">
        <v>88</v>
      </c>
      <c r="L12" s="115"/>
      <c r="M12" s="115"/>
      <c r="N12" s="182" t="s">
        <v>89</v>
      </c>
      <c r="O12" s="310" t="s">
        <v>90</v>
      </c>
      <c r="P12" s="176" t="s">
        <v>49</v>
      </c>
      <c r="Q12" s="176"/>
      <c r="R12" s="177"/>
      <c r="U12" s="178"/>
      <c r="V12" s="178"/>
      <c r="W12" s="178"/>
    </row>
    <row r="13" spans="1:23" s="167" customFormat="1" ht="176.1" hidden="1">
      <c r="A13" s="165"/>
      <c r="B13" s="48" t="s">
        <v>91</v>
      </c>
      <c r="C13" s="49"/>
      <c r="D13" s="50" t="s">
        <v>92</v>
      </c>
      <c r="E13" s="51" t="s">
        <v>46</v>
      </c>
      <c r="F13" s="51"/>
      <c r="G13" s="62"/>
      <c r="H13" s="62"/>
      <c r="I13" s="49"/>
      <c r="J13" s="52">
        <v>44594</v>
      </c>
      <c r="K13" s="304" t="s">
        <v>93</v>
      </c>
      <c r="L13" s="49"/>
      <c r="M13" s="49"/>
      <c r="N13" s="108" t="s">
        <v>94</v>
      </c>
      <c r="O13" s="308"/>
      <c r="P13" s="53" t="s">
        <v>49</v>
      </c>
      <c r="Q13" s="53"/>
      <c r="R13" s="54"/>
      <c r="U13" s="178"/>
      <c r="V13" s="178"/>
      <c r="W13" s="178"/>
    </row>
    <row r="14" spans="1:23" s="167" customFormat="1" ht="32.1" hidden="1">
      <c r="B14" s="114" t="s">
        <v>86</v>
      </c>
      <c r="C14" s="115" t="s">
        <v>95</v>
      </c>
      <c r="D14" s="116" t="s">
        <v>96</v>
      </c>
      <c r="E14" s="117" t="s">
        <v>46</v>
      </c>
      <c r="F14" s="117"/>
      <c r="G14" s="118"/>
      <c r="H14" s="118"/>
      <c r="I14" s="118"/>
      <c r="J14" s="119">
        <v>44600</v>
      </c>
      <c r="K14" s="120" t="s">
        <v>97</v>
      </c>
      <c r="L14" s="115"/>
      <c r="M14" s="115"/>
      <c r="N14" s="121" t="s">
        <v>98</v>
      </c>
      <c r="O14" s="285" t="s">
        <v>48</v>
      </c>
      <c r="P14" s="53" t="s">
        <v>49</v>
      </c>
      <c r="Q14" s="53"/>
      <c r="R14" s="54"/>
      <c r="U14" s="178"/>
      <c r="V14" s="178"/>
      <c r="W14" s="178"/>
    </row>
    <row r="15" spans="1:23" s="167" customFormat="1" ht="32.1" hidden="1">
      <c r="A15" s="165"/>
      <c r="B15" s="114" t="s">
        <v>99</v>
      </c>
      <c r="C15" s="115" t="s">
        <v>100</v>
      </c>
      <c r="D15" s="116" t="s">
        <v>101</v>
      </c>
      <c r="E15" s="117" t="s">
        <v>46</v>
      </c>
      <c r="F15" s="112"/>
      <c r="G15" s="113"/>
      <c r="H15" s="113"/>
      <c r="I15" s="111"/>
      <c r="J15" s="119">
        <v>44617</v>
      </c>
      <c r="K15" s="120" t="s">
        <v>102</v>
      </c>
      <c r="L15" s="111"/>
      <c r="M15" s="111"/>
      <c r="N15" s="121" t="s">
        <v>103</v>
      </c>
      <c r="O15" s="164" t="s">
        <v>48</v>
      </c>
      <c r="P15" s="122" t="s">
        <v>49</v>
      </c>
      <c r="Q15" s="122"/>
      <c r="R15" s="123"/>
      <c r="U15" s="178"/>
      <c r="V15" s="178"/>
      <c r="W15" s="178"/>
    </row>
    <row r="16" spans="1:23" s="167" customFormat="1" ht="32.1" hidden="1">
      <c r="A16" s="166"/>
      <c r="B16" s="58" t="s">
        <v>99</v>
      </c>
      <c r="C16" s="59"/>
      <c r="D16" s="60" t="s">
        <v>104</v>
      </c>
      <c r="E16" s="61" t="s">
        <v>46</v>
      </c>
      <c r="F16" s="61"/>
      <c r="G16" s="62"/>
      <c r="H16" s="62"/>
      <c r="I16" s="62">
        <v>44622</v>
      </c>
      <c r="J16" s="62">
        <v>44617</v>
      </c>
      <c r="K16" s="59" t="s">
        <v>105</v>
      </c>
      <c r="L16" s="59"/>
      <c r="M16" s="59"/>
      <c r="N16" s="109" t="s">
        <v>106</v>
      </c>
      <c r="O16" s="285" t="s">
        <v>48</v>
      </c>
      <c r="P16" s="64" t="s">
        <v>49</v>
      </c>
      <c r="Q16" s="64"/>
      <c r="R16" s="314"/>
      <c r="U16" s="178"/>
      <c r="V16" s="178"/>
      <c r="W16" s="178"/>
    </row>
    <row r="17" spans="1:18" s="167" customFormat="1" ht="32.1" hidden="1">
      <c r="A17" s="166"/>
      <c r="B17" s="58" t="s">
        <v>99</v>
      </c>
      <c r="C17" s="59"/>
      <c r="D17" s="60" t="s">
        <v>107</v>
      </c>
      <c r="E17" s="61" t="s">
        <v>46</v>
      </c>
      <c r="F17" s="61"/>
      <c r="G17" s="62"/>
      <c r="H17" s="62"/>
      <c r="I17" s="62">
        <v>44622</v>
      </c>
      <c r="J17" s="62">
        <v>44617</v>
      </c>
      <c r="K17" s="59" t="s">
        <v>108</v>
      </c>
      <c r="L17" s="59"/>
      <c r="M17" s="59"/>
      <c r="N17" s="63" t="s">
        <v>109</v>
      </c>
      <c r="O17" s="285" t="s">
        <v>48</v>
      </c>
      <c r="P17" s="64" t="s">
        <v>49</v>
      </c>
      <c r="Q17" s="64"/>
      <c r="R17" s="314"/>
    </row>
    <row r="18" spans="1:18" s="167" customFormat="1" ht="48" hidden="1">
      <c r="A18" s="165"/>
      <c r="B18" s="114" t="s">
        <v>99</v>
      </c>
      <c r="C18" s="115"/>
      <c r="D18" s="116" t="s">
        <v>110</v>
      </c>
      <c r="E18" s="117" t="s">
        <v>46</v>
      </c>
      <c r="F18" s="112"/>
      <c r="G18" s="113"/>
      <c r="H18" s="113"/>
      <c r="I18" s="111"/>
      <c r="J18" s="119">
        <v>44617</v>
      </c>
      <c r="K18" s="120" t="s">
        <v>111</v>
      </c>
      <c r="L18" s="111"/>
      <c r="M18" s="111"/>
      <c r="N18" s="121" t="s">
        <v>112</v>
      </c>
      <c r="O18" s="164" t="s">
        <v>48</v>
      </c>
      <c r="P18" s="122" t="s">
        <v>49</v>
      </c>
      <c r="Q18" s="122"/>
      <c r="R18" s="123"/>
    </row>
    <row r="19" spans="1:18" s="167" customFormat="1" ht="63.95" hidden="1">
      <c r="B19" s="114" t="s">
        <v>50</v>
      </c>
      <c r="C19" s="115" t="s">
        <v>44</v>
      </c>
      <c r="D19" s="116" t="s">
        <v>113</v>
      </c>
      <c r="E19" s="117" t="s">
        <v>46</v>
      </c>
      <c r="F19" s="117"/>
      <c r="G19" s="118"/>
      <c r="H19" s="118"/>
      <c r="I19" s="118"/>
      <c r="J19" s="119">
        <v>44646.872916666667</v>
      </c>
      <c r="K19" s="120" t="s">
        <v>114</v>
      </c>
      <c r="L19" s="115"/>
      <c r="M19" s="115"/>
      <c r="N19" s="121" t="s">
        <v>115</v>
      </c>
      <c r="O19" s="163"/>
      <c r="P19" s="53" t="s">
        <v>49</v>
      </c>
      <c r="Q19" s="53"/>
      <c r="R19" s="54"/>
    </row>
    <row r="20" spans="1:18" s="167" customFormat="1" ht="32.1" hidden="1">
      <c r="B20" s="114" t="s">
        <v>116</v>
      </c>
      <c r="C20" s="115" t="s">
        <v>44</v>
      </c>
      <c r="D20" s="116" t="s">
        <v>117</v>
      </c>
      <c r="E20" s="117" t="s">
        <v>46</v>
      </c>
      <c r="F20" s="117"/>
      <c r="G20" s="118"/>
      <c r="H20" s="118"/>
      <c r="I20" s="118"/>
      <c r="J20" s="119">
        <v>44713.40902777778</v>
      </c>
      <c r="K20" s="120" t="s">
        <v>118</v>
      </c>
      <c r="L20" s="115"/>
      <c r="M20" s="115"/>
      <c r="N20" s="121" t="s">
        <v>119</v>
      </c>
      <c r="O20" s="163"/>
      <c r="P20" s="53" t="s">
        <v>49</v>
      </c>
      <c r="Q20" s="53"/>
      <c r="R20" s="54"/>
    </row>
    <row r="21" spans="1:18" s="167" customFormat="1" ht="63" hidden="1" customHeight="1">
      <c r="B21" s="168" t="s">
        <v>75</v>
      </c>
      <c r="C21" s="169" t="s">
        <v>44</v>
      </c>
      <c r="D21" s="170" t="s">
        <v>120</v>
      </c>
      <c r="E21" s="171" t="s">
        <v>46</v>
      </c>
      <c r="F21" s="117"/>
      <c r="G21" s="118"/>
      <c r="H21" s="118"/>
      <c r="I21" s="118"/>
      <c r="J21" s="173">
        <v>44718.083333333336</v>
      </c>
      <c r="K21" s="174" t="s">
        <v>121</v>
      </c>
      <c r="L21" s="115"/>
      <c r="M21" s="115"/>
      <c r="N21" s="182" t="s">
        <v>122</v>
      </c>
      <c r="O21" s="185"/>
      <c r="P21" s="176" t="s">
        <v>49</v>
      </c>
      <c r="Q21" s="176"/>
      <c r="R21" s="177"/>
    </row>
    <row r="22" spans="1:18" s="167" customFormat="1" ht="80.099999999999994" hidden="1">
      <c r="B22" s="168" t="s">
        <v>75</v>
      </c>
      <c r="C22" s="169" t="s">
        <v>44</v>
      </c>
      <c r="D22" s="170" t="s">
        <v>123</v>
      </c>
      <c r="E22" s="171" t="s">
        <v>46</v>
      </c>
      <c r="F22" s="117"/>
      <c r="G22" s="118"/>
      <c r="H22" s="118"/>
      <c r="I22" s="118"/>
      <c r="J22" s="173">
        <v>44722.336111111108</v>
      </c>
      <c r="K22" s="174" t="s">
        <v>124</v>
      </c>
      <c r="L22" s="115"/>
      <c r="M22" s="115"/>
      <c r="N22" s="182" t="s">
        <v>125</v>
      </c>
      <c r="O22" s="185"/>
      <c r="P22" s="176" t="s">
        <v>49</v>
      </c>
      <c r="Q22" s="176"/>
      <c r="R22" s="177"/>
    </row>
    <row r="23" spans="1:18" s="167" customFormat="1" ht="32.1" hidden="1">
      <c r="A23" s="1"/>
      <c r="B23" s="114" t="s">
        <v>75</v>
      </c>
      <c r="C23" s="115" t="s">
        <v>44</v>
      </c>
      <c r="D23" s="116" t="s">
        <v>126</v>
      </c>
      <c r="E23" s="117" t="s">
        <v>46</v>
      </c>
      <c r="F23" s="117"/>
      <c r="G23" s="118"/>
      <c r="H23" s="118"/>
      <c r="I23" s="118"/>
      <c r="J23" s="119">
        <v>44729.462847222225</v>
      </c>
      <c r="K23" s="120" t="s">
        <v>127</v>
      </c>
      <c r="L23" s="115"/>
      <c r="M23" s="115"/>
      <c r="N23" s="124" t="s">
        <v>128</v>
      </c>
      <c r="O23" s="164"/>
      <c r="P23" s="122" t="s">
        <v>49</v>
      </c>
      <c r="Q23" s="122"/>
      <c r="R23" s="123"/>
    </row>
    <row r="24" spans="1:18" s="125" customFormat="1" ht="48" hidden="1">
      <c r="A24" s="1"/>
      <c r="B24" s="114" t="s">
        <v>129</v>
      </c>
      <c r="C24" s="115" t="s">
        <v>95</v>
      </c>
      <c r="D24" s="116" t="s">
        <v>130</v>
      </c>
      <c r="E24" s="117" t="s">
        <v>46</v>
      </c>
      <c r="F24" s="117"/>
      <c r="G24" s="118"/>
      <c r="H24" s="118"/>
      <c r="I24" s="118"/>
      <c r="J24" s="119">
        <v>44733.916666666664</v>
      </c>
      <c r="K24" s="120" t="s">
        <v>131</v>
      </c>
      <c r="L24" s="115"/>
      <c r="M24" s="115"/>
      <c r="N24" s="121" t="s">
        <v>132</v>
      </c>
      <c r="O24" s="184"/>
      <c r="P24" s="122" t="s">
        <v>49</v>
      </c>
      <c r="Q24" s="122"/>
      <c r="R24" s="123"/>
    </row>
    <row r="25" spans="1:18" s="125" customFormat="1" ht="176.1" hidden="1">
      <c r="A25" s="186"/>
      <c r="B25" s="187" t="s">
        <v>133</v>
      </c>
      <c r="C25" s="188" t="s">
        <v>44</v>
      </c>
      <c r="D25" s="189" t="s">
        <v>134</v>
      </c>
      <c r="E25" s="190" t="s">
        <v>46</v>
      </c>
      <c r="F25" s="117"/>
      <c r="G25" s="118"/>
      <c r="H25" s="118"/>
      <c r="I25" s="118"/>
      <c r="J25" s="191">
        <v>44738.228472222225</v>
      </c>
      <c r="K25" s="192" t="s">
        <v>135</v>
      </c>
      <c r="L25" s="115"/>
      <c r="M25" s="115"/>
      <c r="N25" s="193" t="s">
        <v>136</v>
      </c>
      <c r="O25" s="194" t="s">
        <v>137</v>
      </c>
      <c r="P25" s="195" t="s">
        <v>49</v>
      </c>
      <c r="Q25" s="195"/>
      <c r="R25" s="196"/>
    </row>
    <row r="26" spans="1:18" s="125" customFormat="1" ht="80.099999999999994" hidden="1">
      <c r="A26" s="167"/>
      <c r="B26" s="48" t="s">
        <v>138</v>
      </c>
      <c r="C26" s="169" t="s">
        <v>44</v>
      </c>
      <c r="D26" s="170" t="s">
        <v>139</v>
      </c>
      <c r="E26" s="171" t="s">
        <v>46</v>
      </c>
      <c r="F26" s="51"/>
      <c r="G26" s="62"/>
      <c r="H26" s="62"/>
      <c r="I26" s="62"/>
      <c r="J26" s="173">
        <v>44760.375</v>
      </c>
      <c r="K26" s="174" t="s">
        <v>140</v>
      </c>
      <c r="L26" s="49"/>
      <c r="M26" s="49"/>
      <c r="N26" s="182" t="s">
        <v>141</v>
      </c>
      <c r="O26" s="198" t="s">
        <v>142</v>
      </c>
      <c r="P26" s="176" t="s">
        <v>49</v>
      </c>
      <c r="Q26" s="176"/>
      <c r="R26" s="177"/>
    </row>
    <row r="27" spans="1:18" s="125" customFormat="1" ht="48" hidden="1">
      <c r="A27" s="1"/>
      <c r="B27" s="114" t="s">
        <v>129</v>
      </c>
      <c r="C27" s="115" t="s">
        <v>44</v>
      </c>
      <c r="D27" s="116" t="s">
        <v>143</v>
      </c>
      <c r="E27" s="117" t="s">
        <v>46</v>
      </c>
      <c r="F27" s="117"/>
      <c r="G27" s="118"/>
      <c r="H27" s="118"/>
      <c r="I27" s="118"/>
      <c r="J27" s="119">
        <v>44783</v>
      </c>
      <c r="K27" s="120" t="s">
        <v>144</v>
      </c>
      <c r="L27" s="115"/>
      <c r="M27" s="115"/>
      <c r="N27" s="121" t="s">
        <v>145</v>
      </c>
      <c r="O27" s="164"/>
      <c r="P27" s="122" t="s">
        <v>49</v>
      </c>
      <c r="Q27" s="122"/>
      <c r="R27" s="123"/>
    </row>
    <row r="28" spans="1:18" s="125" customFormat="1" ht="63.95" hidden="1">
      <c r="A28" s="167"/>
      <c r="B28" s="168" t="s">
        <v>146</v>
      </c>
      <c r="C28" s="169" t="s">
        <v>147</v>
      </c>
      <c r="D28" s="170" t="s">
        <v>148</v>
      </c>
      <c r="E28" s="171" t="s">
        <v>46</v>
      </c>
      <c r="F28" s="171"/>
      <c r="G28" s="172"/>
      <c r="H28" s="172"/>
      <c r="I28" s="172"/>
      <c r="J28" s="173">
        <v>44792.869444444441</v>
      </c>
      <c r="K28" s="174" t="s">
        <v>149</v>
      </c>
      <c r="L28" s="169"/>
      <c r="M28" s="169"/>
      <c r="N28" s="175" t="s">
        <v>128</v>
      </c>
      <c r="O28" s="198"/>
      <c r="P28" s="176" t="s">
        <v>49</v>
      </c>
      <c r="Q28" s="176"/>
      <c r="R28" s="177"/>
    </row>
    <row r="29" spans="1:18" s="125" customFormat="1" ht="80.099999999999994" hidden="1">
      <c r="A29" s="1"/>
      <c r="B29" s="114" t="s">
        <v>99</v>
      </c>
      <c r="C29" s="115" t="s">
        <v>44</v>
      </c>
      <c r="D29" s="116" t="s">
        <v>150</v>
      </c>
      <c r="E29" s="117" t="s">
        <v>46</v>
      </c>
      <c r="F29" s="117"/>
      <c r="G29" s="118"/>
      <c r="H29" s="118"/>
      <c r="I29" s="118"/>
      <c r="J29" s="119">
        <v>44797.254861111112</v>
      </c>
      <c r="K29" s="120" t="s">
        <v>151</v>
      </c>
      <c r="L29" s="115"/>
      <c r="M29" s="115"/>
      <c r="N29" s="124" t="s">
        <v>152</v>
      </c>
      <c r="O29" s="164"/>
      <c r="P29" s="122" t="s">
        <v>49</v>
      </c>
      <c r="Q29" s="122"/>
      <c r="R29" s="123"/>
    </row>
    <row r="30" spans="1:18" s="125" customFormat="1" ht="32.1" hidden="1">
      <c r="A30" s="167"/>
      <c r="B30" s="168" t="s">
        <v>116</v>
      </c>
      <c r="C30" s="169" t="s">
        <v>44</v>
      </c>
      <c r="D30" s="170" t="s">
        <v>153</v>
      </c>
      <c r="E30" s="171" t="s">
        <v>46</v>
      </c>
      <c r="F30" s="51"/>
      <c r="G30" s="62"/>
      <c r="H30" s="62"/>
      <c r="I30" s="62"/>
      <c r="J30" s="173">
        <v>44813.356249999997</v>
      </c>
      <c r="K30" s="174" t="s">
        <v>154</v>
      </c>
      <c r="L30" s="49"/>
      <c r="M30" s="49"/>
      <c r="N30" s="175" t="s">
        <v>155</v>
      </c>
      <c r="O30" s="198"/>
      <c r="P30" s="176" t="s">
        <v>49</v>
      </c>
      <c r="Q30" s="176"/>
      <c r="R30" s="177"/>
    </row>
    <row r="31" spans="1:18" s="125" customFormat="1" ht="32.1" hidden="1">
      <c r="A31" s="1"/>
      <c r="B31" s="114" t="s">
        <v>156</v>
      </c>
      <c r="C31" s="115" t="s">
        <v>44</v>
      </c>
      <c r="D31" s="116" t="s">
        <v>157</v>
      </c>
      <c r="E31" s="117" t="s">
        <v>46</v>
      </c>
      <c r="F31" s="117"/>
      <c r="G31" s="118"/>
      <c r="H31" s="118"/>
      <c r="I31" s="118"/>
      <c r="J31" s="119">
        <v>44824</v>
      </c>
      <c r="K31" s="120" t="s">
        <v>158</v>
      </c>
      <c r="L31" s="115"/>
      <c r="M31" s="115"/>
      <c r="N31" s="124" t="s">
        <v>159</v>
      </c>
      <c r="O31" s="164"/>
      <c r="P31" s="122" t="s">
        <v>49</v>
      </c>
      <c r="Q31" s="122"/>
      <c r="R31" s="123"/>
    </row>
    <row r="32" spans="1:18" s="125" customFormat="1" ht="32.1" hidden="1">
      <c r="A32" s="167"/>
      <c r="B32" s="114" t="s">
        <v>160</v>
      </c>
      <c r="C32" s="115" t="s">
        <v>147</v>
      </c>
      <c r="D32" s="116" t="s">
        <v>161</v>
      </c>
      <c r="E32" s="117" t="s">
        <v>46</v>
      </c>
      <c r="F32" s="117"/>
      <c r="G32" s="118"/>
      <c r="H32" s="118"/>
      <c r="I32" s="118"/>
      <c r="J32" s="119">
        <v>44825</v>
      </c>
      <c r="K32" s="120" t="s">
        <v>162</v>
      </c>
      <c r="L32" s="115"/>
      <c r="M32" s="115"/>
      <c r="N32" s="121"/>
      <c r="O32" s="163"/>
      <c r="P32" s="53" t="s">
        <v>49</v>
      </c>
      <c r="Q32" s="53"/>
      <c r="R32" s="54"/>
    </row>
    <row r="33" spans="1:25" s="125" customFormat="1" ht="111.95" hidden="1">
      <c r="A33" s="167"/>
      <c r="B33" s="168" t="s">
        <v>163</v>
      </c>
      <c r="C33" s="169" t="s">
        <v>164</v>
      </c>
      <c r="D33" s="170" t="s">
        <v>165</v>
      </c>
      <c r="E33" s="171" t="s">
        <v>46</v>
      </c>
      <c r="F33" s="117"/>
      <c r="G33" s="118"/>
      <c r="H33" s="118"/>
      <c r="I33" s="118"/>
      <c r="J33" s="173">
        <v>44833.164583333331</v>
      </c>
      <c r="K33" s="174" t="s">
        <v>166</v>
      </c>
      <c r="L33" s="115"/>
      <c r="M33" s="115"/>
      <c r="N33" s="182" t="s">
        <v>167</v>
      </c>
      <c r="O33" s="185"/>
      <c r="P33" s="176" t="s">
        <v>49</v>
      </c>
      <c r="Q33" s="176"/>
      <c r="R33" s="177"/>
      <c r="S33" s="167"/>
      <c r="T33" s="167"/>
      <c r="U33" s="178"/>
      <c r="V33" s="178"/>
      <c r="W33" s="178"/>
      <c r="X33" s="167"/>
      <c r="Y33" s="167"/>
    </row>
    <row r="34" spans="1:25" s="5" customFormat="1" ht="32.1" hidden="1">
      <c r="A34" s="1"/>
      <c r="B34" s="114" t="s">
        <v>54</v>
      </c>
      <c r="C34" s="115" t="s">
        <v>44</v>
      </c>
      <c r="D34" s="116" t="s">
        <v>168</v>
      </c>
      <c r="E34" s="117" t="s">
        <v>46</v>
      </c>
      <c r="F34" s="117"/>
      <c r="G34" s="118"/>
      <c r="H34" s="118"/>
      <c r="I34" s="118"/>
      <c r="J34" s="119">
        <v>44839.078379629631</v>
      </c>
      <c r="K34" s="120" t="s">
        <v>169</v>
      </c>
      <c r="L34" s="115"/>
      <c r="M34" s="115"/>
      <c r="N34" s="124" t="s">
        <v>128</v>
      </c>
      <c r="O34" s="309"/>
      <c r="P34" s="122" t="s">
        <v>49</v>
      </c>
      <c r="Q34" s="122"/>
      <c r="R34" s="123"/>
      <c r="S34" s="167"/>
      <c r="T34" s="167"/>
      <c r="U34" s="178"/>
      <c r="V34" s="178"/>
      <c r="W34" s="178"/>
      <c r="X34" s="167"/>
      <c r="Y34" s="167"/>
    </row>
    <row r="35" spans="1:25" s="5" customFormat="1" ht="32.1" hidden="1">
      <c r="A35" s="167"/>
      <c r="B35" s="114" t="s">
        <v>170</v>
      </c>
      <c r="C35" s="115" t="s">
        <v>95</v>
      </c>
      <c r="D35" s="116" t="s">
        <v>171</v>
      </c>
      <c r="E35" s="117" t="s">
        <v>46</v>
      </c>
      <c r="F35" s="117"/>
      <c r="G35" s="118"/>
      <c r="H35" s="118"/>
      <c r="I35" s="118"/>
      <c r="J35" s="119">
        <v>44839.199212962965</v>
      </c>
      <c r="K35" s="120" t="s">
        <v>172</v>
      </c>
      <c r="L35" s="115"/>
      <c r="M35" s="115"/>
      <c r="N35" s="121" t="s">
        <v>173</v>
      </c>
      <c r="O35" s="285"/>
      <c r="P35" s="122" t="s">
        <v>49</v>
      </c>
      <c r="Q35" s="53"/>
      <c r="R35" s="54"/>
      <c r="S35" s="167"/>
      <c r="T35" s="167"/>
      <c r="U35" s="178"/>
      <c r="V35" s="178"/>
      <c r="W35" s="178"/>
      <c r="X35" s="167"/>
      <c r="Y35" s="167"/>
    </row>
    <row r="36" spans="1:25" s="166" customFormat="1" ht="63.95" hidden="1">
      <c r="A36" s="167"/>
      <c r="B36" s="114" t="s">
        <v>174</v>
      </c>
      <c r="C36" s="115" t="s">
        <v>44</v>
      </c>
      <c r="D36" s="116" t="s">
        <v>175</v>
      </c>
      <c r="E36" s="117" t="s">
        <v>46</v>
      </c>
      <c r="F36" s="117"/>
      <c r="G36" s="118"/>
      <c r="H36" s="118"/>
      <c r="I36" s="118"/>
      <c r="J36" s="119">
        <v>44844.041666666664</v>
      </c>
      <c r="K36" s="120" t="s">
        <v>176</v>
      </c>
      <c r="L36" s="115"/>
      <c r="M36" s="115"/>
      <c r="N36" s="121" t="s">
        <v>177</v>
      </c>
      <c r="O36" s="285"/>
      <c r="P36" s="122" t="s">
        <v>49</v>
      </c>
      <c r="Q36" s="53"/>
      <c r="R36" s="54"/>
      <c r="S36" s="167"/>
      <c r="T36" s="167"/>
      <c r="U36" s="178"/>
      <c r="V36" s="178"/>
      <c r="W36" s="178"/>
      <c r="X36" s="167"/>
      <c r="Y36" s="167"/>
    </row>
    <row r="37" spans="1:25" s="3" customFormat="1" ht="32.1" hidden="1">
      <c r="A37" s="1"/>
      <c r="B37" s="168" t="s">
        <v>178</v>
      </c>
      <c r="C37" s="115" t="s">
        <v>44</v>
      </c>
      <c r="D37" s="116" t="s">
        <v>179</v>
      </c>
      <c r="E37" s="117" t="s">
        <v>46</v>
      </c>
      <c r="F37" s="117"/>
      <c r="G37" s="118"/>
      <c r="H37" s="118"/>
      <c r="I37" s="118"/>
      <c r="J37" s="119">
        <v>44844.083333333336</v>
      </c>
      <c r="K37" s="120" t="s">
        <v>180</v>
      </c>
      <c r="L37" s="115"/>
      <c r="M37" s="115"/>
      <c r="N37" s="124" t="s">
        <v>128</v>
      </c>
      <c r="O37" s="309"/>
      <c r="P37" s="122" t="s">
        <v>49</v>
      </c>
      <c r="Q37" s="122"/>
      <c r="R37" s="123"/>
      <c r="S37" s="167"/>
      <c r="T37" s="167"/>
      <c r="U37" s="178"/>
      <c r="V37" s="178"/>
      <c r="W37" s="178"/>
      <c r="X37" s="167"/>
      <c r="Y37" s="167"/>
    </row>
    <row r="38" spans="1:25" s="165" customFormat="1" ht="80.099999999999994" hidden="1">
      <c r="A38" s="167"/>
      <c r="B38" s="168" t="s">
        <v>178</v>
      </c>
      <c r="C38" s="169" t="s">
        <v>44</v>
      </c>
      <c r="D38" s="170" t="s">
        <v>181</v>
      </c>
      <c r="E38" s="171" t="s">
        <v>46</v>
      </c>
      <c r="F38" s="171"/>
      <c r="G38" s="172"/>
      <c r="H38" s="172"/>
      <c r="I38" s="172"/>
      <c r="J38" s="173">
        <v>44846.208333333336</v>
      </c>
      <c r="K38" s="174" t="s">
        <v>182</v>
      </c>
      <c r="L38" s="169"/>
      <c r="M38" s="169"/>
      <c r="N38" s="182" t="s">
        <v>183</v>
      </c>
      <c r="O38" s="199"/>
      <c r="P38" s="176" t="s">
        <v>49</v>
      </c>
      <c r="Q38" s="176"/>
      <c r="R38" s="177"/>
      <c r="S38" s="167"/>
      <c r="T38" s="167"/>
      <c r="U38" s="178"/>
      <c r="V38" s="178"/>
      <c r="W38" s="178"/>
      <c r="X38" s="167"/>
      <c r="Y38" s="167"/>
    </row>
    <row r="39" spans="1:25" s="3" customFormat="1" ht="48" hidden="1">
      <c r="A39" s="1"/>
      <c r="B39" s="48" t="s">
        <v>138</v>
      </c>
      <c r="C39" s="115" t="s">
        <v>44</v>
      </c>
      <c r="D39" s="116" t="s">
        <v>184</v>
      </c>
      <c r="E39" s="117" t="s">
        <v>46</v>
      </c>
      <c r="F39" s="117"/>
      <c r="G39" s="118"/>
      <c r="H39" s="118"/>
      <c r="I39" s="118"/>
      <c r="J39" s="119">
        <v>44848.083333333336</v>
      </c>
      <c r="K39" s="120" t="s">
        <v>185</v>
      </c>
      <c r="L39" s="115"/>
      <c r="M39" s="115"/>
      <c r="N39" s="121" t="s">
        <v>186</v>
      </c>
      <c r="O39" s="261"/>
      <c r="P39" s="122" t="s">
        <v>49</v>
      </c>
      <c r="Q39" s="122"/>
      <c r="R39" s="123"/>
      <c r="S39" s="167"/>
      <c r="T39" s="167"/>
      <c r="U39" s="178"/>
      <c r="V39" s="178"/>
      <c r="W39" s="178"/>
      <c r="X39" s="167"/>
      <c r="Y39" s="167"/>
    </row>
    <row r="40" spans="1:25" s="3" customFormat="1" ht="63.95" hidden="1">
      <c r="A40" s="167"/>
      <c r="B40" s="168" t="s">
        <v>86</v>
      </c>
      <c r="C40" s="169" t="s">
        <v>44</v>
      </c>
      <c r="D40" s="170" t="s">
        <v>187</v>
      </c>
      <c r="E40" s="171" t="s">
        <v>46</v>
      </c>
      <c r="F40" s="117"/>
      <c r="G40" s="118"/>
      <c r="H40" s="118"/>
      <c r="I40" s="118"/>
      <c r="J40" s="173">
        <v>44852.450358796297</v>
      </c>
      <c r="K40" s="174" t="s">
        <v>188</v>
      </c>
      <c r="L40" s="115"/>
      <c r="M40" s="115"/>
      <c r="N40" s="182" t="s">
        <v>189</v>
      </c>
      <c r="O40" s="199"/>
      <c r="P40" s="176" t="s">
        <v>49</v>
      </c>
      <c r="Q40" s="176"/>
      <c r="R40" s="177"/>
      <c r="S40" s="167"/>
      <c r="T40" s="167"/>
      <c r="U40" s="178"/>
      <c r="V40" s="178"/>
      <c r="W40" s="178"/>
      <c r="X40" s="167"/>
      <c r="Y40" s="167"/>
    </row>
    <row r="41" spans="1:25" s="3" customFormat="1" ht="63.95">
      <c r="A41" s="167"/>
      <c r="B41" s="168" t="s">
        <v>190</v>
      </c>
      <c r="C41" s="169" t="s">
        <v>147</v>
      </c>
      <c r="D41" s="170" t="s">
        <v>191</v>
      </c>
      <c r="E41" s="171" t="s">
        <v>46</v>
      </c>
      <c r="F41" s="117"/>
      <c r="G41" s="118"/>
      <c r="H41" s="118"/>
      <c r="I41" s="118"/>
      <c r="J41" s="173">
        <v>44861.188333333332</v>
      </c>
      <c r="K41" s="174" t="s">
        <v>192</v>
      </c>
      <c r="L41" s="115"/>
      <c r="M41" s="115"/>
      <c r="N41" s="182" t="s">
        <v>193</v>
      </c>
      <c r="O41" s="199"/>
      <c r="P41" s="176" t="s">
        <v>49</v>
      </c>
      <c r="Q41" s="176"/>
      <c r="R41" s="177"/>
      <c r="S41" s="167"/>
      <c r="T41" s="167"/>
      <c r="U41" s="178"/>
      <c r="V41" s="178"/>
      <c r="W41" s="178"/>
      <c r="X41" s="167"/>
      <c r="Y41" s="167"/>
    </row>
    <row r="42" spans="1:25" s="3" customFormat="1" ht="80.099999999999994" hidden="1">
      <c r="A42" s="1"/>
      <c r="B42" s="168" t="s">
        <v>178</v>
      </c>
      <c r="C42" s="115" t="s">
        <v>44</v>
      </c>
      <c r="D42" s="116" t="s">
        <v>194</v>
      </c>
      <c r="E42" s="117" t="s">
        <v>46</v>
      </c>
      <c r="F42" s="117"/>
      <c r="G42" s="118"/>
      <c r="H42" s="118"/>
      <c r="I42" s="118"/>
      <c r="J42" s="119">
        <v>44861.917534722219</v>
      </c>
      <c r="K42" s="120" t="s">
        <v>195</v>
      </c>
      <c r="L42" s="115"/>
      <c r="M42" s="115"/>
      <c r="N42" s="124" t="s">
        <v>196</v>
      </c>
      <c r="O42" s="309"/>
      <c r="P42" s="122" t="s">
        <v>49</v>
      </c>
      <c r="Q42" s="122"/>
      <c r="R42" s="123"/>
      <c r="S42" s="167"/>
      <c r="T42" s="167"/>
      <c r="U42" s="178"/>
      <c r="V42" s="178"/>
      <c r="W42" s="178"/>
      <c r="X42" s="167"/>
      <c r="Y42" s="167"/>
    </row>
    <row r="43" spans="1:25" s="3" customFormat="1" ht="48" hidden="1">
      <c r="A43" s="1"/>
      <c r="B43" s="114" t="s">
        <v>71</v>
      </c>
      <c r="C43" s="115" t="s">
        <v>44</v>
      </c>
      <c r="D43" s="116" t="s">
        <v>197</v>
      </c>
      <c r="E43" s="117" t="s">
        <v>46</v>
      </c>
      <c r="F43" s="117"/>
      <c r="G43" s="118"/>
      <c r="H43" s="118"/>
      <c r="I43" s="118"/>
      <c r="J43" s="119">
        <v>44864.104166666664</v>
      </c>
      <c r="K43" s="120" t="s">
        <v>198</v>
      </c>
      <c r="L43" s="115"/>
      <c r="M43" s="115"/>
      <c r="N43" s="124" t="s">
        <v>199</v>
      </c>
      <c r="O43" s="309"/>
      <c r="P43" s="122" t="s">
        <v>49</v>
      </c>
      <c r="Q43" s="122"/>
      <c r="R43" s="123"/>
      <c r="S43" s="167"/>
      <c r="T43" s="167"/>
      <c r="U43" s="178"/>
      <c r="V43" s="178"/>
      <c r="W43" s="178"/>
      <c r="X43" s="167"/>
      <c r="Y43" s="167"/>
    </row>
    <row r="44" spans="1:25" s="167" customFormat="1" ht="32.1" hidden="1">
      <c r="A44" s="1"/>
      <c r="B44" s="114" t="s">
        <v>160</v>
      </c>
      <c r="C44" s="115" t="s">
        <v>44</v>
      </c>
      <c r="D44" s="116" t="s">
        <v>200</v>
      </c>
      <c r="E44" s="117" t="s">
        <v>46</v>
      </c>
      <c r="F44" s="117"/>
      <c r="G44" s="118"/>
      <c r="H44" s="118"/>
      <c r="I44" s="118"/>
      <c r="J44" s="119">
        <v>44865.778993055559</v>
      </c>
      <c r="K44" s="120" t="s">
        <v>201</v>
      </c>
      <c r="L44" s="115"/>
      <c r="M44" s="115"/>
      <c r="N44" s="124" t="s">
        <v>128</v>
      </c>
      <c r="O44" s="164"/>
      <c r="P44" s="122" t="s">
        <v>49</v>
      </c>
      <c r="Q44" s="122"/>
      <c r="R44" s="123"/>
      <c r="S44" s="165"/>
      <c r="T44" s="165"/>
      <c r="U44" s="166" t="s">
        <v>202</v>
      </c>
      <c r="V44" s="166"/>
      <c r="W44" s="166" t="s">
        <v>203</v>
      </c>
      <c r="X44" s="165" t="s">
        <v>204</v>
      </c>
      <c r="Y44" s="165" t="s">
        <v>205</v>
      </c>
    </row>
    <row r="45" spans="1:25" s="167" customFormat="1" ht="63.95" hidden="1">
      <c r="B45" s="168" t="s">
        <v>86</v>
      </c>
      <c r="C45" s="169" t="s">
        <v>147</v>
      </c>
      <c r="D45" s="170" t="s">
        <v>206</v>
      </c>
      <c r="E45" s="171" t="s">
        <v>46</v>
      </c>
      <c r="F45" s="117"/>
      <c r="G45" s="118"/>
      <c r="H45" s="118"/>
      <c r="I45" s="118"/>
      <c r="J45" s="173">
        <v>44868</v>
      </c>
      <c r="K45" s="174">
        <v>900735</v>
      </c>
      <c r="L45" s="115"/>
      <c r="M45" s="115"/>
      <c r="N45" s="182" t="s">
        <v>207</v>
      </c>
      <c r="O45" s="185"/>
      <c r="P45" s="176" t="s">
        <v>49</v>
      </c>
      <c r="Q45" s="176"/>
      <c r="R45" s="177"/>
      <c r="S45" s="5"/>
      <c r="T45" s="5"/>
      <c r="U45" s="5"/>
      <c r="V45" s="5"/>
      <c r="W45" s="5"/>
      <c r="X45" s="5"/>
      <c r="Y45" s="5"/>
    </row>
    <row r="46" spans="1:25" s="125" customFormat="1" ht="48" hidden="1">
      <c r="A46" s="167"/>
      <c r="B46" s="168" t="s">
        <v>86</v>
      </c>
      <c r="C46" s="169" t="s">
        <v>44</v>
      </c>
      <c r="D46" s="170" t="s">
        <v>208</v>
      </c>
      <c r="E46" s="171" t="s">
        <v>46</v>
      </c>
      <c r="F46" s="171"/>
      <c r="G46" s="172"/>
      <c r="H46" s="172"/>
      <c r="I46" s="172"/>
      <c r="J46" s="173">
        <v>44868</v>
      </c>
      <c r="K46" s="174">
        <v>900737</v>
      </c>
      <c r="L46" s="169"/>
      <c r="M46" s="169"/>
      <c r="N46" s="182" t="s">
        <v>209</v>
      </c>
      <c r="O46" s="185"/>
      <c r="P46" s="122" t="s">
        <v>49</v>
      </c>
      <c r="Q46" s="176"/>
      <c r="R46" s="177"/>
      <c r="S46" s="165"/>
      <c r="T46" s="165"/>
      <c r="U46" s="166"/>
      <c r="V46" s="166"/>
      <c r="W46" s="166"/>
      <c r="X46" s="165"/>
      <c r="Y46" s="165"/>
    </row>
    <row r="47" spans="1:25" s="125" customFormat="1" ht="48" hidden="1">
      <c r="A47" s="1"/>
      <c r="B47" s="114" t="s">
        <v>86</v>
      </c>
      <c r="C47" s="116" t="s">
        <v>95</v>
      </c>
      <c r="D47" s="116" t="s">
        <v>210</v>
      </c>
      <c r="E47" s="117" t="s">
        <v>46</v>
      </c>
      <c r="F47" s="117"/>
      <c r="G47" s="118"/>
      <c r="H47" s="118"/>
      <c r="I47" s="118"/>
      <c r="J47" s="119">
        <v>44871</v>
      </c>
      <c r="K47" s="120">
        <v>903278</v>
      </c>
      <c r="L47" s="115"/>
      <c r="M47" s="115"/>
      <c r="N47" s="121" t="s">
        <v>211</v>
      </c>
      <c r="O47" s="184" t="s">
        <v>212</v>
      </c>
      <c r="P47" s="122" t="s">
        <v>49</v>
      </c>
      <c r="Q47" s="122"/>
      <c r="R47" s="123"/>
      <c r="S47" s="167"/>
      <c r="T47" s="167"/>
      <c r="U47" s="178"/>
      <c r="V47" s="178"/>
      <c r="W47" s="178"/>
      <c r="X47" s="167"/>
      <c r="Y47" s="167"/>
    </row>
    <row r="48" spans="1:25" s="125" customFormat="1" ht="48" hidden="1">
      <c r="A48" s="1"/>
      <c r="B48" s="168" t="s">
        <v>43</v>
      </c>
      <c r="C48" s="115" t="s">
        <v>44</v>
      </c>
      <c r="D48" s="116" t="s">
        <v>213</v>
      </c>
      <c r="E48" s="117" t="s">
        <v>46</v>
      </c>
      <c r="F48" s="117"/>
      <c r="G48" s="118"/>
      <c r="H48" s="118"/>
      <c r="I48" s="118"/>
      <c r="J48" s="119">
        <v>44873</v>
      </c>
      <c r="K48" s="120">
        <v>905133</v>
      </c>
      <c r="L48" s="115"/>
      <c r="M48" s="115"/>
      <c r="N48" s="121" t="s">
        <v>211</v>
      </c>
      <c r="O48" s="163"/>
      <c r="P48" s="53" t="s">
        <v>49</v>
      </c>
      <c r="Q48" s="53"/>
      <c r="R48" s="54"/>
      <c r="S48" s="167"/>
      <c r="T48" s="167"/>
      <c r="U48" s="178"/>
      <c r="V48" s="178"/>
      <c r="W48" s="178"/>
      <c r="X48" s="167"/>
      <c r="Y48" s="167"/>
    </row>
    <row r="49" spans="1:25" s="186" customFormat="1" ht="32.1" hidden="1">
      <c r="A49" s="1"/>
      <c r="B49" s="114" t="s">
        <v>214</v>
      </c>
      <c r="C49" s="115" t="s">
        <v>44</v>
      </c>
      <c r="D49" s="116" t="s">
        <v>215</v>
      </c>
      <c r="E49" s="117" t="s">
        <v>46</v>
      </c>
      <c r="F49" s="117"/>
      <c r="G49" s="118"/>
      <c r="H49" s="118"/>
      <c r="I49" s="118"/>
      <c r="J49" s="119">
        <v>44874</v>
      </c>
      <c r="K49" s="368">
        <v>905467</v>
      </c>
      <c r="L49" s="115"/>
      <c r="M49" s="115"/>
      <c r="N49" s="121" t="s">
        <v>216</v>
      </c>
      <c r="O49" s="163"/>
      <c r="P49" s="53" t="s">
        <v>49</v>
      </c>
      <c r="Q49" s="53"/>
      <c r="R49" s="54"/>
      <c r="S49" s="1"/>
      <c r="T49" s="1"/>
      <c r="U49" s="6"/>
      <c r="V49" s="6"/>
      <c r="W49" s="6"/>
      <c r="X49" s="1"/>
      <c r="Y49" s="1"/>
    </row>
    <row r="50" spans="1:25" s="167" customFormat="1" ht="32.1" hidden="1">
      <c r="A50" s="1"/>
      <c r="B50" s="114" t="s">
        <v>58</v>
      </c>
      <c r="C50" s="115" t="s">
        <v>164</v>
      </c>
      <c r="D50" s="116" t="s">
        <v>217</v>
      </c>
      <c r="E50" s="117" t="s">
        <v>46</v>
      </c>
      <c r="F50" s="117"/>
      <c r="G50" s="118"/>
      <c r="H50" s="118"/>
      <c r="I50" s="118"/>
      <c r="J50" s="119">
        <v>44875</v>
      </c>
      <c r="K50" s="365">
        <v>907885</v>
      </c>
      <c r="L50" s="115"/>
      <c r="M50" s="115"/>
      <c r="N50" s="121" t="s">
        <v>216</v>
      </c>
      <c r="O50" s="163"/>
      <c r="P50" s="53" t="s">
        <v>49</v>
      </c>
      <c r="Q50" s="53"/>
      <c r="R50" s="54"/>
      <c r="S50" s="1"/>
      <c r="T50" s="1"/>
      <c r="U50" s="6"/>
      <c r="V50" s="6"/>
      <c r="W50" s="6"/>
      <c r="X50" s="1"/>
      <c r="Y50" s="1"/>
    </row>
    <row r="51" spans="1:25" ht="63.95" hidden="1">
      <c r="B51" s="114" t="s">
        <v>156</v>
      </c>
      <c r="C51" s="115" t="s">
        <v>44</v>
      </c>
      <c r="D51" s="116" t="s">
        <v>218</v>
      </c>
      <c r="E51" s="117" t="s">
        <v>46</v>
      </c>
      <c r="F51" s="117"/>
      <c r="G51" s="118"/>
      <c r="H51" s="118"/>
      <c r="I51" s="118"/>
      <c r="J51" s="119">
        <v>44876</v>
      </c>
      <c r="K51" s="372">
        <v>909261</v>
      </c>
      <c r="L51" s="115"/>
      <c r="M51" s="115"/>
      <c r="N51" s="121" t="s">
        <v>219</v>
      </c>
      <c r="O51" s="184"/>
      <c r="P51" s="122" t="s">
        <v>49</v>
      </c>
      <c r="Q51" s="122"/>
      <c r="R51" s="123"/>
      <c r="S51" s="3"/>
      <c r="T51" s="3"/>
      <c r="U51" s="5" t="s">
        <v>220</v>
      </c>
      <c r="V51" s="5"/>
      <c r="W51" s="5" t="s">
        <v>44</v>
      </c>
      <c r="X51" s="3" t="s">
        <v>49</v>
      </c>
      <c r="Y51" s="3" t="s">
        <v>221</v>
      </c>
    </row>
    <row r="52" spans="1:25" ht="128.1" hidden="1">
      <c r="A52" s="167"/>
      <c r="B52" s="168" t="s">
        <v>222</v>
      </c>
      <c r="C52" s="169" t="s">
        <v>44</v>
      </c>
      <c r="D52" s="170" t="s">
        <v>223</v>
      </c>
      <c r="E52" s="171" t="s">
        <v>46</v>
      </c>
      <c r="F52" s="117"/>
      <c r="G52" s="118"/>
      <c r="H52" s="118"/>
      <c r="I52" s="118"/>
      <c r="J52" s="173">
        <v>44880</v>
      </c>
      <c r="K52" s="369">
        <v>912301</v>
      </c>
      <c r="L52" s="115"/>
      <c r="M52" s="115"/>
      <c r="N52" s="182" t="s">
        <v>224</v>
      </c>
      <c r="O52" s="185" t="s">
        <v>225</v>
      </c>
      <c r="P52" s="176" t="s">
        <v>49</v>
      </c>
      <c r="Q52" s="176"/>
      <c r="R52" s="177"/>
      <c r="S52" s="3"/>
      <c r="T52" s="3"/>
      <c r="U52" s="5" t="s">
        <v>226</v>
      </c>
      <c r="V52" s="5"/>
      <c r="W52" s="5" t="s">
        <v>227</v>
      </c>
      <c r="X52" s="3"/>
      <c r="Y52" s="3"/>
    </row>
    <row r="53" spans="1:25" s="125" customFormat="1" ht="32.1" hidden="1">
      <c r="A53" s="1"/>
      <c r="B53" s="114" t="s">
        <v>58</v>
      </c>
      <c r="C53" s="115" t="s">
        <v>147</v>
      </c>
      <c r="D53" s="116" t="s">
        <v>228</v>
      </c>
      <c r="E53" s="117" t="s">
        <v>46</v>
      </c>
      <c r="F53" s="117"/>
      <c r="G53" s="118"/>
      <c r="H53" s="118"/>
      <c r="I53" s="118"/>
      <c r="J53" s="119">
        <v>44881</v>
      </c>
      <c r="K53" s="365" t="s">
        <v>229</v>
      </c>
      <c r="L53" s="115"/>
      <c r="M53" s="115"/>
      <c r="N53" s="121" t="s">
        <v>230</v>
      </c>
      <c r="O53" s="163"/>
      <c r="P53" s="53" t="s">
        <v>49</v>
      </c>
      <c r="Q53" s="53"/>
      <c r="R53" s="54"/>
      <c r="S53" s="3"/>
      <c r="T53" s="3"/>
      <c r="U53" s="5" t="s">
        <v>46</v>
      </c>
      <c r="V53" s="5"/>
      <c r="W53" s="5" t="s">
        <v>164</v>
      </c>
      <c r="X53" s="3"/>
      <c r="Y53" s="3"/>
    </row>
    <row r="54" spans="1:25" s="125" customFormat="1" ht="63.95" hidden="1">
      <c r="A54" s="1"/>
      <c r="B54" s="114" t="s">
        <v>99</v>
      </c>
      <c r="C54" s="115" t="s">
        <v>44</v>
      </c>
      <c r="D54" s="116" t="s">
        <v>231</v>
      </c>
      <c r="E54" s="117" t="s">
        <v>46</v>
      </c>
      <c r="F54" s="117"/>
      <c r="G54" s="118"/>
      <c r="H54" s="118"/>
      <c r="I54" s="118"/>
      <c r="J54" s="119">
        <v>44883</v>
      </c>
      <c r="K54" s="372">
        <v>914511</v>
      </c>
      <c r="L54" s="115"/>
      <c r="M54" s="115"/>
      <c r="N54" s="121" t="s">
        <v>211</v>
      </c>
      <c r="O54" s="163"/>
      <c r="P54" s="53" t="s">
        <v>49</v>
      </c>
      <c r="Q54" s="53"/>
      <c r="R54" s="54"/>
      <c r="S54" s="3"/>
      <c r="T54" s="3"/>
      <c r="U54" s="5"/>
      <c r="V54" s="5"/>
      <c r="W54" s="5" t="s">
        <v>147</v>
      </c>
      <c r="X54" s="3"/>
      <c r="Y54" s="3"/>
    </row>
    <row r="55" spans="1:25" s="125" customFormat="1" ht="320.10000000000002" hidden="1">
      <c r="A55" s="167"/>
      <c r="B55" s="168" t="s">
        <v>71</v>
      </c>
      <c r="C55" s="169" t="s">
        <v>95</v>
      </c>
      <c r="D55" s="170" t="s">
        <v>232</v>
      </c>
      <c r="E55" s="171" t="s">
        <v>46</v>
      </c>
      <c r="F55" s="117"/>
      <c r="G55" s="118"/>
      <c r="H55" s="118"/>
      <c r="I55" s="118"/>
      <c r="J55" s="173">
        <v>44883</v>
      </c>
      <c r="K55" s="174" t="s">
        <v>233</v>
      </c>
      <c r="L55" s="115"/>
      <c r="M55" s="115"/>
      <c r="N55" s="182" t="s">
        <v>234</v>
      </c>
      <c r="O55" s="185"/>
      <c r="P55" s="176" t="s">
        <v>49</v>
      </c>
      <c r="Q55" s="176"/>
      <c r="R55" s="177"/>
      <c r="S55" s="3"/>
      <c r="T55" s="3"/>
      <c r="U55" s="5"/>
      <c r="V55" s="5"/>
      <c r="W55" s="5" t="s">
        <v>95</v>
      </c>
      <c r="X55" s="3"/>
      <c r="Y55" s="3"/>
    </row>
    <row r="56" spans="1:25" s="167" customFormat="1" ht="32.1" hidden="1">
      <c r="A56" s="1"/>
      <c r="B56" s="114" t="s">
        <v>63</v>
      </c>
      <c r="C56" s="115" t="s">
        <v>44</v>
      </c>
      <c r="D56" s="116" t="s">
        <v>235</v>
      </c>
      <c r="E56" s="117" t="s">
        <v>46</v>
      </c>
      <c r="F56" s="117"/>
      <c r="G56" s="118"/>
      <c r="H56" s="118"/>
      <c r="I56" s="118"/>
      <c r="J56" s="119">
        <v>44883</v>
      </c>
      <c r="K56" s="120" t="s">
        <v>236</v>
      </c>
      <c r="L56" s="115"/>
      <c r="M56" s="115"/>
      <c r="N56" s="121" t="s">
        <v>211</v>
      </c>
      <c r="O56" s="163"/>
      <c r="P56" s="53" t="s">
        <v>49</v>
      </c>
      <c r="Q56" s="53"/>
      <c r="R56" s="54"/>
      <c r="S56" s="5"/>
      <c r="T56" s="5"/>
      <c r="U56" s="5"/>
      <c r="V56" s="5"/>
      <c r="W56" s="5"/>
      <c r="X56" s="5"/>
      <c r="Y56" s="5"/>
    </row>
    <row r="57" spans="1:25" s="125" customFormat="1" ht="80.099999999999994" hidden="1">
      <c r="A57" s="167"/>
      <c r="B57" s="168" t="s">
        <v>63</v>
      </c>
      <c r="C57" s="169" t="s">
        <v>95</v>
      </c>
      <c r="D57" s="170" t="s">
        <v>237</v>
      </c>
      <c r="E57" s="171" t="s">
        <v>46</v>
      </c>
      <c r="F57" s="117"/>
      <c r="G57" s="118"/>
      <c r="H57" s="118"/>
      <c r="I57" s="118"/>
      <c r="J57" s="173">
        <v>44883</v>
      </c>
      <c r="K57" s="174" t="s">
        <v>238</v>
      </c>
      <c r="L57" s="115"/>
      <c r="M57" s="115"/>
      <c r="N57" s="182" t="s">
        <v>239</v>
      </c>
      <c r="O57" s="200" t="s">
        <v>240</v>
      </c>
      <c r="P57" s="176" t="s">
        <v>49</v>
      </c>
      <c r="Q57" s="176"/>
      <c r="R57" s="177"/>
      <c r="S57" s="5"/>
      <c r="T57" s="5"/>
      <c r="U57" s="5"/>
      <c r="V57" s="5"/>
      <c r="W57" s="5"/>
      <c r="X57" s="5"/>
      <c r="Y57" s="5"/>
    </row>
    <row r="58" spans="1:25" ht="128.1" hidden="1">
      <c r="A58" s="167"/>
      <c r="B58" s="168" t="s">
        <v>63</v>
      </c>
      <c r="C58" s="169" t="s">
        <v>95</v>
      </c>
      <c r="D58" s="170" t="s">
        <v>241</v>
      </c>
      <c r="E58" s="171" t="s">
        <v>46</v>
      </c>
      <c r="F58" s="117"/>
      <c r="G58" s="118"/>
      <c r="H58" s="118"/>
      <c r="I58" s="118"/>
      <c r="J58" s="173">
        <v>44883</v>
      </c>
      <c r="K58" s="174" t="s">
        <v>242</v>
      </c>
      <c r="L58" s="115"/>
      <c r="M58" s="115"/>
      <c r="N58" s="182" t="s">
        <v>243</v>
      </c>
      <c r="O58" s="185"/>
      <c r="P58" s="176" t="s">
        <v>49</v>
      </c>
      <c r="Q58" s="176"/>
      <c r="R58" s="177"/>
      <c r="S58" s="5"/>
      <c r="T58" s="5"/>
      <c r="U58" s="5"/>
      <c r="V58" s="5"/>
      <c r="W58" s="5"/>
      <c r="X58" s="5"/>
      <c r="Y58" s="5"/>
    </row>
    <row r="59" spans="1:25" s="167" customFormat="1" ht="176.1" hidden="1">
      <c r="B59" s="168" t="s">
        <v>63</v>
      </c>
      <c r="C59" s="169" t="s">
        <v>44</v>
      </c>
      <c r="D59" s="170" t="s">
        <v>244</v>
      </c>
      <c r="E59" s="171" t="s">
        <v>46</v>
      </c>
      <c r="F59" s="117"/>
      <c r="G59" s="118"/>
      <c r="H59" s="118"/>
      <c r="I59" s="118"/>
      <c r="J59" s="173">
        <v>44883</v>
      </c>
      <c r="K59" s="174" t="s">
        <v>245</v>
      </c>
      <c r="L59" s="115"/>
      <c r="M59" s="115"/>
      <c r="N59" s="182" t="s">
        <v>246</v>
      </c>
      <c r="O59" s="200" t="s">
        <v>247</v>
      </c>
      <c r="P59" s="176" t="s">
        <v>49</v>
      </c>
      <c r="Q59" s="176"/>
      <c r="R59" s="177"/>
      <c r="S59" s="3"/>
      <c r="T59" s="3"/>
      <c r="U59" s="5"/>
      <c r="V59" s="5"/>
      <c r="W59" s="5"/>
      <c r="X59" s="3"/>
      <c r="Y59" s="3"/>
    </row>
    <row r="60" spans="1:25" ht="63.95" hidden="1">
      <c r="A60" s="167"/>
      <c r="B60" s="168" t="s">
        <v>63</v>
      </c>
      <c r="C60" s="169" t="s">
        <v>44</v>
      </c>
      <c r="D60" s="170" t="s">
        <v>248</v>
      </c>
      <c r="E60" s="171" t="s">
        <v>46</v>
      </c>
      <c r="F60" s="117"/>
      <c r="G60" s="118"/>
      <c r="H60" s="118"/>
      <c r="I60" s="118"/>
      <c r="J60" s="173">
        <v>44883</v>
      </c>
      <c r="K60" s="174" t="s">
        <v>249</v>
      </c>
      <c r="L60" s="115"/>
      <c r="M60" s="115"/>
      <c r="N60" s="182" t="s">
        <v>250</v>
      </c>
      <c r="O60" s="185"/>
      <c r="P60" s="176" t="s">
        <v>49</v>
      </c>
      <c r="Q60" s="176"/>
      <c r="R60" s="177"/>
      <c r="S60" s="3"/>
      <c r="T60" s="3"/>
      <c r="U60" s="5"/>
      <c r="V60" s="5"/>
      <c r="W60" s="5"/>
      <c r="X60" s="3"/>
      <c r="Y60" s="3"/>
    </row>
    <row r="61" spans="1:25" s="167" customFormat="1" ht="96" hidden="1">
      <c r="B61" s="168" t="s">
        <v>63</v>
      </c>
      <c r="C61" s="169" t="s">
        <v>44</v>
      </c>
      <c r="D61" s="170" t="s">
        <v>251</v>
      </c>
      <c r="E61" s="171" t="s">
        <v>46</v>
      </c>
      <c r="F61" s="117"/>
      <c r="G61" s="118"/>
      <c r="H61" s="118"/>
      <c r="I61" s="118"/>
      <c r="J61" s="173">
        <v>44884</v>
      </c>
      <c r="K61" s="174">
        <v>915121</v>
      </c>
      <c r="L61" s="115"/>
      <c r="M61" s="115"/>
      <c r="N61" s="182" t="s">
        <v>252</v>
      </c>
      <c r="O61" s="185"/>
      <c r="P61" s="176" t="s">
        <v>49</v>
      </c>
      <c r="Q61" s="176"/>
      <c r="R61" s="177"/>
      <c r="S61" s="3"/>
      <c r="T61" s="3"/>
      <c r="U61" s="5"/>
      <c r="V61" s="5"/>
      <c r="W61" s="5"/>
      <c r="X61" s="3"/>
      <c r="Y61" s="3"/>
    </row>
    <row r="62" spans="1:25" s="125" customFormat="1" ht="63.95" hidden="1">
      <c r="A62" s="167"/>
      <c r="B62" s="168" t="s">
        <v>99</v>
      </c>
      <c r="C62" s="169" t="s">
        <v>147</v>
      </c>
      <c r="D62" s="170" t="s">
        <v>253</v>
      </c>
      <c r="E62" s="171" t="s">
        <v>46</v>
      </c>
      <c r="F62" s="117"/>
      <c r="G62" s="118"/>
      <c r="H62" s="118"/>
      <c r="I62" s="118"/>
      <c r="J62" s="173">
        <v>44884</v>
      </c>
      <c r="K62" s="174" t="s">
        <v>254</v>
      </c>
      <c r="L62" s="115"/>
      <c r="M62" s="115"/>
      <c r="N62" s="182" t="s">
        <v>255</v>
      </c>
      <c r="O62" s="185"/>
      <c r="P62" s="176" t="s">
        <v>49</v>
      </c>
      <c r="Q62" s="176"/>
      <c r="R62" s="177"/>
      <c r="S62" s="3"/>
      <c r="T62" s="3"/>
      <c r="U62" s="5"/>
      <c r="V62" s="5"/>
      <c r="W62" s="5"/>
      <c r="X62" s="3"/>
      <c r="Y62" s="3"/>
    </row>
    <row r="63" spans="1:25" s="125" customFormat="1" ht="32.1" hidden="1">
      <c r="A63" s="167"/>
      <c r="B63" s="168" t="s">
        <v>256</v>
      </c>
      <c r="C63" s="169" t="s">
        <v>44</v>
      </c>
      <c r="D63" s="170" t="s">
        <v>257</v>
      </c>
      <c r="E63" s="171" t="s">
        <v>46</v>
      </c>
      <c r="F63" s="117"/>
      <c r="G63" s="118"/>
      <c r="H63" s="118"/>
      <c r="I63" s="118"/>
      <c r="J63" s="173">
        <v>44885</v>
      </c>
      <c r="K63" s="174">
        <v>916107</v>
      </c>
      <c r="L63" s="115"/>
      <c r="M63" s="115"/>
      <c r="N63" s="182" t="s">
        <v>211</v>
      </c>
      <c r="O63" s="185"/>
      <c r="P63" s="176" t="s">
        <v>49</v>
      </c>
      <c r="Q63" s="176"/>
      <c r="R63" s="177"/>
      <c r="S63" s="3"/>
      <c r="T63" s="3"/>
      <c r="U63" s="5"/>
      <c r="V63" s="5"/>
      <c r="W63" s="5"/>
      <c r="X63" s="3"/>
      <c r="Y63" s="3"/>
    </row>
    <row r="64" spans="1:25" ht="48" hidden="1">
      <c r="A64" s="167"/>
      <c r="B64" s="168" t="s">
        <v>256</v>
      </c>
      <c r="C64" s="169" t="s">
        <v>44</v>
      </c>
      <c r="D64" s="170" t="s">
        <v>258</v>
      </c>
      <c r="E64" s="171" t="s">
        <v>46</v>
      </c>
      <c r="F64" s="117"/>
      <c r="G64" s="118"/>
      <c r="H64" s="118"/>
      <c r="I64" s="118"/>
      <c r="J64" s="173">
        <v>44885</v>
      </c>
      <c r="K64" s="174" t="s">
        <v>259</v>
      </c>
      <c r="L64" s="115"/>
      <c r="M64" s="115"/>
      <c r="N64" s="182" t="s">
        <v>260</v>
      </c>
      <c r="O64" s="185"/>
      <c r="P64" s="176" t="s">
        <v>49</v>
      </c>
      <c r="Q64" s="176"/>
      <c r="R64" s="177"/>
      <c r="S64" s="3"/>
      <c r="T64" s="3"/>
      <c r="U64" s="5"/>
      <c r="V64" s="5"/>
      <c r="W64" s="5"/>
      <c r="X64" s="3"/>
      <c r="Y64" s="3"/>
    </row>
    <row r="65" spans="1:18" s="125" customFormat="1" ht="144" hidden="1">
      <c r="A65" s="167"/>
      <c r="B65" s="168" t="s">
        <v>256</v>
      </c>
      <c r="C65" s="169" t="s">
        <v>44</v>
      </c>
      <c r="D65" s="170" t="s">
        <v>261</v>
      </c>
      <c r="E65" s="171" t="s">
        <v>46</v>
      </c>
      <c r="F65" s="117"/>
      <c r="G65" s="118"/>
      <c r="H65" s="118"/>
      <c r="I65" s="118"/>
      <c r="J65" s="173">
        <v>44885</v>
      </c>
      <c r="K65" s="174" t="s">
        <v>262</v>
      </c>
      <c r="L65" s="115"/>
      <c r="M65" s="115"/>
      <c r="N65" s="182" t="s">
        <v>263</v>
      </c>
      <c r="O65" s="185"/>
      <c r="P65" s="176" t="s">
        <v>49</v>
      </c>
      <c r="Q65" s="176"/>
      <c r="R65" s="177"/>
    </row>
    <row r="66" spans="1:18" s="186" customFormat="1" ht="170.1" hidden="1" customHeight="1">
      <c r="A66" s="1"/>
      <c r="B66" s="168" t="s">
        <v>256</v>
      </c>
      <c r="C66" s="115" t="s">
        <v>44</v>
      </c>
      <c r="D66" s="116" t="s">
        <v>264</v>
      </c>
      <c r="E66" s="117" t="s">
        <v>46</v>
      </c>
      <c r="F66" s="117"/>
      <c r="G66" s="118"/>
      <c r="H66" s="118"/>
      <c r="I66" s="118"/>
      <c r="J66" s="119">
        <v>44885</v>
      </c>
      <c r="K66" s="120" t="s">
        <v>265</v>
      </c>
      <c r="L66" s="115"/>
      <c r="M66" s="115"/>
      <c r="N66" s="121" t="s">
        <v>266</v>
      </c>
      <c r="O66" s="163" t="s">
        <v>267</v>
      </c>
      <c r="P66" s="53" t="s">
        <v>49</v>
      </c>
      <c r="Q66" s="53"/>
      <c r="R66" s="54"/>
    </row>
    <row r="67" spans="1:18" s="167" customFormat="1" ht="131.1" hidden="1" customHeight="1">
      <c r="A67" s="1"/>
      <c r="B67" s="168" t="s">
        <v>256</v>
      </c>
      <c r="C67" s="115" t="s">
        <v>44</v>
      </c>
      <c r="D67" s="116" t="s">
        <v>268</v>
      </c>
      <c r="E67" s="117" t="s">
        <v>46</v>
      </c>
      <c r="F67" s="117"/>
      <c r="G67" s="118"/>
      <c r="H67" s="118"/>
      <c r="I67" s="118"/>
      <c r="J67" s="119">
        <v>44885</v>
      </c>
      <c r="K67" s="120" t="s">
        <v>269</v>
      </c>
      <c r="L67" s="115"/>
      <c r="M67" s="115"/>
      <c r="N67" s="121" t="s">
        <v>270</v>
      </c>
      <c r="O67" s="163"/>
      <c r="P67" s="53" t="s">
        <v>49</v>
      </c>
      <c r="Q67" s="53"/>
      <c r="R67" s="54"/>
    </row>
    <row r="68" spans="1:18" s="125" customFormat="1" ht="138.94999999999999" hidden="1" customHeight="1">
      <c r="A68" s="1"/>
      <c r="B68" s="114" t="s">
        <v>163</v>
      </c>
      <c r="C68" s="115" t="s">
        <v>44</v>
      </c>
      <c r="D68" s="116" t="s">
        <v>271</v>
      </c>
      <c r="E68" s="117" t="s">
        <v>46</v>
      </c>
      <c r="F68" s="117"/>
      <c r="G68" s="118"/>
      <c r="H68" s="118"/>
      <c r="I68" s="118"/>
      <c r="J68" s="119">
        <v>44885</v>
      </c>
      <c r="K68" s="120" t="s">
        <v>272</v>
      </c>
      <c r="L68" s="115"/>
      <c r="M68" s="115"/>
      <c r="N68" s="121" t="s">
        <v>211</v>
      </c>
      <c r="O68" s="163"/>
      <c r="P68" s="53" t="s">
        <v>49</v>
      </c>
      <c r="Q68" s="53"/>
      <c r="R68" s="54"/>
    </row>
    <row r="69" spans="1:18" s="125" customFormat="1" ht="48" hidden="1">
      <c r="A69" s="167"/>
      <c r="B69" s="168" t="s">
        <v>256</v>
      </c>
      <c r="C69" s="169" t="s">
        <v>44</v>
      </c>
      <c r="D69" s="170" t="s">
        <v>273</v>
      </c>
      <c r="E69" s="171" t="s">
        <v>46</v>
      </c>
      <c r="F69" s="117"/>
      <c r="G69" s="118"/>
      <c r="H69" s="118"/>
      <c r="I69" s="118"/>
      <c r="J69" s="173">
        <v>44885</v>
      </c>
      <c r="K69" s="174" t="s">
        <v>274</v>
      </c>
      <c r="L69" s="115"/>
      <c r="M69" s="115"/>
      <c r="N69" s="182" t="s">
        <v>275</v>
      </c>
      <c r="O69" s="185"/>
      <c r="P69" s="176" t="s">
        <v>49</v>
      </c>
      <c r="Q69" s="176"/>
      <c r="R69" s="177"/>
    </row>
    <row r="70" spans="1:18" s="167" customFormat="1" ht="63.95" hidden="1">
      <c r="B70" s="168" t="s">
        <v>170</v>
      </c>
      <c r="C70" s="169" t="s">
        <v>44</v>
      </c>
      <c r="D70" s="170" t="s">
        <v>276</v>
      </c>
      <c r="E70" s="171" t="s">
        <v>46</v>
      </c>
      <c r="F70" s="171"/>
      <c r="G70" s="172"/>
      <c r="H70" s="172"/>
      <c r="I70" s="172"/>
      <c r="J70" s="173">
        <v>44886</v>
      </c>
      <c r="K70" s="174" t="s">
        <v>277</v>
      </c>
      <c r="L70" s="169"/>
      <c r="M70" s="169"/>
      <c r="N70" s="182" t="s">
        <v>278</v>
      </c>
      <c r="O70" s="185"/>
      <c r="P70" s="176" t="s">
        <v>49</v>
      </c>
      <c r="Q70" s="176"/>
      <c r="R70" s="177"/>
    </row>
    <row r="71" spans="1:18" s="125" customFormat="1" ht="48" hidden="1">
      <c r="A71" s="167"/>
      <c r="B71" s="168" t="s">
        <v>170</v>
      </c>
      <c r="C71" s="169" t="s">
        <v>44</v>
      </c>
      <c r="D71" s="170" t="s">
        <v>279</v>
      </c>
      <c r="E71" s="171" t="s">
        <v>46</v>
      </c>
      <c r="F71" s="171"/>
      <c r="G71" s="172"/>
      <c r="H71" s="172"/>
      <c r="I71" s="172"/>
      <c r="J71" s="173">
        <v>44886</v>
      </c>
      <c r="K71" s="174" t="s">
        <v>280</v>
      </c>
      <c r="L71" s="169"/>
      <c r="M71" s="169"/>
      <c r="N71" s="182" t="s">
        <v>281</v>
      </c>
      <c r="O71" s="185" t="s">
        <v>282</v>
      </c>
      <c r="P71" s="176" t="s">
        <v>49</v>
      </c>
      <c r="Q71" s="176"/>
      <c r="R71" s="177"/>
    </row>
    <row r="72" spans="1:18" s="167" customFormat="1" ht="32.1" hidden="1">
      <c r="A72" s="1"/>
      <c r="B72" s="114" t="s">
        <v>170</v>
      </c>
      <c r="C72" s="115" t="s">
        <v>44</v>
      </c>
      <c r="D72" s="116" t="s">
        <v>283</v>
      </c>
      <c r="E72" s="117" t="s">
        <v>46</v>
      </c>
      <c r="F72" s="117"/>
      <c r="G72" s="118"/>
      <c r="H72" s="118"/>
      <c r="I72" s="118"/>
      <c r="J72" s="119">
        <v>44886</v>
      </c>
      <c r="K72" s="120" t="s">
        <v>284</v>
      </c>
      <c r="L72" s="115"/>
      <c r="M72" s="115"/>
      <c r="N72" s="121" t="s">
        <v>211</v>
      </c>
      <c r="O72" s="163"/>
      <c r="P72" s="53" t="s">
        <v>49</v>
      </c>
      <c r="Q72" s="53"/>
      <c r="R72" s="54"/>
    </row>
    <row r="73" spans="1:18" s="125" customFormat="1" ht="80.099999999999994" hidden="1">
      <c r="A73" s="167"/>
      <c r="B73" s="168" t="s">
        <v>170</v>
      </c>
      <c r="C73" s="169" t="s">
        <v>44</v>
      </c>
      <c r="D73" s="170" t="s">
        <v>285</v>
      </c>
      <c r="E73" s="171" t="s">
        <v>46</v>
      </c>
      <c r="F73" s="117"/>
      <c r="G73" s="118"/>
      <c r="H73" s="118"/>
      <c r="I73" s="118"/>
      <c r="J73" s="173">
        <v>44886</v>
      </c>
      <c r="K73" s="174" t="s">
        <v>286</v>
      </c>
      <c r="L73" s="115"/>
      <c r="M73" s="115"/>
      <c r="N73" s="182" t="s">
        <v>287</v>
      </c>
      <c r="O73" s="185"/>
      <c r="P73" s="176" t="s">
        <v>49</v>
      </c>
      <c r="Q73" s="176"/>
      <c r="R73" s="177"/>
    </row>
    <row r="74" spans="1:18" s="167" customFormat="1" ht="135.94999999999999" hidden="1" customHeight="1">
      <c r="B74" s="168" t="s">
        <v>170</v>
      </c>
      <c r="C74" s="169" t="s">
        <v>44</v>
      </c>
      <c r="D74" s="170" t="s">
        <v>288</v>
      </c>
      <c r="E74" s="171" t="s">
        <v>46</v>
      </c>
      <c r="F74" s="117"/>
      <c r="G74" s="118"/>
      <c r="H74" s="118"/>
      <c r="I74" s="118"/>
      <c r="J74" s="173">
        <v>44886</v>
      </c>
      <c r="K74" s="174" t="s">
        <v>289</v>
      </c>
      <c r="L74" s="115"/>
      <c r="M74" s="115"/>
      <c r="N74" s="182" t="s">
        <v>290</v>
      </c>
      <c r="O74" s="185"/>
      <c r="P74" s="176" t="s">
        <v>49</v>
      </c>
      <c r="Q74" s="176"/>
      <c r="R74" s="177"/>
    </row>
    <row r="75" spans="1:18" s="125" customFormat="1" ht="48" hidden="1">
      <c r="A75" s="1"/>
      <c r="B75" s="114" t="s">
        <v>170</v>
      </c>
      <c r="C75" s="115" t="s">
        <v>44</v>
      </c>
      <c r="D75" s="116" t="s">
        <v>291</v>
      </c>
      <c r="E75" s="117" t="s">
        <v>46</v>
      </c>
      <c r="F75" s="117"/>
      <c r="G75" s="118"/>
      <c r="H75" s="118"/>
      <c r="I75" s="118"/>
      <c r="J75" s="119">
        <v>44886</v>
      </c>
      <c r="K75" s="120" t="s">
        <v>292</v>
      </c>
      <c r="L75" s="115"/>
      <c r="M75" s="115"/>
      <c r="N75" s="121" t="s">
        <v>293</v>
      </c>
      <c r="O75" s="163"/>
      <c r="P75" s="53" t="s">
        <v>49</v>
      </c>
      <c r="Q75" s="53"/>
      <c r="R75" s="54"/>
    </row>
    <row r="76" spans="1:18" s="125" customFormat="1" ht="63.95" hidden="1">
      <c r="A76" s="1"/>
      <c r="B76" s="114" t="s">
        <v>79</v>
      </c>
      <c r="C76" s="115" t="s">
        <v>44</v>
      </c>
      <c r="D76" s="116" t="s">
        <v>294</v>
      </c>
      <c r="E76" s="117" t="s">
        <v>46</v>
      </c>
      <c r="F76" s="117"/>
      <c r="G76" s="118"/>
      <c r="H76" s="118"/>
      <c r="I76" s="118"/>
      <c r="J76" s="119">
        <v>44886</v>
      </c>
      <c r="K76" s="120" t="s">
        <v>295</v>
      </c>
      <c r="L76" s="115"/>
      <c r="M76" s="115"/>
      <c r="N76" s="121" t="s">
        <v>296</v>
      </c>
      <c r="O76" s="163"/>
      <c r="P76" s="53" t="s">
        <v>49</v>
      </c>
      <c r="Q76" s="53"/>
      <c r="R76" s="54"/>
    </row>
    <row r="77" spans="1:18" s="167" customFormat="1" ht="131.1" hidden="1" customHeight="1">
      <c r="A77" s="1"/>
      <c r="B77" s="48" t="s">
        <v>138</v>
      </c>
      <c r="C77" s="115" t="s">
        <v>44</v>
      </c>
      <c r="D77" s="116" t="s">
        <v>297</v>
      </c>
      <c r="E77" s="117" t="s">
        <v>46</v>
      </c>
      <c r="F77" s="117"/>
      <c r="G77" s="118"/>
      <c r="H77" s="118"/>
      <c r="I77" s="118"/>
      <c r="J77" s="119">
        <v>44888</v>
      </c>
      <c r="K77" s="120" t="s">
        <v>298</v>
      </c>
      <c r="L77" s="115"/>
      <c r="M77" s="115"/>
      <c r="N77" s="121" t="s">
        <v>299</v>
      </c>
      <c r="O77" s="163"/>
      <c r="P77" s="53" t="s">
        <v>49</v>
      </c>
      <c r="Q77" s="53"/>
      <c r="R77" s="54"/>
    </row>
    <row r="78" spans="1:18" s="125" customFormat="1" ht="80.099999999999994" hidden="1">
      <c r="A78" s="167"/>
      <c r="B78" s="168" t="s">
        <v>178</v>
      </c>
      <c r="C78" s="169" t="s">
        <v>44</v>
      </c>
      <c r="D78" s="170" t="s">
        <v>300</v>
      </c>
      <c r="E78" s="171" t="s">
        <v>46</v>
      </c>
      <c r="F78" s="117"/>
      <c r="G78" s="118"/>
      <c r="H78" s="118"/>
      <c r="I78" s="118"/>
      <c r="J78" s="173">
        <v>44888</v>
      </c>
      <c r="K78" s="174" t="s">
        <v>301</v>
      </c>
      <c r="L78" s="115"/>
      <c r="M78" s="115"/>
      <c r="N78" s="182" t="s">
        <v>302</v>
      </c>
      <c r="O78" s="185"/>
      <c r="P78" s="122" t="s">
        <v>49</v>
      </c>
      <c r="Q78" s="176"/>
      <c r="R78" s="177"/>
    </row>
    <row r="79" spans="1:18" s="167" customFormat="1" ht="309" hidden="1" customHeight="1">
      <c r="A79" s="1"/>
      <c r="B79" s="114" t="s">
        <v>163</v>
      </c>
      <c r="C79" s="115" t="s">
        <v>44</v>
      </c>
      <c r="D79" s="116" t="s">
        <v>303</v>
      </c>
      <c r="E79" s="117" t="s">
        <v>46</v>
      </c>
      <c r="F79" s="117"/>
      <c r="G79" s="118"/>
      <c r="H79" s="118"/>
      <c r="I79" s="118"/>
      <c r="J79" s="119">
        <v>44889</v>
      </c>
      <c r="K79" s="120">
        <v>918683</v>
      </c>
      <c r="L79" s="115"/>
      <c r="M79" s="115"/>
      <c r="N79" s="121" t="s">
        <v>296</v>
      </c>
      <c r="O79" s="163"/>
      <c r="P79" s="53" t="s">
        <v>49</v>
      </c>
      <c r="Q79" s="53"/>
      <c r="R79" s="54"/>
    </row>
    <row r="80" spans="1:18" s="125" customFormat="1" ht="48" hidden="1">
      <c r="A80" s="167"/>
      <c r="B80" s="168" t="s">
        <v>54</v>
      </c>
      <c r="C80" s="169" t="s">
        <v>44</v>
      </c>
      <c r="D80" s="170" t="s">
        <v>304</v>
      </c>
      <c r="E80" s="171" t="s">
        <v>46</v>
      </c>
      <c r="F80" s="117"/>
      <c r="G80" s="118"/>
      <c r="H80" s="118"/>
      <c r="I80" s="118"/>
      <c r="J80" s="173">
        <v>44889</v>
      </c>
      <c r="K80" s="174" t="s">
        <v>305</v>
      </c>
      <c r="L80" s="115"/>
      <c r="M80" s="115"/>
      <c r="N80" s="182" t="s">
        <v>306</v>
      </c>
      <c r="O80" s="185"/>
      <c r="P80" s="122" t="s">
        <v>49</v>
      </c>
      <c r="Q80" s="176"/>
      <c r="R80" s="177"/>
    </row>
    <row r="81" spans="1:18" s="125" customFormat="1" ht="63.95" hidden="1">
      <c r="A81" s="167"/>
      <c r="B81" s="168" t="s">
        <v>146</v>
      </c>
      <c r="C81" s="169" t="s">
        <v>44</v>
      </c>
      <c r="D81" s="170" t="s">
        <v>307</v>
      </c>
      <c r="E81" s="171" t="s">
        <v>46</v>
      </c>
      <c r="F81" s="117"/>
      <c r="G81" s="118"/>
      <c r="H81" s="118"/>
      <c r="I81" s="118"/>
      <c r="J81" s="173">
        <v>44889</v>
      </c>
      <c r="K81" s="369" t="s">
        <v>308</v>
      </c>
      <c r="L81" s="115"/>
      <c r="M81" s="115"/>
      <c r="N81" s="182" t="s">
        <v>302</v>
      </c>
      <c r="O81" s="198" t="s">
        <v>309</v>
      </c>
      <c r="P81" s="176" t="s">
        <v>49</v>
      </c>
      <c r="Q81" s="176"/>
      <c r="R81" s="177"/>
    </row>
    <row r="82" spans="1:18" s="167" customFormat="1" ht="32.1" hidden="1">
      <c r="A82" s="1"/>
      <c r="B82" s="114" t="s">
        <v>58</v>
      </c>
      <c r="C82" s="115" t="s">
        <v>44</v>
      </c>
      <c r="D82" s="116" t="s">
        <v>310</v>
      </c>
      <c r="E82" s="117" t="s">
        <v>46</v>
      </c>
      <c r="F82" s="117"/>
      <c r="G82" s="118"/>
      <c r="H82" s="118"/>
      <c r="I82" s="118"/>
      <c r="J82" s="119">
        <v>44889</v>
      </c>
      <c r="K82" s="365" t="s">
        <v>311</v>
      </c>
      <c r="L82" s="115"/>
      <c r="M82" s="115"/>
      <c r="N82" s="121" t="s">
        <v>312</v>
      </c>
      <c r="O82" s="163"/>
      <c r="P82" s="53" t="s">
        <v>49</v>
      </c>
      <c r="Q82" s="53"/>
      <c r="R82" s="54"/>
    </row>
    <row r="83" spans="1:18" s="125" customFormat="1" ht="48" hidden="1">
      <c r="A83" s="1"/>
      <c r="B83" s="168" t="s">
        <v>178</v>
      </c>
      <c r="C83" s="115" t="s">
        <v>44</v>
      </c>
      <c r="D83" s="116" t="s">
        <v>313</v>
      </c>
      <c r="E83" s="117" t="s">
        <v>46</v>
      </c>
      <c r="F83" s="117"/>
      <c r="G83" s="118"/>
      <c r="H83" s="118"/>
      <c r="I83" s="118"/>
      <c r="J83" s="119">
        <v>44889</v>
      </c>
      <c r="K83" s="372" t="s">
        <v>314</v>
      </c>
      <c r="L83" s="115"/>
      <c r="M83" s="115"/>
      <c r="N83" s="121" t="s">
        <v>302</v>
      </c>
      <c r="O83" s="163"/>
      <c r="P83" s="53" t="s">
        <v>49</v>
      </c>
      <c r="Q83" s="53"/>
      <c r="R83" s="54"/>
    </row>
    <row r="84" spans="1:18" s="167" customFormat="1" ht="48" hidden="1">
      <c r="B84" s="168" t="s">
        <v>222</v>
      </c>
      <c r="C84" s="169" t="s">
        <v>44</v>
      </c>
      <c r="D84" s="170" t="s">
        <v>315</v>
      </c>
      <c r="E84" s="171" t="s">
        <v>46</v>
      </c>
      <c r="F84" s="117"/>
      <c r="G84" s="118"/>
      <c r="H84" s="118"/>
      <c r="I84" s="118"/>
      <c r="J84" s="173">
        <v>44889</v>
      </c>
      <c r="K84" s="174" t="s">
        <v>316</v>
      </c>
      <c r="L84" s="115"/>
      <c r="M84" s="115"/>
      <c r="N84" s="182" t="s">
        <v>317</v>
      </c>
      <c r="O84" s="185" t="s">
        <v>225</v>
      </c>
      <c r="P84" s="176" t="s">
        <v>49</v>
      </c>
      <c r="Q84" s="176"/>
      <c r="R84" s="177"/>
    </row>
    <row r="85" spans="1:18" s="167" customFormat="1" ht="48" hidden="1">
      <c r="A85" s="1"/>
      <c r="B85" s="114" t="s">
        <v>160</v>
      </c>
      <c r="C85" s="115" t="s">
        <v>44</v>
      </c>
      <c r="D85" s="116" t="s">
        <v>318</v>
      </c>
      <c r="E85" s="117" t="s">
        <v>46</v>
      </c>
      <c r="F85" s="117"/>
      <c r="G85" s="118"/>
      <c r="H85" s="118"/>
      <c r="I85" s="118"/>
      <c r="J85" s="119">
        <v>44889</v>
      </c>
      <c r="K85" s="120" t="s">
        <v>319</v>
      </c>
      <c r="L85" s="115"/>
      <c r="M85" s="115"/>
      <c r="N85" s="121" t="s">
        <v>320</v>
      </c>
      <c r="O85" s="184"/>
      <c r="P85" s="122" t="s">
        <v>49</v>
      </c>
      <c r="Q85" s="122"/>
      <c r="R85" s="123"/>
    </row>
    <row r="86" spans="1:18" s="125" customFormat="1" ht="39" hidden="1" customHeight="1">
      <c r="A86" s="1"/>
      <c r="B86" s="114" t="s">
        <v>160</v>
      </c>
      <c r="C86" s="115" t="s">
        <v>44</v>
      </c>
      <c r="D86" s="116" t="s">
        <v>321</v>
      </c>
      <c r="E86" s="117" t="s">
        <v>46</v>
      </c>
      <c r="F86" s="117"/>
      <c r="G86" s="118"/>
      <c r="H86" s="118"/>
      <c r="I86" s="118"/>
      <c r="J86" s="119">
        <v>44890</v>
      </c>
      <c r="K86" s="120" t="s">
        <v>322</v>
      </c>
      <c r="L86" s="115"/>
      <c r="M86" s="115"/>
      <c r="N86" s="121" t="s">
        <v>323</v>
      </c>
      <c r="O86" s="163"/>
      <c r="P86" s="53" t="s">
        <v>49</v>
      </c>
      <c r="Q86" s="53"/>
      <c r="R86" s="54"/>
    </row>
    <row r="87" spans="1:18" s="167" customFormat="1" ht="152.1" hidden="1" customHeight="1">
      <c r="B87" s="168" t="s">
        <v>178</v>
      </c>
      <c r="C87" s="169" t="s">
        <v>44</v>
      </c>
      <c r="D87" s="170" t="s">
        <v>324</v>
      </c>
      <c r="E87" s="171" t="s">
        <v>46</v>
      </c>
      <c r="F87" s="117"/>
      <c r="G87" s="118"/>
      <c r="H87" s="118"/>
      <c r="I87" s="118"/>
      <c r="J87" s="173">
        <v>44890</v>
      </c>
      <c r="K87" s="174" t="s">
        <v>325</v>
      </c>
      <c r="L87" s="115"/>
      <c r="M87" s="115"/>
      <c r="N87" s="182" t="s">
        <v>326</v>
      </c>
      <c r="O87" s="185"/>
      <c r="P87" s="122" t="s">
        <v>49</v>
      </c>
      <c r="Q87" s="176"/>
      <c r="R87" s="177"/>
    </row>
    <row r="88" spans="1:18" s="167" customFormat="1" ht="63.95" hidden="1">
      <c r="A88" s="1"/>
      <c r="B88" s="114" t="s">
        <v>54</v>
      </c>
      <c r="C88" s="115" t="s">
        <v>44</v>
      </c>
      <c r="D88" s="116" t="s">
        <v>327</v>
      </c>
      <c r="E88" s="117" t="s">
        <v>46</v>
      </c>
      <c r="F88" s="117"/>
      <c r="G88" s="118"/>
      <c r="H88" s="118"/>
      <c r="I88" s="118"/>
      <c r="J88" s="119">
        <v>44890</v>
      </c>
      <c r="K88" s="120" t="s">
        <v>328</v>
      </c>
      <c r="L88" s="115"/>
      <c r="M88" s="115"/>
      <c r="N88" s="121" t="s">
        <v>323</v>
      </c>
      <c r="O88" s="163"/>
      <c r="P88" s="53" t="s">
        <v>49</v>
      </c>
      <c r="Q88" s="53"/>
      <c r="R88" s="54"/>
    </row>
    <row r="89" spans="1:18" s="125" customFormat="1" ht="224.1" hidden="1">
      <c r="A89" s="186"/>
      <c r="B89" s="187" t="s">
        <v>86</v>
      </c>
      <c r="C89" s="188" t="s">
        <v>44</v>
      </c>
      <c r="D89" s="189" t="s">
        <v>329</v>
      </c>
      <c r="E89" s="190" t="s">
        <v>46</v>
      </c>
      <c r="F89" s="117"/>
      <c r="G89" s="118"/>
      <c r="H89" s="118"/>
      <c r="I89" s="118"/>
      <c r="J89" s="191">
        <v>44897</v>
      </c>
      <c r="K89" s="192">
        <v>925068</v>
      </c>
      <c r="L89" s="115"/>
      <c r="M89" s="115"/>
      <c r="N89" s="193" t="s">
        <v>330</v>
      </c>
      <c r="O89" s="194" t="s">
        <v>331</v>
      </c>
      <c r="P89" s="195" t="s">
        <v>204</v>
      </c>
      <c r="Q89" s="195"/>
      <c r="R89" s="196"/>
    </row>
    <row r="90" spans="1:18" s="125" customFormat="1" ht="48" hidden="1">
      <c r="A90" s="1"/>
      <c r="B90" s="114" t="s">
        <v>50</v>
      </c>
      <c r="C90" s="115" t="s">
        <v>44</v>
      </c>
      <c r="D90" s="116" t="s">
        <v>332</v>
      </c>
      <c r="E90" s="117" t="s">
        <v>46</v>
      </c>
      <c r="F90" s="117"/>
      <c r="G90" s="118"/>
      <c r="H90" s="118"/>
      <c r="I90" s="118"/>
      <c r="J90" s="119">
        <v>44908</v>
      </c>
      <c r="K90" s="120">
        <v>931037</v>
      </c>
      <c r="L90" s="115"/>
      <c r="M90" s="115"/>
      <c r="N90" s="121" t="s">
        <v>333</v>
      </c>
      <c r="O90" s="163"/>
      <c r="P90" s="53" t="s">
        <v>49</v>
      </c>
      <c r="Q90" s="53"/>
      <c r="R90" s="54"/>
    </row>
    <row r="91" spans="1:18" s="125" customFormat="1" ht="63.95" hidden="1">
      <c r="A91" s="1"/>
      <c r="B91" s="114" t="s">
        <v>79</v>
      </c>
      <c r="C91" s="115" t="s">
        <v>44</v>
      </c>
      <c r="D91" s="116" t="s">
        <v>334</v>
      </c>
      <c r="E91" s="117" t="s">
        <v>46</v>
      </c>
      <c r="F91" s="117"/>
      <c r="G91" s="118"/>
      <c r="H91" s="118"/>
      <c r="I91" s="118"/>
      <c r="J91" s="119">
        <v>44909</v>
      </c>
      <c r="K91" s="120">
        <v>933881</v>
      </c>
      <c r="L91" s="115"/>
      <c r="M91" s="115"/>
      <c r="N91" s="121" t="s">
        <v>335</v>
      </c>
      <c r="O91" s="163"/>
      <c r="P91" s="53" t="s">
        <v>49</v>
      </c>
      <c r="Q91" s="53"/>
      <c r="R91" s="54"/>
    </row>
    <row r="92" spans="1:18" s="167" customFormat="1" ht="32.1" hidden="1">
      <c r="B92" s="168" t="s">
        <v>63</v>
      </c>
      <c r="C92" s="169" t="s">
        <v>44</v>
      </c>
      <c r="D92" s="170" t="s">
        <v>336</v>
      </c>
      <c r="E92" s="171" t="s">
        <v>46</v>
      </c>
      <c r="F92" s="117"/>
      <c r="G92" s="118"/>
      <c r="H92" s="118"/>
      <c r="I92" s="118"/>
      <c r="J92" s="173">
        <v>44910</v>
      </c>
      <c r="K92" s="174">
        <v>934722</v>
      </c>
      <c r="L92" s="115"/>
      <c r="M92" s="115"/>
      <c r="N92" s="182" t="s">
        <v>337</v>
      </c>
      <c r="O92" s="185"/>
      <c r="P92" s="176" t="s">
        <v>49</v>
      </c>
      <c r="Q92" s="176"/>
      <c r="R92" s="177"/>
    </row>
    <row r="93" spans="1:18" s="125" customFormat="1" ht="60.95" hidden="1" customHeight="1">
      <c r="A93" s="167"/>
      <c r="B93" s="168" t="s">
        <v>63</v>
      </c>
      <c r="C93" s="169" t="s">
        <v>44</v>
      </c>
      <c r="D93" s="170" t="s">
        <v>338</v>
      </c>
      <c r="E93" s="171" t="s">
        <v>46</v>
      </c>
      <c r="F93" s="117"/>
      <c r="G93" s="118"/>
      <c r="H93" s="118"/>
      <c r="I93" s="118"/>
      <c r="J93" s="173">
        <v>44910</v>
      </c>
      <c r="K93" s="174">
        <v>934747</v>
      </c>
      <c r="L93" s="115"/>
      <c r="M93" s="115"/>
      <c r="N93" s="182" t="s">
        <v>337</v>
      </c>
      <c r="O93" s="185"/>
      <c r="P93" s="176" t="s">
        <v>49</v>
      </c>
      <c r="Q93" s="176"/>
      <c r="R93" s="177"/>
    </row>
    <row r="94" spans="1:18" s="167" customFormat="1" ht="65.099999999999994" hidden="1" customHeight="1">
      <c r="B94" s="168" t="s">
        <v>54</v>
      </c>
      <c r="C94" s="169" t="s">
        <v>44</v>
      </c>
      <c r="D94" s="170" t="s">
        <v>339</v>
      </c>
      <c r="E94" s="171" t="s">
        <v>46</v>
      </c>
      <c r="F94" s="117"/>
      <c r="G94" s="118"/>
      <c r="H94" s="118"/>
      <c r="I94" s="118"/>
      <c r="J94" s="173">
        <v>44910</v>
      </c>
      <c r="K94" s="174">
        <v>935373</v>
      </c>
      <c r="L94" s="115"/>
      <c r="M94" s="115"/>
      <c r="N94" s="182" t="s">
        <v>340</v>
      </c>
      <c r="O94" s="185"/>
      <c r="P94" s="122" t="s">
        <v>49</v>
      </c>
      <c r="Q94" s="176"/>
      <c r="R94" s="177"/>
    </row>
    <row r="95" spans="1:18" s="167" customFormat="1" ht="96" hidden="1">
      <c r="A95" s="1"/>
      <c r="B95" s="114" t="s">
        <v>63</v>
      </c>
      <c r="C95" s="115" t="s">
        <v>44</v>
      </c>
      <c r="D95" s="116" t="s">
        <v>341</v>
      </c>
      <c r="E95" s="117" t="s">
        <v>46</v>
      </c>
      <c r="F95" s="117"/>
      <c r="G95" s="118"/>
      <c r="H95" s="118"/>
      <c r="I95" s="118"/>
      <c r="J95" s="119">
        <v>44911</v>
      </c>
      <c r="K95" s="368">
        <v>934721</v>
      </c>
      <c r="L95" s="115"/>
      <c r="M95" s="115"/>
      <c r="N95" s="121" t="s">
        <v>342</v>
      </c>
      <c r="O95" s="163"/>
      <c r="P95" s="53" t="s">
        <v>49</v>
      </c>
      <c r="Q95" s="53"/>
      <c r="R95" s="54"/>
    </row>
    <row r="96" spans="1:18" s="125" customFormat="1" ht="32.1" hidden="1">
      <c r="A96" s="167"/>
      <c r="B96" s="168" t="s">
        <v>58</v>
      </c>
      <c r="C96" s="169" t="s">
        <v>147</v>
      </c>
      <c r="D96" s="170" t="s">
        <v>228</v>
      </c>
      <c r="E96" s="171" t="s">
        <v>46</v>
      </c>
      <c r="F96" s="119">
        <v>44881</v>
      </c>
      <c r="G96" s="120" t="s">
        <v>229</v>
      </c>
      <c r="H96" s="118"/>
      <c r="I96" s="118"/>
      <c r="J96" s="173">
        <v>44915</v>
      </c>
      <c r="K96" s="364"/>
      <c r="L96" s="115"/>
      <c r="M96" s="115"/>
      <c r="N96" s="182" t="s">
        <v>343</v>
      </c>
      <c r="O96" s="185" t="s">
        <v>344</v>
      </c>
      <c r="P96" s="53" t="s">
        <v>49</v>
      </c>
      <c r="Q96" s="176"/>
      <c r="R96" s="177"/>
    </row>
    <row r="97" spans="1:18" s="125" customFormat="1" ht="80.099999999999994" hidden="1">
      <c r="A97" s="167"/>
      <c r="B97" s="168" t="s">
        <v>58</v>
      </c>
      <c r="C97" s="169"/>
      <c r="D97" s="170" t="s">
        <v>345</v>
      </c>
      <c r="E97" s="171" t="s">
        <v>46</v>
      </c>
      <c r="F97" s="171"/>
      <c r="G97" s="172"/>
      <c r="H97" s="172"/>
      <c r="I97" s="172"/>
      <c r="J97" s="173">
        <v>44915.557141203702</v>
      </c>
      <c r="K97" s="364" t="s">
        <v>346</v>
      </c>
      <c r="L97" s="169"/>
      <c r="M97" s="169"/>
      <c r="N97" s="182" t="s">
        <v>347</v>
      </c>
      <c r="O97" s="185"/>
      <c r="P97" s="176" t="s">
        <v>49</v>
      </c>
      <c r="Q97" s="176"/>
      <c r="R97" s="177"/>
    </row>
    <row r="98" spans="1:18" s="125" customFormat="1" ht="63.95" hidden="1">
      <c r="A98" s="1"/>
      <c r="B98" s="114" t="s">
        <v>99</v>
      </c>
      <c r="C98" s="115" t="s">
        <v>44</v>
      </c>
      <c r="D98" s="116" t="s">
        <v>348</v>
      </c>
      <c r="E98" s="117" t="s">
        <v>46</v>
      </c>
      <c r="F98" s="117"/>
      <c r="G98" s="118"/>
      <c r="H98" s="118"/>
      <c r="I98" s="118"/>
      <c r="J98" s="119">
        <v>44916</v>
      </c>
      <c r="K98" s="372">
        <v>938473</v>
      </c>
      <c r="L98" s="115"/>
      <c r="M98" s="115"/>
      <c r="N98" s="121" t="s">
        <v>349</v>
      </c>
      <c r="O98" s="163"/>
      <c r="P98" s="53" t="s">
        <v>49</v>
      </c>
      <c r="Q98" s="53"/>
      <c r="R98" s="54"/>
    </row>
    <row r="99" spans="1:18" ht="32.1" hidden="1">
      <c r="A99" s="167"/>
      <c r="B99" s="168" t="s">
        <v>129</v>
      </c>
      <c r="C99" s="169" t="s">
        <v>44</v>
      </c>
      <c r="D99" s="170" t="s">
        <v>350</v>
      </c>
      <c r="E99" s="171" t="s">
        <v>46</v>
      </c>
      <c r="F99" s="117"/>
      <c r="G99" s="118"/>
      <c r="H99" s="118"/>
      <c r="I99" s="118"/>
      <c r="J99" s="173">
        <v>44916</v>
      </c>
      <c r="K99" s="174">
        <v>938537</v>
      </c>
      <c r="L99" s="115"/>
      <c r="M99" s="115"/>
      <c r="N99" s="182" t="s">
        <v>337</v>
      </c>
      <c r="O99" s="185"/>
      <c r="P99" s="176" t="s">
        <v>49</v>
      </c>
      <c r="Q99" s="176"/>
      <c r="R99" s="177"/>
    </row>
    <row r="100" spans="1:18" s="125" customFormat="1" ht="32.1" hidden="1">
      <c r="A100" s="167"/>
      <c r="B100" s="168" t="s">
        <v>129</v>
      </c>
      <c r="C100" s="169" t="s">
        <v>100</v>
      </c>
      <c r="D100" s="170" t="s">
        <v>351</v>
      </c>
      <c r="E100" s="171" t="s">
        <v>46</v>
      </c>
      <c r="F100" s="117"/>
      <c r="G100" s="118"/>
      <c r="H100" s="118"/>
      <c r="I100" s="118"/>
      <c r="J100" s="173">
        <v>44916</v>
      </c>
      <c r="K100" s="174">
        <v>938539</v>
      </c>
      <c r="L100" s="115"/>
      <c r="M100" s="115"/>
      <c r="N100" s="182" t="s">
        <v>337</v>
      </c>
      <c r="O100" s="185"/>
      <c r="P100" s="176" t="s">
        <v>49</v>
      </c>
      <c r="Q100" s="176"/>
      <c r="R100" s="177"/>
    </row>
    <row r="101" spans="1:18" s="125" customFormat="1" ht="48" hidden="1">
      <c r="A101" s="167"/>
      <c r="B101" s="168" t="s">
        <v>129</v>
      </c>
      <c r="C101" s="169" t="s">
        <v>44</v>
      </c>
      <c r="D101" s="170" t="s">
        <v>352</v>
      </c>
      <c r="E101" s="171" t="s">
        <v>46</v>
      </c>
      <c r="F101" s="171"/>
      <c r="G101" s="172"/>
      <c r="H101" s="172"/>
      <c r="I101" s="172"/>
      <c r="J101" s="173">
        <v>44916</v>
      </c>
      <c r="K101" s="174">
        <v>938541</v>
      </c>
      <c r="L101" s="169"/>
      <c r="M101" s="169"/>
      <c r="N101" s="182" t="s">
        <v>353</v>
      </c>
      <c r="O101" s="185"/>
      <c r="P101" s="176" t="s">
        <v>49</v>
      </c>
      <c r="Q101" s="176"/>
      <c r="R101" s="177"/>
    </row>
    <row r="102" spans="1:18" s="125" customFormat="1" ht="32.1" hidden="1">
      <c r="A102" s="167"/>
      <c r="B102" s="168" t="s">
        <v>129</v>
      </c>
      <c r="C102" s="169" t="s">
        <v>44</v>
      </c>
      <c r="D102" s="170" t="s">
        <v>354</v>
      </c>
      <c r="E102" s="171" t="s">
        <v>46</v>
      </c>
      <c r="F102" s="117"/>
      <c r="G102" s="118"/>
      <c r="H102" s="118"/>
      <c r="I102" s="118"/>
      <c r="J102" s="173">
        <v>44916</v>
      </c>
      <c r="K102" s="174">
        <v>938545</v>
      </c>
      <c r="L102" s="115"/>
      <c r="M102" s="115"/>
      <c r="N102" s="182" t="s">
        <v>337</v>
      </c>
      <c r="O102" s="185"/>
      <c r="P102" s="176" t="s">
        <v>49</v>
      </c>
      <c r="Q102" s="176"/>
      <c r="R102" s="177"/>
    </row>
    <row r="103" spans="1:18" s="125" customFormat="1" ht="39" hidden="1" customHeight="1">
      <c r="A103" s="167"/>
      <c r="B103" s="168" t="s">
        <v>178</v>
      </c>
      <c r="C103" s="169" t="s">
        <v>100</v>
      </c>
      <c r="D103" s="170" t="s">
        <v>355</v>
      </c>
      <c r="E103" s="171" t="s">
        <v>46</v>
      </c>
      <c r="F103" s="117"/>
      <c r="G103" s="118"/>
      <c r="H103" s="118"/>
      <c r="I103" s="118"/>
      <c r="J103" s="173">
        <v>44917.736875000002</v>
      </c>
      <c r="K103" s="174" t="s">
        <v>356</v>
      </c>
      <c r="L103" s="115"/>
      <c r="M103" s="115"/>
      <c r="N103" s="182" t="s">
        <v>357</v>
      </c>
      <c r="O103" s="185"/>
      <c r="P103" s="176" t="s">
        <v>49</v>
      </c>
      <c r="Q103" s="176"/>
      <c r="R103" s="177"/>
    </row>
    <row r="104" spans="1:18" s="125" customFormat="1" ht="63.95">
      <c r="A104" s="167"/>
      <c r="B104" s="168" t="s">
        <v>190</v>
      </c>
      <c r="C104" s="169" t="s">
        <v>44</v>
      </c>
      <c r="D104" s="170" t="s">
        <v>358</v>
      </c>
      <c r="E104" s="171" t="s">
        <v>46</v>
      </c>
      <c r="F104" s="117"/>
      <c r="G104" s="118"/>
      <c r="H104" s="118"/>
      <c r="I104" s="118"/>
      <c r="J104" s="173">
        <v>44885</v>
      </c>
      <c r="K104" s="174" t="s">
        <v>359</v>
      </c>
      <c r="L104" s="115"/>
      <c r="M104" s="115"/>
      <c r="N104" s="182" t="s">
        <v>360</v>
      </c>
      <c r="O104" s="185"/>
      <c r="P104" s="176" t="s">
        <v>49</v>
      </c>
      <c r="Q104" s="176"/>
      <c r="R104" s="177"/>
    </row>
    <row r="105" spans="1:18" s="186" customFormat="1" ht="236.1" customHeight="1">
      <c r="A105" s="167"/>
      <c r="B105" s="168" t="s">
        <v>361</v>
      </c>
      <c r="C105" s="169"/>
      <c r="D105" s="170" t="s">
        <v>362</v>
      </c>
      <c r="E105" s="171" t="s">
        <v>46</v>
      </c>
      <c r="F105" s="117"/>
      <c r="G105" s="118"/>
      <c r="H105" s="118"/>
      <c r="I105" s="118"/>
      <c r="J105" s="173">
        <v>44924.331250000003</v>
      </c>
      <c r="K105" s="174" t="s">
        <v>363</v>
      </c>
      <c r="L105" s="115"/>
      <c r="M105" s="115"/>
      <c r="N105" s="182" t="s">
        <v>357</v>
      </c>
      <c r="O105" s="185"/>
      <c r="P105" s="176" t="s">
        <v>49</v>
      </c>
      <c r="Q105" s="176"/>
      <c r="R105" s="177"/>
    </row>
    <row r="106" spans="1:18" s="125" customFormat="1" ht="32.1" hidden="1">
      <c r="A106" s="167"/>
      <c r="B106" s="168" t="s">
        <v>54</v>
      </c>
      <c r="C106" s="169"/>
      <c r="D106" s="170" t="s">
        <v>364</v>
      </c>
      <c r="E106" s="171" t="s">
        <v>46</v>
      </c>
      <c r="F106" s="117"/>
      <c r="G106" s="118"/>
      <c r="H106" s="118"/>
      <c r="I106" s="118"/>
      <c r="J106" s="173">
        <v>44931.115277777775</v>
      </c>
      <c r="K106" s="174" t="s">
        <v>365</v>
      </c>
      <c r="L106" s="115"/>
      <c r="M106" s="115"/>
      <c r="N106" s="182" t="s">
        <v>357</v>
      </c>
      <c r="O106" s="185"/>
      <c r="P106" s="176" t="s">
        <v>49</v>
      </c>
      <c r="Q106" s="176"/>
      <c r="R106" s="177"/>
    </row>
    <row r="107" spans="1:18" s="125" customFormat="1" ht="63.95" hidden="1">
      <c r="A107" s="167"/>
      <c r="B107" s="168" t="s">
        <v>54</v>
      </c>
      <c r="C107" s="169"/>
      <c r="D107" s="170" t="s">
        <v>366</v>
      </c>
      <c r="E107" s="171" t="s">
        <v>202</v>
      </c>
      <c r="F107" s="171"/>
      <c r="G107" s="172"/>
      <c r="H107" s="172"/>
      <c r="I107" s="172"/>
      <c r="J107" s="173">
        <v>44935.268055555556</v>
      </c>
      <c r="K107" s="174" t="s">
        <v>367</v>
      </c>
      <c r="L107" s="169"/>
      <c r="M107" s="169"/>
      <c r="N107" s="182" t="s">
        <v>368</v>
      </c>
      <c r="O107" s="185"/>
      <c r="P107" s="176" t="s">
        <v>49</v>
      </c>
      <c r="Q107" s="176"/>
      <c r="R107" s="177"/>
    </row>
    <row r="108" spans="1:18" s="167" customFormat="1" ht="48" hidden="1">
      <c r="B108" s="168" t="s">
        <v>75</v>
      </c>
      <c r="C108" s="169"/>
      <c r="D108" s="170" t="s">
        <v>369</v>
      </c>
      <c r="E108" s="171" t="s">
        <v>46</v>
      </c>
      <c r="F108" s="117"/>
      <c r="G108" s="118"/>
      <c r="H108" s="118"/>
      <c r="I108" s="118"/>
      <c r="J108" s="173">
        <v>44939.190671296295</v>
      </c>
      <c r="K108" s="174" t="s">
        <v>370</v>
      </c>
      <c r="L108" s="115"/>
      <c r="M108" s="115"/>
      <c r="N108" s="182" t="s">
        <v>357</v>
      </c>
      <c r="O108" s="185"/>
      <c r="P108" s="176" t="s">
        <v>49</v>
      </c>
      <c r="Q108" s="176"/>
      <c r="R108" s="177"/>
    </row>
    <row r="109" spans="1:18" s="167" customFormat="1" ht="48" hidden="1">
      <c r="B109" s="48" t="s">
        <v>138</v>
      </c>
      <c r="C109" s="169"/>
      <c r="D109" s="170" t="s">
        <v>371</v>
      </c>
      <c r="E109" s="171" t="s">
        <v>46</v>
      </c>
      <c r="F109" s="117"/>
      <c r="G109" s="118"/>
      <c r="H109" s="118"/>
      <c r="I109" s="118"/>
      <c r="J109" s="173">
        <v>44939.409641203703</v>
      </c>
      <c r="K109" s="174" t="s">
        <v>372</v>
      </c>
      <c r="L109" s="115"/>
      <c r="M109" s="115"/>
      <c r="N109" s="182" t="s">
        <v>357</v>
      </c>
      <c r="O109" s="185"/>
      <c r="P109" s="176" t="s">
        <v>49</v>
      </c>
      <c r="Q109" s="176"/>
      <c r="R109" s="177"/>
    </row>
    <row r="110" spans="1:18" s="125" customFormat="1" ht="119.1" hidden="1" customHeight="1">
      <c r="A110" s="167"/>
      <c r="B110" s="168" t="s">
        <v>163</v>
      </c>
      <c r="C110" s="169"/>
      <c r="D110" s="170" t="s">
        <v>373</v>
      </c>
      <c r="E110" s="171" t="s">
        <v>46</v>
      </c>
      <c r="F110" s="117"/>
      <c r="G110" s="118"/>
      <c r="H110" s="118"/>
      <c r="I110" s="118"/>
      <c r="J110" s="173">
        <v>44953</v>
      </c>
      <c r="K110" s="174">
        <v>961942</v>
      </c>
      <c r="L110" s="115"/>
      <c r="M110" s="115"/>
      <c r="N110" s="182" t="s">
        <v>374</v>
      </c>
      <c r="O110" s="200" t="s">
        <v>375</v>
      </c>
      <c r="P110" s="176" t="s">
        <v>49</v>
      </c>
      <c r="Q110" s="176"/>
      <c r="R110" s="177"/>
    </row>
    <row r="111" spans="1:18" s="167" customFormat="1" ht="80.099999999999994" hidden="1">
      <c r="B111" s="168" t="s">
        <v>163</v>
      </c>
      <c r="C111" s="169"/>
      <c r="D111" s="170" t="s">
        <v>376</v>
      </c>
      <c r="E111" s="171" t="s">
        <v>46</v>
      </c>
      <c r="F111" s="117"/>
      <c r="G111" s="118"/>
      <c r="H111" s="118"/>
      <c r="I111" s="118"/>
      <c r="J111" s="173">
        <v>44953</v>
      </c>
      <c r="K111" s="174">
        <v>961943</v>
      </c>
      <c r="L111" s="115"/>
      <c r="M111" s="115"/>
      <c r="N111" s="182" t="s">
        <v>377</v>
      </c>
      <c r="O111" s="185"/>
      <c r="P111" s="176" t="s">
        <v>49</v>
      </c>
      <c r="Q111" s="176"/>
      <c r="R111" s="177"/>
    </row>
    <row r="112" spans="1:18" s="167" customFormat="1" ht="128.1" hidden="1">
      <c r="B112" s="168" t="s">
        <v>156</v>
      </c>
      <c r="C112" s="169"/>
      <c r="D112" s="170" t="s">
        <v>378</v>
      </c>
      <c r="E112" s="171" t="s">
        <v>46</v>
      </c>
      <c r="F112" s="117"/>
      <c r="G112" s="118"/>
      <c r="H112" s="118"/>
      <c r="I112" s="118"/>
      <c r="J112" s="173">
        <v>44953</v>
      </c>
      <c r="K112" s="174">
        <v>963236</v>
      </c>
      <c r="L112" s="115"/>
      <c r="M112" s="115"/>
      <c r="N112" s="182" t="s">
        <v>379</v>
      </c>
      <c r="O112" s="185"/>
      <c r="P112" s="176" t="s">
        <v>49</v>
      </c>
      <c r="Q112" s="176"/>
      <c r="R112" s="177"/>
    </row>
    <row r="113" spans="1:18" s="167" customFormat="1" ht="48" hidden="1">
      <c r="B113" s="168" t="s">
        <v>54</v>
      </c>
      <c r="C113" s="169"/>
      <c r="D113" s="170" t="s">
        <v>380</v>
      </c>
      <c r="E113" s="171" t="s">
        <v>46</v>
      </c>
      <c r="F113" s="117"/>
      <c r="G113" s="118"/>
      <c r="H113" s="118"/>
      <c r="I113" s="118"/>
      <c r="J113" s="173">
        <v>44953</v>
      </c>
      <c r="K113" s="174">
        <v>963269</v>
      </c>
      <c r="L113" s="115"/>
      <c r="M113" s="115"/>
      <c r="N113" s="182" t="s">
        <v>381</v>
      </c>
      <c r="O113" s="185" t="s">
        <v>382</v>
      </c>
      <c r="P113" s="176" t="s">
        <v>49</v>
      </c>
      <c r="Q113" s="176"/>
      <c r="R113" s="177"/>
    </row>
    <row r="114" spans="1:18" s="167" customFormat="1" ht="32.1" hidden="1">
      <c r="B114" s="168" t="s">
        <v>54</v>
      </c>
      <c r="C114" s="169"/>
      <c r="D114" s="170" t="s">
        <v>383</v>
      </c>
      <c r="E114" s="171" t="s">
        <v>46</v>
      </c>
      <c r="F114" s="117"/>
      <c r="G114" s="118"/>
      <c r="H114" s="118"/>
      <c r="I114" s="118"/>
      <c r="J114" s="173">
        <v>44956</v>
      </c>
      <c r="K114" s="174">
        <v>964683</v>
      </c>
      <c r="L114" s="115"/>
      <c r="M114" s="115"/>
      <c r="N114" s="182" t="s">
        <v>384</v>
      </c>
      <c r="O114" s="185"/>
      <c r="P114" s="176" t="s">
        <v>49</v>
      </c>
      <c r="Q114" s="176"/>
      <c r="R114" s="177"/>
    </row>
    <row r="115" spans="1:18" s="167" customFormat="1" ht="48" hidden="1">
      <c r="B115" s="168" t="s">
        <v>178</v>
      </c>
      <c r="C115" s="169"/>
      <c r="D115" s="170" t="s">
        <v>385</v>
      </c>
      <c r="E115" s="171" t="s">
        <v>46</v>
      </c>
      <c r="F115" s="117"/>
      <c r="G115" s="118"/>
      <c r="H115" s="118"/>
      <c r="I115" s="118"/>
      <c r="J115" s="173">
        <v>44956</v>
      </c>
      <c r="K115" s="174">
        <v>964685</v>
      </c>
      <c r="L115" s="115"/>
      <c r="M115" s="115"/>
      <c r="N115" s="182" t="s">
        <v>377</v>
      </c>
      <c r="O115" s="185"/>
      <c r="P115" s="176" t="s">
        <v>49</v>
      </c>
      <c r="Q115" s="176"/>
      <c r="R115" s="177"/>
    </row>
    <row r="116" spans="1:18" s="167" customFormat="1" ht="96" hidden="1">
      <c r="B116" s="168" t="s">
        <v>214</v>
      </c>
      <c r="C116" s="169"/>
      <c r="D116" s="170" t="s">
        <v>386</v>
      </c>
      <c r="E116" s="171" t="s">
        <v>46</v>
      </c>
      <c r="F116" s="117"/>
      <c r="G116" s="118"/>
      <c r="H116" s="118"/>
      <c r="I116" s="118"/>
      <c r="J116" s="334">
        <v>44960</v>
      </c>
      <c r="K116" s="174">
        <v>960567</v>
      </c>
      <c r="L116" s="115"/>
      <c r="M116" s="115"/>
      <c r="N116" s="182" t="s">
        <v>387</v>
      </c>
      <c r="O116" s="185"/>
      <c r="P116" s="176" t="s">
        <v>49</v>
      </c>
      <c r="Q116" s="176"/>
      <c r="R116" s="177"/>
    </row>
    <row r="117" spans="1:18" s="167" customFormat="1" ht="63.95" hidden="1">
      <c r="B117" s="168" t="s">
        <v>71</v>
      </c>
      <c r="C117" s="169"/>
      <c r="D117" s="170" t="s">
        <v>388</v>
      </c>
      <c r="E117" s="171" t="s">
        <v>46</v>
      </c>
      <c r="F117" s="171"/>
      <c r="G117" s="172"/>
      <c r="H117" s="172"/>
      <c r="I117" s="172"/>
      <c r="J117" s="173">
        <v>44960</v>
      </c>
      <c r="K117" s="174">
        <v>966924</v>
      </c>
      <c r="L117" s="169"/>
      <c r="M117" s="169"/>
      <c r="N117" s="182" t="s">
        <v>384</v>
      </c>
      <c r="O117" s="185"/>
      <c r="P117" s="176" t="s">
        <v>49</v>
      </c>
      <c r="Q117" s="176"/>
      <c r="R117" s="177"/>
    </row>
    <row r="118" spans="1:18" s="167" customFormat="1" ht="48" hidden="1">
      <c r="B118" s="168" t="s">
        <v>156</v>
      </c>
      <c r="C118" s="169"/>
      <c r="D118" s="170" t="s">
        <v>389</v>
      </c>
      <c r="E118" s="171" t="s">
        <v>46</v>
      </c>
      <c r="F118" s="117"/>
      <c r="G118" s="118"/>
      <c r="H118" s="118"/>
      <c r="I118" s="118"/>
      <c r="J118" s="173">
        <v>44960</v>
      </c>
      <c r="K118" s="369">
        <v>967141</v>
      </c>
      <c r="L118" s="115"/>
      <c r="M118" s="115"/>
      <c r="N118" s="182" t="s">
        <v>384</v>
      </c>
      <c r="O118" s="185"/>
      <c r="P118" s="176" t="s">
        <v>49</v>
      </c>
      <c r="Q118" s="176"/>
      <c r="R118" s="177"/>
    </row>
    <row r="119" spans="1:18" s="167" customFormat="1" ht="80.099999999999994" hidden="1">
      <c r="B119" s="168" t="s">
        <v>58</v>
      </c>
      <c r="C119" s="169"/>
      <c r="D119" s="170" t="s">
        <v>390</v>
      </c>
      <c r="E119" s="171" t="s">
        <v>46</v>
      </c>
      <c r="F119" s="117"/>
      <c r="G119" s="118"/>
      <c r="H119" s="118"/>
      <c r="I119" s="118"/>
      <c r="J119" s="173">
        <v>44960</v>
      </c>
      <c r="K119" s="364">
        <v>967176</v>
      </c>
      <c r="L119" s="115"/>
      <c r="M119" s="115"/>
      <c r="N119" s="182" t="s">
        <v>391</v>
      </c>
      <c r="O119" s="185"/>
      <c r="P119" s="176" t="s">
        <v>49</v>
      </c>
      <c r="Q119" s="176"/>
      <c r="R119" s="177"/>
    </row>
    <row r="120" spans="1:18" s="167" customFormat="1" ht="32.1" hidden="1">
      <c r="B120" s="168" t="s">
        <v>54</v>
      </c>
      <c r="C120" s="169"/>
      <c r="D120" s="170" t="s">
        <v>392</v>
      </c>
      <c r="E120" s="171" t="s">
        <v>46</v>
      </c>
      <c r="F120" s="117"/>
      <c r="G120" s="118"/>
      <c r="H120" s="118"/>
      <c r="I120" s="118"/>
      <c r="J120" s="173">
        <v>44960</v>
      </c>
      <c r="K120" s="305">
        <v>967545</v>
      </c>
      <c r="L120" s="115"/>
      <c r="M120" s="115"/>
      <c r="N120" s="182" t="s">
        <v>384</v>
      </c>
      <c r="O120" s="185"/>
      <c r="P120" s="176" t="s">
        <v>49</v>
      </c>
      <c r="Q120" s="176"/>
      <c r="R120" s="177"/>
    </row>
    <row r="121" spans="1:18" s="167" customFormat="1" ht="63.95" hidden="1">
      <c r="B121" s="168" t="s">
        <v>156</v>
      </c>
      <c r="C121" s="169"/>
      <c r="D121" s="170" t="s">
        <v>393</v>
      </c>
      <c r="E121" s="171" t="s">
        <v>46</v>
      </c>
      <c r="F121" s="117"/>
      <c r="G121" s="118"/>
      <c r="H121" s="118"/>
      <c r="I121" s="118"/>
      <c r="J121" s="173">
        <v>44964</v>
      </c>
      <c r="K121" s="174">
        <v>970205</v>
      </c>
      <c r="L121" s="115"/>
      <c r="M121" s="115"/>
      <c r="N121" s="182" t="s">
        <v>394</v>
      </c>
      <c r="O121" s="185"/>
      <c r="P121" s="176" t="s">
        <v>49</v>
      </c>
      <c r="Q121" s="176"/>
      <c r="R121" s="177"/>
    </row>
    <row r="122" spans="1:18" s="167" customFormat="1" ht="63.95" hidden="1">
      <c r="B122" s="168" t="s">
        <v>156</v>
      </c>
      <c r="C122" s="169"/>
      <c r="D122" s="170" t="s">
        <v>395</v>
      </c>
      <c r="E122" s="171" t="s">
        <v>46</v>
      </c>
      <c r="F122" s="117"/>
      <c r="G122" s="118"/>
      <c r="H122" s="118"/>
      <c r="I122" s="118"/>
      <c r="J122" s="173">
        <v>44964</v>
      </c>
      <c r="K122" s="174">
        <v>970333</v>
      </c>
      <c r="L122" s="115"/>
      <c r="M122" s="115"/>
      <c r="N122" s="182" t="s">
        <v>396</v>
      </c>
      <c r="O122" s="185"/>
      <c r="P122" s="176" t="s">
        <v>49</v>
      </c>
      <c r="Q122" s="176"/>
      <c r="R122" s="177"/>
    </row>
    <row r="123" spans="1:18" s="167" customFormat="1" ht="63.95" hidden="1">
      <c r="B123" s="168" t="s">
        <v>79</v>
      </c>
      <c r="C123" s="169"/>
      <c r="D123" s="170" t="s">
        <v>397</v>
      </c>
      <c r="E123" s="171" t="s">
        <v>46</v>
      </c>
      <c r="F123" s="117"/>
      <c r="G123" s="118"/>
      <c r="H123" s="118"/>
      <c r="I123" s="118"/>
      <c r="J123" s="173">
        <v>44967</v>
      </c>
      <c r="K123" s="174">
        <v>973281</v>
      </c>
      <c r="L123" s="115"/>
      <c r="M123" s="115"/>
      <c r="N123" s="182" t="s">
        <v>398</v>
      </c>
      <c r="O123" s="185"/>
      <c r="P123" s="53" t="s">
        <v>49</v>
      </c>
      <c r="Q123" s="176"/>
      <c r="R123" s="177"/>
    </row>
    <row r="124" spans="1:18" s="167" customFormat="1" ht="192" hidden="1">
      <c r="B124" s="168" t="s">
        <v>99</v>
      </c>
      <c r="C124" s="169"/>
      <c r="D124" s="170" t="s">
        <v>399</v>
      </c>
      <c r="E124" s="171" t="s">
        <v>46</v>
      </c>
      <c r="F124" s="117"/>
      <c r="G124" s="118"/>
      <c r="H124" s="118"/>
      <c r="I124" s="118"/>
      <c r="J124" s="173">
        <v>44969</v>
      </c>
      <c r="K124" s="174">
        <v>973287</v>
      </c>
      <c r="L124" s="115"/>
      <c r="M124" s="115"/>
      <c r="N124" s="182" t="s">
        <v>400</v>
      </c>
      <c r="O124" s="185" t="s">
        <v>401</v>
      </c>
      <c r="P124" s="176" t="s">
        <v>49</v>
      </c>
      <c r="Q124" s="176"/>
      <c r="R124" s="177"/>
    </row>
    <row r="125" spans="1:18" s="167" customFormat="1" ht="111.95" hidden="1">
      <c r="B125" s="168" t="s">
        <v>54</v>
      </c>
      <c r="C125" s="169"/>
      <c r="D125" s="170" t="s">
        <v>402</v>
      </c>
      <c r="E125" s="171" t="s">
        <v>46</v>
      </c>
      <c r="F125" s="117"/>
      <c r="G125" s="118"/>
      <c r="H125" s="118"/>
      <c r="I125" s="118"/>
      <c r="J125" s="173">
        <v>44970</v>
      </c>
      <c r="K125" s="174">
        <v>976852</v>
      </c>
      <c r="L125" s="115"/>
      <c r="M125" s="115"/>
      <c r="N125" s="182" t="s">
        <v>403</v>
      </c>
      <c r="O125" s="185"/>
      <c r="P125" s="176" t="s">
        <v>49</v>
      </c>
      <c r="Q125" s="176"/>
      <c r="R125" s="177"/>
    </row>
    <row r="126" spans="1:18" s="167" customFormat="1" ht="80.099999999999994" hidden="1">
      <c r="B126" s="168" t="s">
        <v>43</v>
      </c>
      <c r="C126" s="169"/>
      <c r="D126" s="170" t="s">
        <v>404</v>
      </c>
      <c r="E126" s="171" t="s">
        <v>46</v>
      </c>
      <c r="F126" s="117"/>
      <c r="G126" s="118"/>
      <c r="H126" s="118"/>
      <c r="I126" s="118"/>
      <c r="J126" s="173">
        <v>44972</v>
      </c>
      <c r="K126" s="174">
        <v>978312</v>
      </c>
      <c r="L126" s="115"/>
      <c r="M126" s="115"/>
      <c r="N126" s="182" t="s">
        <v>405</v>
      </c>
      <c r="O126" s="185"/>
      <c r="P126" s="176" t="s">
        <v>49</v>
      </c>
      <c r="Q126" s="176"/>
      <c r="R126" s="177"/>
    </row>
    <row r="127" spans="1:18" s="167" customFormat="1" ht="32.1" hidden="1">
      <c r="A127" s="1"/>
      <c r="B127" s="114" t="s">
        <v>170</v>
      </c>
      <c r="C127" s="115"/>
      <c r="D127" s="116" t="s">
        <v>406</v>
      </c>
      <c r="E127" s="171" t="s">
        <v>46</v>
      </c>
      <c r="F127" s="117"/>
      <c r="G127" s="118"/>
      <c r="H127" s="118"/>
      <c r="I127" s="118"/>
      <c r="J127" s="119">
        <v>44974</v>
      </c>
      <c r="K127" s="120">
        <v>981596</v>
      </c>
      <c r="L127" s="115"/>
      <c r="M127" s="115"/>
      <c r="N127" s="182" t="s">
        <v>407</v>
      </c>
      <c r="O127" s="163"/>
      <c r="P127" s="53" t="s">
        <v>49</v>
      </c>
      <c r="Q127" s="53"/>
      <c r="R127" s="54"/>
    </row>
    <row r="128" spans="1:18" s="167" customFormat="1" ht="63.95" hidden="1">
      <c r="B128" s="168" t="s">
        <v>222</v>
      </c>
      <c r="C128" s="169"/>
      <c r="D128" s="170" t="s">
        <v>408</v>
      </c>
      <c r="E128" s="171" t="s">
        <v>46</v>
      </c>
      <c r="F128" s="117"/>
      <c r="G128" s="118"/>
      <c r="H128" s="118"/>
      <c r="I128" s="118"/>
      <c r="J128" s="173">
        <v>44977</v>
      </c>
      <c r="K128" s="174">
        <v>983796</v>
      </c>
      <c r="L128" s="115"/>
      <c r="M128" s="115"/>
      <c r="N128" s="182" t="s">
        <v>409</v>
      </c>
      <c r="O128" s="185"/>
      <c r="P128" s="176" t="s">
        <v>49</v>
      </c>
      <c r="Q128" s="176"/>
      <c r="R128" s="177"/>
    </row>
    <row r="129" spans="1:18" s="167" customFormat="1" ht="63.95" hidden="1">
      <c r="B129" s="168" t="s">
        <v>79</v>
      </c>
      <c r="C129" s="169"/>
      <c r="D129" s="170" t="s">
        <v>410</v>
      </c>
      <c r="E129" s="171" t="s">
        <v>46</v>
      </c>
      <c r="F129" s="117"/>
      <c r="G129" s="118"/>
      <c r="H129" s="118"/>
      <c r="I129" s="118"/>
      <c r="J129" s="173">
        <v>44978</v>
      </c>
      <c r="K129" s="174">
        <v>984638</v>
      </c>
      <c r="L129" s="115"/>
      <c r="M129" s="115"/>
      <c r="N129" s="182" t="s">
        <v>411</v>
      </c>
      <c r="O129" s="185" t="s">
        <v>412</v>
      </c>
      <c r="P129" s="53" t="s">
        <v>49</v>
      </c>
      <c r="Q129" s="176"/>
      <c r="R129" s="177"/>
    </row>
    <row r="130" spans="1:18" s="167" customFormat="1" ht="48" hidden="1">
      <c r="B130" s="168" t="s">
        <v>413</v>
      </c>
      <c r="C130" s="169"/>
      <c r="D130" s="170" t="s">
        <v>414</v>
      </c>
      <c r="E130" s="171" t="s">
        <v>46</v>
      </c>
      <c r="F130" s="117"/>
      <c r="G130" s="118"/>
      <c r="H130" s="118"/>
      <c r="I130" s="118"/>
      <c r="J130" s="173">
        <v>44981</v>
      </c>
      <c r="K130" s="174">
        <v>986480</v>
      </c>
      <c r="L130" s="115"/>
      <c r="M130" s="115"/>
      <c r="N130" s="182" t="s">
        <v>415</v>
      </c>
      <c r="O130" s="185"/>
      <c r="P130" s="176" t="s">
        <v>49</v>
      </c>
      <c r="Q130" s="176"/>
      <c r="R130" s="177"/>
    </row>
    <row r="131" spans="1:18" s="167" customFormat="1" ht="80.099999999999994" hidden="1">
      <c r="B131" s="168" t="s">
        <v>43</v>
      </c>
      <c r="C131" s="169"/>
      <c r="D131" s="170" t="s">
        <v>416</v>
      </c>
      <c r="E131" s="171" t="s">
        <v>46</v>
      </c>
      <c r="F131" s="117"/>
      <c r="G131" s="118"/>
      <c r="H131" s="118"/>
      <c r="I131" s="118"/>
      <c r="J131" s="173">
        <v>44983</v>
      </c>
      <c r="K131" s="174">
        <v>986297</v>
      </c>
      <c r="L131" s="115"/>
      <c r="M131" s="115"/>
      <c r="N131" s="182" t="s">
        <v>417</v>
      </c>
      <c r="O131" s="185"/>
      <c r="P131" s="176" t="s">
        <v>49</v>
      </c>
      <c r="Q131" s="176"/>
      <c r="R131" s="177"/>
    </row>
    <row r="132" spans="1:18" s="167" customFormat="1" ht="227.1" hidden="1" customHeight="1">
      <c r="B132" s="168" t="s">
        <v>43</v>
      </c>
      <c r="C132" s="169"/>
      <c r="D132" s="170" t="s">
        <v>418</v>
      </c>
      <c r="E132" s="171" t="s">
        <v>46</v>
      </c>
      <c r="F132" s="117"/>
      <c r="G132" s="118"/>
      <c r="H132" s="118"/>
      <c r="I132" s="118"/>
      <c r="J132" s="173">
        <v>44983</v>
      </c>
      <c r="K132" s="174">
        <v>986305</v>
      </c>
      <c r="L132" s="115"/>
      <c r="M132" s="115"/>
      <c r="N132" s="182" t="s">
        <v>419</v>
      </c>
      <c r="O132" s="185" t="s">
        <v>420</v>
      </c>
      <c r="P132" s="176" t="s">
        <v>49</v>
      </c>
      <c r="Q132" s="176"/>
      <c r="R132" s="177"/>
    </row>
    <row r="133" spans="1:18" s="167" customFormat="1" ht="48" hidden="1">
      <c r="B133" s="168" t="s">
        <v>54</v>
      </c>
      <c r="C133" s="169"/>
      <c r="D133" s="170" t="s">
        <v>421</v>
      </c>
      <c r="E133" s="171" t="s">
        <v>46</v>
      </c>
      <c r="F133" s="117"/>
      <c r="G133" s="118"/>
      <c r="H133" s="118"/>
      <c r="I133" s="118"/>
      <c r="J133" s="173">
        <v>44985</v>
      </c>
      <c r="K133" s="174">
        <v>988823</v>
      </c>
      <c r="L133" s="115"/>
      <c r="M133" s="115"/>
      <c r="N133" s="182" t="s">
        <v>422</v>
      </c>
      <c r="O133" s="185" t="s">
        <v>423</v>
      </c>
      <c r="P133" s="176" t="s">
        <v>49</v>
      </c>
      <c r="Q133" s="176"/>
      <c r="R133" s="177"/>
    </row>
    <row r="134" spans="1:18" s="167" customFormat="1" ht="80.099999999999994" hidden="1">
      <c r="B134" s="168" t="s">
        <v>178</v>
      </c>
      <c r="C134" s="169"/>
      <c r="D134" s="170" t="s">
        <v>424</v>
      </c>
      <c r="E134" s="171" t="s">
        <v>46</v>
      </c>
      <c r="F134" s="117"/>
      <c r="G134" s="118"/>
      <c r="H134" s="118"/>
      <c r="I134" s="118"/>
      <c r="J134" s="173">
        <v>44985</v>
      </c>
      <c r="K134" s="369">
        <v>989579</v>
      </c>
      <c r="L134" s="115"/>
      <c r="M134" s="115"/>
      <c r="N134" s="182" t="s">
        <v>425</v>
      </c>
      <c r="O134" s="185"/>
      <c r="P134" s="176" t="s">
        <v>49</v>
      </c>
      <c r="Q134" s="176"/>
      <c r="R134" s="177"/>
    </row>
    <row r="135" spans="1:18" s="167" customFormat="1" ht="75.95" hidden="1" customHeight="1">
      <c r="B135" s="168" t="s">
        <v>58</v>
      </c>
      <c r="C135" s="169"/>
      <c r="D135" s="170" t="s">
        <v>426</v>
      </c>
      <c r="E135" s="171" t="s">
        <v>46</v>
      </c>
      <c r="F135" s="117"/>
      <c r="G135" s="118"/>
      <c r="H135" s="118"/>
      <c r="I135" s="118"/>
      <c r="J135" s="173">
        <v>44986</v>
      </c>
      <c r="K135" s="364">
        <v>990341</v>
      </c>
      <c r="L135" s="115"/>
      <c r="M135" s="115"/>
      <c r="N135" s="182" t="s">
        <v>427</v>
      </c>
      <c r="O135" s="185"/>
      <c r="P135" s="176" t="s">
        <v>49</v>
      </c>
      <c r="Q135" s="176"/>
      <c r="R135" s="177"/>
    </row>
    <row r="136" spans="1:18" s="167" customFormat="1" ht="194.1" hidden="1" customHeight="1">
      <c r="B136" s="168" t="s">
        <v>43</v>
      </c>
      <c r="C136" s="169"/>
      <c r="D136" s="170" t="s">
        <v>428</v>
      </c>
      <c r="E136" s="171" t="s">
        <v>46</v>
      </c>
      <c r="F136" s="117"/>
      <c r="G136" s="118"/>
      <c r="H136" s="118"/>
      <c r="I136" s="118"/>
      <c r="J136" s="173">
        <v>44987</v>
      </c>
      <c r="K136" s="305">
        <v>989745</v>
      </c>
      <c r="L136" s="115"/>
      <c r="M136" s="115"/>
      <c r="N136" s="182" t="s">
        <v>429</v>
      </c>
      <c r="O136" s="185"/>
      <c r="P136" s="176" t="s">
        <v>49</v>
      </c>
      <c r="Q136" s="176"/>
      <c r="R136" s="177"/>
    </row>
    <row r="137" spans="1:18" s="125" customFormat="1" ht="32.1" hidden="1">
      <c r="A137" s="167"/>
      <c r="B137" s="168" t="s">
        <v>43</v>
      </c>
      <c r="C137" s="169"/>
      <c r="D137" s="170" t="s">
        <v>430</v>
      </c>
      <c r="E137" s="171" t="s">
        <v>46</v>
      </c>
      <c r="F137" s="117"/>
      <c r="G137" s="118"/>
      <c r="H137" s="118"/>
      <c r="I137" s="118"/>
      <c r="J137" s="173">
        <v>44987</v>
      </c>
      <c r="K137" s="174">
        <v>989746</v>
      </c>
      <c r="L137" s="115"/>
      <c r="M137" s="115"/>
      <c r="N137" s="182" t="s">
        <v>429</v>
      </c>
      <c r="O137" s="185" t="s">
        <v>431</v>
      </c>
      <c r="P137" s="176" t="s">
        <v>49</v>
      </c>
      <c r="Q137" s="176"/>
      <c r="R137" s="177"/>
    </row>
    <row r="138" spans="1:18" s="167" customFormat="1" ht="48" hidden="1">
      <c r="B138" s="168" t="s">
        <v>43</v>
      </c>
      <c r="C138" s="169"/>
      <c r="D138" s="170" t="s">
        <v>432</v>
      </c>
      <c r="E138" s="171" t="s">
        <v>46</v>
      </c>
      <c r="F138" s="117"/>
      <c r="G138" s="118"/>
      <c r="H138" s="118"/>
      <c r="I138" s="118"/>
      <c r="J138" s="173">
        <v>44987</v>
      </c>
      <c r="K138" s="174">
        <v>989748</v>
      </c>
      <c r="L138" s="115"/>
      <c r="M138" s="115"/>
      <c r="N138" s="182" t="s">
        <v>429</v>
      </c>
      <c r="O138" s="185"/>
      <c r="P138" s="176" t="s">
        <v>49</v>
      </c>
      <c r="Q138" s="176"/>
      <c r="R138" s="177"/>
    </row>
    <row r="139" spans="1:18" s="167" customFormat="1" ht="78.95" hidden="1" customHeight="1">
      <c r="B139" s="168" t="s">
        <v>43</v>
      </c>
      <c r="C139" s="169"/>
      <c r="D139" s="170" t="s">
        <v>433</v>
      </c>
      <c r="E139" s="171" t="s">
        <v>46</v>
      </c>
      <c r="F139" s="117"/>
      <c r="G139" s="118"/>
      <c r="H139" s="118"/>
      <c r="I139" s="118"/>
      <c r="J139" s="173">
        <v>44987</v>
      </c>
      <c r="K139" s="174">
        <v>989751</v>
      </c>
      <c r="L139" s="115"/>
      <c r="M139" s="115"/>
      <c r="N139" s="182" t="s">
        <v>434</v>
      </c>
      <c r="O139" s="185" t="s">
        <v>435</v>
      </c>
      <c r="P139" s="176" t="s">
        <v>49</v>
      </c>
      <c r="Q139" s="176"/>
      <c r="R139" s="177"/>
    </row>
    <row r="140" spans="1:18" s="167" customFormat="1" ht="32.1" hidden="1">
      <c r="B140" s="168" t="s">
        <v>54</v>
      </c>
      <c r="C140" s="169"/>
      <c r="D140" s="170" t="s">
        <v>436</v>
      </c>
      <c r="E140" s="171" t="s">
        <v>46</v>
      </c>
      <c r="F140" s="117"/>
      <c r="G140" s="118"/>
      <c r="H140" s="118"/>
      <c r="I140" s="118"/>
      <c r="J140" s="173">
        <v>44987</v>
      </c>
      <c r="K140" s="174">
        <v>991069</v>
      </c>
      <c r="L140" s="115"/>
      <c r="M140" s="115"/>
      <c r="N140" s="182" t="s">
        <v>437</v>
      </c>
      <c r="O140" s="185"/>
      <c r="P140" s="176" t="s">
        <v>49</v>
      </c>
      <c r="Q140" s="176"/>
      <c r="R140" s="177"/>
    </row>
    <row r="141" spans="1:18" s="167" customFormat="1" ht="63.95" hidden="1">
      <c r="B141" s="168" t="s">
        <v>163</v>
      </c>
      <c r="C141" s="169"/>
      <c r="D141" s="170" t="s">
        <v>438</v>
      </c>
      <c r="E141" s="171" t="s">
        <v>46</v>
      </c>
      <c r="F141" s="117"/>
      <c r="G141" s="118"/>
      <c r="H141" s="118"/>
      <c r="I141" s="118"/>
      <c r="J141" s="173">
        <v>44988</v>
      </c>
      <c r="K141" s="174">
        <v>990488</v>
      </c>
      <c r="L141" s="115"/>
      <c r="M141" s="115"/>
      <c r="N141" s="182" t="s">
        <v>439</v>
      </c>
      <c r="O141" s="185"/>
      <c r="P141" s="176" t="s">
        <v>49</v>
      </c>
      <c r="Q141" s="176"/>
      <c r="R141" s="177"/>
    </row>
    <row r="142" spans="1:18" s="167" customFormat="1" ht="132" hidden="1" customHeight="1">
      <c r="A142" s="186"/>
      <c r="B142" s="187" t="s">
        <v>222</v>
      </c>
      <c r="C142" s="188"/>
      <c r="D142" s="189" t="s">
        <v>440</v>
      </c>
      <c r="E142" s="190" t="s">
        <v>46</v>
      </c>
      <c r="F142" s="117"/>
      <c r="G142" s="118"/>
      <c r="H142" s="118"/>
      <c r="I142" s="118"/>
      <c r="J142" s="191">
        <v>44988</v>
      </c>
      <c r="K142" s="192">
        <v>991766</v>
      </c>
      <c r="L142" s="115"/>
      <c r="M142" s="115"/>
      <c r="N142" s="193" t="s">
        <v>441</v>
      </c>
      <c r="O142" s="206" t="s">
        <v>442</v>
      </c>
      <c r="P142" s="195" t="s">
        <v>49</v>
      </c>
      <c r="Q142" s="195"/>
      <c r="R142" s="196"/>
    </row>
    <row r="143" spans="1:18" s="167" customFormat="1" ht="32.1" hidden="1">
      <c r="A143" s="1"/>
      <c r="B143" s="114" t="s">
        <v>222</v>
      </c>
      <c r="C143" s="115"/>
      <c r="D143" s="116" t="s">
        <v>443</v>
      </c>
      <c r="E143" s="171" t="s">
        <v>46</v>
      </c>
      <c r="F143" s="117"/>
      <c r="G143" s="118"/>
      <c r="H143" s="118"/>
      <c r="I143" s="118"/>
      <c r="J143" s="119">
        <v>44989</v>
      </c>
      <c r="K143" s="120">
        <v>992377</v>
      </c>
      <c r="L143" s="115"/>
      <c r="M143" s="115"/>
      <c r="N143" s="121" t="s">
        <v>444</v>
      </c>
      <c r="O143" s="163"/>
      <c r="P143" s="53" t="s">
        <v>49</v>
      </c>
      <c r="Q143" s="53"/>
      <c r="R143" s="54"/>
    </row>
    <row r="144" spans="1:18" s="167" customFormat="1" ht="63.95" hidden="1">
      <c r="B144" s="114" t="s">
        <v>86</v>
      </c>
      <c r="C144" s="115"/>
      <c r="D144" s="116" t="s">
        <v>445</v>
      </c>
      <c r="E144" s="171" t="s">
        <v>46</v>
      </c>
      <c r="F144" s="117"/>
      <c r="G144" s="118"/>
      <c r="H144" s="118"/>
      <c r="I144" s="118"/>
      <c r="J144" s="119">
        <v>44993</v>
      </c>
      <c r="K144" s="120">
        <v>994201</v>
      </c>
      <c r="L144" s="115"/>
      <c r="M144" s="115"/>
      <c r="N144" s="121" t="s">
        <v>446</v>
      </c>
      <c r="O144" s="163"/>
      <c r="P144" s="53" t="s">
        <v>49</v>
      </c>
      <c r="Q144" s="176"/>
      <c r="R144" s="177"/>
    </row>
    <row r="145" spans="1:18" s="167" customFormat="1" ht="54.95" hidden="1" customHeight="1">
      <c r="B145" s="168" t="s">
        <v>86</v>
      </c>
      <c r="C145" s="169"/>
      <c r="D145" s="170" t="s">
        <v>447</v>
      </c>
      <c r="E145" s="171" t="s">
        <v>46</v>
      </c>
      <c r="F145" s="117"/>
      <c r="G145" s="118"/>
      <c r="H145" s="118"/>
      <c r="I145" s="118"/>
      <c r="J145" s="173">
        <v>44993</v>
      </c>
      <c r="K145" s="369">
        <v>994206</v>
      </c>
      <c r="L145" s="115"/>
      <c r="M145" s="115"/>
      <c r="N145" s="182" t="s">
        <v>448</v>
      </c>
      <c r="O145" s="185" t="s">
        <v>449</v>
      </c>
      <c r="P145" s="53" t="s">
        <v>49</v>
      </c>
      <c r="Q145" s="176"/>
      <c r="R145" s="177"/>
    </row>
    <row r="146" spans="1:18" s="167" customFormat="1" ht="48" hidden="1">
      <c r="B146" s="168" t="s">
        <v>58</v>
      </c>
      <c r="C146" s="169"/>
      <c r="D146" s="170" t="s">
        <v>450</v>
      </c>
      <c r="E146" s="171" t="s">
        <v>46</v>
      </c>
      <c r="F146" s="117"/>
      <c r="G146" s="118"/>
      <c r="H146" s="118"/>
      <c r="I146" s="118"/>
      <c r="J146" s="173">
        <v>44994</v>
      </c>
      <c r="K146" s="364">
        <v>995558</v>
      </c>
      <c r="L146" s="115"/>
      <c r="M146" s="115"/>
      <c r="N146" s="182" t="s">
        <v>451</v>
      </c>
      <c r="O146" s="185"/>
      <c r="P146" s="176" t="s">
        <v>49</v>
      </c>
      <c r="Q146" s="176"/>
      <c r="R146" s="177"/>
    </row>
    <row r="147" spans="1:18" s="167" customFormat="1" ht="336" hidden="1">
      <c r="B147" s="168" t="s">
        <v>58</v>
      </c>
      <c r="C147" s="169"/>
      <c r="D147" s="170" t="s">
        <v>452</v>
      </c>
      <c r="E147" s="171" t="s">
        <v>46</v>
      </c>
      <c r="F147" s="171"/>
      <c r="G147" s="172"/>
      <c r="H147" s="172"/>
      <c r="I147" s="172"/>
      <c r="J147" s="173">
        <v>44994</v>
      </c>
      <c r="K147" s="364">
        <v>995559</v>
      </c>
      <c r="L147" s="169"/>
      <c r="M147" s="169"/>
      <c r="N147" s="182" t="s">
        <v>453</v>
      </c>
      <c r="O147" s="200" t="s">
        <v>454</v>
      </c>
      <c r="P147" s="176" t="s">
        <v>49</v>
      </c>
      <c r="Q147" s="176"/>
      <c r="R147" s="177"/>
    </row>
    <row r="148" spans="1:18" s="167" customFormat="1" ht="80.099999999999994" hidden="1">
      <c r="B148" s="168" t="s">
        <v>256</v>
      </c>
      <c r="C148" s="169"/>
      <c r="D148" s="170" t="s">
        <v>455</v>
      </c>
      <c r="E148" s="171" t="s">
        <v>46</v>
      </c>
      <c r="F148" s="117"/>
      <c r="G148" s="118"/>
      <c r="H148" s="118"/>
      <c r="I148" s="118"/>
      <c r="J148" s="173">
        <v>44998</v>
      </c>
      <c r="K148" s="305">
        <v>996345</v>
      </c>
      <c r="L148" s="115"/>
      <c r="M148" s="115"/>
      <c r="N148" s="182" t="s">
        <v>456</v>
      </c>
      <c r="O148" s="185"/>
      <c r="P148" s="176" t="s">
        <v>49</v>
      </c>
      <c r="Q148" s="176"/>
      <c r="R148" s="177"/>
    </row>
    <row r="149" spans="1:18" s="167" customFormat="1" ht="32.1" hidden="1">
      <c r="B149" s="168" t="s">
        <v>54</v>
      </c>
      <c r="C149" s="169"/>
      <c r="D149" s="170" t="s">
        <v>457</v>
      </c>
      <c r="E149" s="171" t="s">
        <v>46</v>
      </c>
      <c r="F149" s="117"/>
      <c r="G149" s="118"/>
      <c r="H149" s="118"/>
      <c r="I149" s="118"/>
      <c r="J149" s="173">
        <v>44998</v>
      </c>
      <c r="K149" s="174">
        <v>997880</v>
      </c>
      <c r="L149" s="115"/>
      <c r="M149" s="115"/>
      <c r="N149" s="182" t="s">
        <v>458</v>
      </c>
      <c r="O149" s="185"/>
      <c r="P149" s="176" t="s">
        <v>49</v>
      </c>
      <c r="Q149" s="176"/>
      <c r="R149" s="177"/>
    </row>
    <row r="150" spans="1:18" s="167" customFormat="1" ht="32.1" hidden="1">
      <c r="A150" s="1"/>
      <c r="B150" s="168" t="s">
        <v>178</v>
      </c>
      <c r="C150" s="115"/>
      <c r="D150" s="116" t="s">
        <v>459</v>
      </c>
      <c r="E150" s="171" t="s">
        <v>46</v>
      </c>
      <c r="F150" s="117"/>
      <c r="G150" s="118"/>
      <c r="H150" s="118"/>
      <c r="I150" s="118"/>
      <c r="J150" s="119">
        <v>44999</v>
      </c>
      <c r="K150" s="120">
        <v>998810</v>
      </c>
      <c r="L150" s="115"/>
      <c r="M150" s="115"/>
      <c r="N150" s="121" t="s">
        <v>444</v>
      </c>
      <c r="O150" s="163"/>
      <c r="P150" s="53" t="s">
        <v>49</v>
      </c>
      <c r="Q150" s="53"/>
      <c r="R150" s="54"/>
    </row>
    <row r="151" spans="1:18" s="167" customFormat="1" ht="48" hidden="1">
      <c r="A151" s="1"/>
      <c r="B151" s="168" t="s">
        <v>178</v>
      </c>
      <c r="C151" s="115"/>
      <c r="D151" s="116" t="s">
        <v>460</v>
      </c>
      <c r="E151" s="171" t="s">
        <v>46</v>
      </c>
      <c r="F151" s="117"/>
      <c r="G151" s="118"/>
      <c r="H151" s="118"/>
      <c r="I151" s="118"/>
      <c r="J151" s="119">
        <v>44999</v>
      </c>
      <c r="K151" s="120">
        <v>998813</v>
      </c>
      <c r="L151" s="115"/>
      <c r="M151" s="115"/>
      <c r="N151" s="121" t="s">
        <v>444</v>
      </c>
      <c r="O151" s="163"/>
      <c r="P151" s="53" t="s">
        <v>49</v>
      </c>
      <c r="Q151" s="53"/>
      <c r="R151" s="54"/>
    </row>
    <row r="152" spans="1:18" s="167" customFormat="1" ht="63.95" hidden="1">
      <c r="B152" s="168" t="s">
        <v>146</v>
      </c>
      <c r="C152" s="169"/>
      <c r="D152" s="170" t="s">
        <v>461</v>
      </c>
      <c r="E152" s="171" t="s">
        <v>46</v>
      </c>
      <c r="F152" s="117"/>
      <c r="G152" s="118"/>
      <c r="H152" s="118"/>
      <c r="I152" s="118"/>
      <c r="J152" s="173">
        <v>45001</v>
      </c>
      <c r="K152" s="369">
        <v>1000112</v>
      </c>
      <c r="L152" s="115"/>
      <c r="M152" s="115"/>
      <c r="N152" s="182" t="s">
        <v>462</v>
      </c>
      <c r="O152" s="185"/>
      <c r="P152" s="176" t="s">
        <v>49</v>
      </c>
      <c r="Q152" s="176"/>
      <c r="R152" s="177"/>
    </row>
    <row r="153" spans="1:18" s="167" customFormat="1" ht="32.1" hidden="1">
      <c r="B153" s="168" t="s">
        <v>58</v>
      </c>
      <c r="C153" s="169"/>
      <c r="D153" s="170" t="s">
        <v>463</v>
      </c>
      <c r="E153" s="171" t="s">
        <v>46</v>
      </c>
      <c r="F153" s="117"/>
      <c r="G153" s="118"/>
      <c r="H153" s="118"/>
      <c r="I153" s="118"/>
      <c r="J153" s="173">
        <v>45001</v>
      </c>
      <c r="K153" s="364">
        <v>1000255</v>
      </c>
      <c r="L153" s="115"/>
      <c r="M153" s="115"/>
      <c r="N153" s="182" t="s">
        <v>464</v>
      </c>
      <c r="O153" s="185"/>
      <c r="P153" s="176" t="s">
        <v>49</v>
      </c>
      <c r="Q153" s="176"/>
      <c r="R153" s="177"/>
    </row>
    <row r="154" spans="1:18" s="186" customFormat="1" ht="189" hidden="1" customHeight="1">
      <c r="A154" s="1"/>
      <c r="B154" s="48" t="s">
        <v>138</v>
      </c>
      <c r="C154" s="115"/>
      <c r="D154" s="116" t="s">
        <v>465</v>
      </c>
      <c r="E154" s="171" t="s">
        <v>46</v>
      </c>
      <c r="F154" s="117"/>
      <c r="G154" s="118"/>
      <c r="H154" s="118"/>
      <c r="I154" s="118"/>
      <c r="J154" s="119">
        <v>45002</v>
      </c>
      <c r="K154" s="372">
        <v>999537</v>
      </c>
      <c r="L154" s="115"/>
      <c r="M154" s="115"/>
      <c r="N154" s="204" t="s">
        <v>466</v>
      </c>
      <c r="O154" s="163"/>
      <c r="P154" s="53" t="s">
        <v>49</v>
      </c>
      <c r="Q154" s="53"/>
      <c r="R154" s="54"/>
    </row>
    <row r="155" spans="1:18" s="167" customFormat="1" ht="83.1" hidden="1" customHeight="1">
      <c r="B155" s="168" t="s">
        <v>75</v>
      </c>
      <c r="C155" s="169"/>
      <c r="D155" s="170" t="s">
        <v>467</v>
      </c>
      <c r="E155" s="171" t="s">
        <v>46</v>
      </c>
      <c r="F155" s="117"/>
      <c r="G155" s="118"/>
      <c r="H155" s="118"/>
      <c r="I155" s="118"/>
      <c r="J155" s="173">
        <v>45002</v>
      </c>
      <c r="K155" s="369">
        <v>999716</v>
      </c>
      <c r="L155" s="115"/>
      <c r="M155" s="115"/>
      <c r="N155" s="182" t="s">
        <v>468</v>
      </c>
      <c r="O155" s="185"/>
      <c r="P155" s="176" t="s">
        <v>49</v>
      </c>
      <c r="Q155" s="176"/>
      <c r="R155" s="177"/>
    </row>
    <row r="156" spans="1:18" s="167" customFormat="1" ht="32.1" hidden="1">
      <c r="B156" s="168" t="s">
        <v>58</v>
      </c>
      <c r="C156" s="169"/>
      <c r="D156" s="170" t="s">
        <v>469</v>
      </c>
      <c r="E156" s="171" t="s">
        <v>46</v>
      </c>
      <c r="F156" s="117"/>
      <c r="G156" s="118"/>
      <c r="H156" s="118"/>
      <c r="I156" s="118"/>
      <c r="J156" s="173">
        <v>45002</v>
      </c>
      <c r="K156" s="364">
        <v>1000933</v>
      </c>
      <c r="L156" s="115"/>
      <c r="M156" s="115"/>
      <c r="N156" s="205" t="s">
        <v>470</v>
      </c>
      <c r="O156" s="185"/>
      <c r="P156" s="176" t="s">
        <v>49</v>
      </c>
      <c r="Q156" s="176"/>
      <c r="R156" s="177"/>
    </row>
    <row r="157" spans="1:18" s="125" customFormat="1" ht="63.95" hidden="1">
      <c r="A157" s="167"/>
      <c r="B157" s="168" t="s">
        <v>54</v>
      </c>
      <c r="C157" s="169"/>
      <c r="D157" s="170" t="s">
        <v>471</v>
      </c>
      <c r="E157" s="171" t="s">
        <v>46</v>
      </c>
      <c r="F157" s="117"/>
      <c r="G157" s="118"/>
      <c r="H157" s="118"/>
      <c r="I157" s="118"/>
      <c r="J157" s="173">
        <v>45005</v>
      </c>
      <c r="K157" s="305">
        <v>1002343</v>
      </c>
      <c r="L157" s="115"/>
      <c r="M157" s="115"/>
      <c r="N157" s="182" t="s">
        <v>472</v>
      </c>
      <c r="O157" s="185"/>
      <c r="P157" s="176" t="s">
        <v>49</v>
      </c>
      <c r="Q157" s="176"/>
      <c r="R157" s="177"/>
    </row>
    <row r="158" spans="1:18" s="125" customFormat="1" ht="246.95" hidden="1" customHeight="1">
      <c r="A158" s="167"/>
      <c r="B158" s="168" t="s">
        <v>71</v>
      </c>
      <c r="C158" s="169"/>
      <c r="D158" s="170" t="s">
        <v>473</v>
      </c>
      <c r="E158" s="171" t="s">
        <v>46</v>
      </c>
      <c r="F158" s="117"/>
      <c r="G158" s="118"/>
      <c r="H158" s="118"/>
      <c r="I158" s="118"/>
      <c r="J158" s="173">
        <v>45006</v>
      </c>
      <c r="K158" s="174">
        <v>1002358</v>
      </c>
      <c r="L158" s="115"/>
      <c r="M158" s="115"/>
      <c r="N158" s="182" t="s">
        <v>474</v>
      </c>
      <c r="O158" s="185"/>
      <c r="P158" s="176" t="s">
        <v>49</v>
      </c>
      <c r="Q158" s="176"/>
      <c r="R158" s="177"/>
    </row>
    <row r="159" spans="1:18" s="167" customFormat="1" ht="87.95" hidden="1" customHeight="1">
      <c r="B159" s="168" t="s">
        <v>54</v>
      </c>
      <c r="C159" s="169"/>
      <c r="D159" s="170" t="s">
        <v>475</v>
      </c>
      <c r="E159" s="171" t="s">
        <v>46</v>
      </c>
      <c r="F159" s="117"/>
      <c r="G159" s="118"/>
      <c r="H159" s="118"/>
      <c r="I159" s="118"/>
      <c r="J159" s="173">
        <v>45006</v>
      </c>
      <c r="K159" s="174">
        <v>1003013</v>
      </c>
      <c r="L159" s="115"/>
      <c r="M159" s="115"/>
      <c r="N159" s="182" t="s">
        <v>476</v>
      </c>
      <c r="O159" s="185"/>
      <c r="P159" s="176" t="s">
        <v>49</v>
      </c>
      <c r="Q159" s="176"/>
      <c r="R159" s="177"/>
    </row>
    <row r="160" spans="1:18" s="167" customFormat="1" ht="63.95" hidden="1">
      <c r="B160" s="168" t="s">
        <v>477</v>
      </c>
      <c r="C160" s="169"/>
      <c r="D160" s="170" t="s">
        <v>478</v>
      </c>
      <c r="E160" s="171" t="s">
        <v>46</v>
      </c>
      <c r="F160" s="117"/>
      <c r="G160" s="118"/>
      <c r="H160" s="118"/>
      <c r="I160" s="118"/>
      <c r="J160" s="173">
        <v>45007</v>
      </c>
      <c r="K160" s="174">
        <v>1002518</v>
      </c>
      <c r="L160" s="115"/>
      <c r="M160" s="115"/>
      <c r="N160" s="182" t="s">
        <v>479</v>
      </c>
      <c r="O160" s="185"/>
      <c r="P160" s="176" t="s">
        <v>49</v>
      </c>
      <c r="Q160" s="176"/>
      <c r="R160" s="177"/>
    </row>
    <row r="161" spans="1:18" s="167" customFormat="1" ht="63.95" hidden="1">
      <c r="B161" s="168" t="s">
        <v>477</v>
      </c>
      <c r="C161" s="169"/>
      <c r="D161" s="170" t="s">
        <v>480</v>
      </c>
      <c r="E161" s="171" t="s">
        <v>46</v>
      </c>
      <c r="F161" s="117"/>
      <c r="G161" s="118"/>
      <c r="H161" s="118"/>
      <c r="I161" s="118"/>
      <c r="J161" s="173">
        <v>45007</v>
      </c>
      <c r="K161" s="174">
        <v>1002519</v>
      </c>
      <c r="L161" s="115"/>
      <c r="M161" s="115"/>
      <c r="N161" s="182" t="s">
        <v>481</v>
      </c>
      <c r="O161" s="185"/>
      <c r="P161" s="176" t="s">
        <v>49</v>
      </c>
      <c r="Q161" s="176"/>
      <c r="R161" s="177"/>
    </row>
    <row r="162" spans="1:18" s="167" customFormat="1" ht="48" hidden="1">
      <c r="B162" s="168" t="s">
        <v>54</v>
      </c>
      <c r="C162" s="169"/>
      <c r="D162" s="170" t="s">
        <v>482</v>
      </c>
      <c r="E162" s="171" t="s">
        <v>46</v>
      </c>
      <c r="F162" s="117"/>
      <c r="G162" s="118"/>
      <c r="H162" s="118"/>
      <c r="I162" s="118"/>
      <c r="J162" s="173">
        <v>45007</v>
      </c>
      <c r="K162" s="174">
        <v>1003611</v>
      </c>
      <c r="L162" s="115"/>
      <c r="M162" s="115"/>
      <c r="N162" s="182" t="s">
        <v>446</v>
      </c>
      <c r="O162" s="185"/>
      <c r="P162" s="176" t="s">
        <v>49</v>
      </c>
      <c r="Q162" s="176"/>
      <c r="R162" s="177"/>
    </row>
    <row r="163" spans="1:18" s="125" customFormat="1" ht="48" hidden="1">
      <c r="A163" s="167"/>
      <c r="B163" s="114" t="s">
        <v>160</v>
      </c>
      <c r="C163" s="169"/>
      <c r="D163" s="170" t="s">
        <v>483</v>
      </c>
      <c r="E163" s="171" t="s">
        <v>46</v>
      </c>
      <c r="F163" s="117"/>
      <c r="G163" s="118"/>
      <c r="H163" s="118"/>
      <c r="I163" s="118"/>
      <c r="J163" s="173">
        <v>45008</v>
      </c>
      <c r="K163" s="174">
        <v>1004427</v>
      </c>
      <c r="L163" s="115"/>
      <c r="M163" s="115"/>
      <c r="N163" s="182" t="s">
        <v>484</v>
      </c>
      <c r="O163" s="185"/>
      <c r="P163" s="176" t="s">
        <v>49</v>
      </c>
      <c r="Q163" s="176"/>
      <c r="R163" s="177"/>
    </row>
    <row r="164" spans="1:18" s="167" customFormat="1" ht="264.95" hidden="1" customHeight="1">
      <c r="B164" s="114" t="s">
        <v>50</v>
      </c>
      <c r="C164" s="169"/>
      <c r="D164" s="170" t="s">
        <v>485</v>
      </c>
      <c r="E164" s="171" t="s">
        <v>46</v>
      </c>
      <c r="F164" s="117"/>
      <c r="G164" s="118"/>
      <c r="H164" s="118"/>
      <c r="I164" s="118"/>
      <c r="J164" s="173">
        <v>45009</v>
      </c>
      <c r="K164" s="369">
        <v>1004981</v>
      </c>
      <c r="L164" s="115"/>
      <c r="M164" s="115"/>
      <c r="N164" s="182" t="s">
        <v>486</v>
      </c>
      <c r="O164" s="185"/>
      <c r="P164" s="176" t="s">
        <v>49</v>
      </c>
      <c r="Q164" s="176"/>
      <c r="R164" s="177"/>
    </row>
    <row r="165" spans="1:18" s="125" customFormat="1" ht="32.1" hidden="1">
      <c r="A165" s="1"/>
      <c r="B165" s="114" t="s">
        <v>58</v>
      </c>
      <c r="C165" s="115"/>
      <c r="D165" s="116" t="s">
        <v>487</v>
      </c>
      <c r="E165" s="171" t="s">
        <v>46</v>
      </c>
      <c r="F165" s="117"/>
      <c r="G165" s="118"/>
      <c r="H165" s="118"/>
      <c r="I165" s="118"/>
      <c r="J165" s="119">
        <v>45009</v>
      </c>
      <c r="K165" s="365">
        <v>1008779</v>
      </c>
      <c r="L165" s="115"/>
      <c r="M165" s="115"/>
      <c r="N165" s="121" t="s">
        <v>488</v>
      </c>
      <c r="O165" s="163"/>
      <c r="P165" s="53" t="s">
        <v>49</v>
      </c>
      <c r="Q165" s="53"/>
      <c r="R165" s="54"/>
    </row>
    <row r="166" spans="1:18" s="167" customFormat="1" ht="96" hidden="1">
      <c r="B166" s="168" t="s">
        <v>170</v>
      </c>
      <c r="C166" s="169"/>
      <c r="D166" s="170" t="s">
        <v>489</v>
      </c>
      <c r="E166" s="171" t="s">
        <v>46</v>
      </c>
      <c r="F166" s="117"/>
      <c r="G166" s="118"/>
      <c r="H166" s="118"/>
      <c r="I166" s="118"/>
      <c r="J166" s="173">
        <v>45014</v>
      </c>
      <c r="K166" s="305">
        <v>1007119</v>
      </c>
      <c r="L166" s="115"/>
      <c r="M166" s="115"/>
      <c r="N166" s="182" t="s">
        <v>490</v>
      </c>
      <c r="O166" s="185"/>
      <c r="P166" s="176" t="s">
        <v>49</v>
      </c>
      <c r="Q166" s="176"/>
      <c r="R166" s="177"/>
    </row>
    <row r="167" spans="1:18" s="167" customFormat="1" ht="80.099999999999994" hidden="1">
      <c r="B167" s="168" t="s">
        <v>79</v>
      </c>
      <c r="C167" s="169"/>
      <c r="D167" s="170" t="s">
        <v>491</v>
      </c>
      <c r="E167" s="171" t="s">
        <v>46</v>
      </c>
      <c r="F167" s="117"/>
      <c r="G167" s="118"/>
      <c r="H167" s="118"/>
      <c r="I167" s="118"/>
      <c r="J167" s="173">
        <v>45014</v>
      </c>
      <c r="K167" s="174">
        <v>1008862</v>
      </c>
      <c r="L167" s="115"/>
      <c r="M167" s="115"/>
      <c r="N167" s="182" t="s">
        <v>492</v>
      </c>
      <c r="O167" s="185"/>
      <c r="P167" s="176" t="s">
        <v>49</v>
      </c>
      <c r="Q167" s="176"/>
      <c r="R167" s="177"/>
    </row>
    <row r="168" spans="1:18" s="167" customFormat="1" ht="63.95" hidden="1">
      <c r="B168" s="168" t="s">
        <v>163</v>
      </c>
      <c r="C168" s="169"/>
      <c r="D168" s="170" t="s">
        <v>493</v>
      </c>
      <c r="E168" s="171" t="s">
        <v>46</v>
      </c>
      <c r="F168" s="117"/>
      <c r="G168" s="118"/>
      <c r="H168" s="118"/>
      <c r="I168" s="118"/>
      <c r="J168" s="173">
        <v>45015</v>
      </c>
      <c r="K168" s="174">
        <v>1008641</v>
      </c>
      <c r="L168" s="115"/>
      <c r="M168" s="115"/>
      <c r="N168" s="182" t="s">
        <v>494</v>
      </c>
      <c r="O168" s="185"/>
      <c r="P168" s="176" t="s">
        <v>49</v>
      </c>
      <c r="Q168" s="176"/>
      <c r="R168" s="177"/>
    </row>
    <row r="169" spans="1:18" s="167" customFormat="1" ht="101.1" hidden="1" customHeight="1">
      <c r="B169" s="114" t="s">
        <v>50</v>
      </c>
      <c r="C169" s="169"/>
      <c r="D169" s="170" t="s">
        <v>495</v>
      </c>
      <c r="E169" s="171" t="s">
        <v>46</v>
      </c>
      <c r="F169" s="117"/>
      <c r="G169" s="118"/>
      <c r="H169" s="118"/>
      <c r="I169" s="118"/>
      <c r="J169" s="173">
        <v>45015</v>
      </c>
      <c r="K169" s="369">
        <v>1009727</v>
      </c>
      <c r="L169" s="115"/>
      <c r="M169" s="115"/>
      <c r="N169" s="182" t="s">
        <v>496</v>
      </c>
      <c r="O169" s="185"/>
      <c r="P169" s="176" t="s">
        <v>49</v>
      </c>
      <c r="Q169" s="176"/>
      <c r="R169" s="177"/>
    </row>
    <row r="170" spans="1:18" s="167" customFormat="1" ht="245.1" hidden="1" customHeight="1">
      <c r="A170" s="1"/>
      <c r="B170" s="114" t="s">
        <v>58</v>
      </c>
      <c r="C170" s="115"/>
      <c r="D170" s="116" t="s">
        <v>497</v>
      </c>
      <c r="E170" s="171" t="s">
        <v>46</v>
      </c>
      <c r="F170" s="117"/>
      <c r="G170" s="118"/>
      <c r="H170" s="118"/>
      <c r="I170" s="118"/>
      <c r="J170" s="119">
        <v>45015</v>
      </c>
      <c r="K170" s="365">
        <v>1009941</v>
      </c>
      <c r="L170" s="115"/>
      <c r="M170" s="115"/>
      <c r="N170" s="121" t="s">
        <v>488</v>
      </c>
      <c r="O170" s="163"/>
      <c r="P170" s="53" t="s">
        <v>49</v>
      </c>
      <c r="Q170" s="53"/>
      <c r="R170" s="54"/>
    </row>
    <row r="171" spans="1:18" s="125" customFormat="1" ht="44.1" hidden="1" customHeight="1">
      <c r="A171" s="167"/>
      <c r="B171" s="114" t="s">
        <v>50</v>
      </c>
      <c r="C171" s="169"/>
      <c r="D171" s="170" t="s">
        <v>498</v>
      </c>
      <c r="E171" s="171" t="s">
        <v>46</v>
      </c>
      <c r="F171" s="117"/>
      <c r="G171" s="118"/>
      <c r="H171" s="118"/>
      <c r="I171" s="118"/>
      <c r="J171" s="173">
        <v>45016</v>
      </c>
      <c r="K171" s="305">
        <v>1010922</v>
      </c>
      <c r="L171" s="115"/>
      <c r="M171" s="115"/>
      <c r="N171" s="182" t="s">
        <v>499</v>
      </c>
      <c r="O171" s="185"/>
      <c r="P171" s="176" t="s">
        <v>49</v>
      </c>
      <c r="Q171" s="176"/>
      <c r="R171" s="177"/>
    </row>
    <row r="172" spans="1:18" s="167" customFormat="1" ht="83.1" hidden="1" customHeight="1">
      <c r="B172" s="168" t="s">
        <v>146</v>
      </c>
      <c r="C172" s="169"/>
      <c r="D172" s="170" t="s">
        <v>500</v>
      </c>
      <c r="E172" s="171" t="s">
        <v>46</v>
      </c>
      <c r="F172" s="117"/>
      <c r="G172" s="118"/>
      <c r="H172" s="118"/>
      <c r="I172" s="118"/>
      <c r="J172" s="173">
        <v>45016</v>
      </c>
      <c r="K172" s="174">
        <v>1010946</v>
      </c>
      <c r="L172" s="115"/>
      <c r="M172" s="115"/>
      <c r="N172" s="182" t="s">
        <v>501</v>
      </c>
      <c r="O172" s="185"/>
      <c r="P172" s="176" t="s">
        <v>49</v>
      </c>
      <c r="Q172" s="176"/>
      <c r="R172" s="177"/>
    </row>
    <row r="173" spans="1:18" s="167" customFormat="1" ht="60" hidden="1" customHeight="1">
      <c r="B173" s="168" t="s">
        <v>156</v>
      </c>
      <c r="C173" s="169"/>
      <c r="D173" s="170" t="s">
        <v>502</v>
      </c>
      <c r="E173" s="171" t="s">
        <v>46</v>
      </c>
      <c r="F173" s="117"/>
      <c r="G173" s="118"/>
      <c r="H173" s="118"/>
      <c r="I173" s="118"/>
      <c r="J173" s="173">
        <v>45016</v>
      </c>
      <c r="K173" s="174">
        <v>1011258</v>
      </c>
      <c r="L173" s="115"/>
      <c r="M173" s="115"/>
      <c r="N173" s="182" t="s">
        <v>503</v>
      </c>
      <c r="O173" s="185"/>
      <c r="P173" s="176" t="s">
        <v>49</v>
      </c>
      <c r="Q173" s="176"/>
      <c r="R173" s="177"/>
    </row>
    <row r="174" spans="1:18" s="125" customFormat="1" ht="63.95" hidden="1">
      <c r="A174" s="167"/>
      <c r="B174" s="168" t="s">
        <v>413</v>
      </c>
      <c r="C174" s="169"/>
      <c r="D174" s="170" t="s">
        <v>504</v>
      </c>
      <c r="E174" s="171" t="s">
        <v>46</v>
      </c>
      <c r="F174" s="117"/>
      <c r="G174" s="118"/>
      <c r="H174" s="118"/>
      <c r="I174" s="118"/>
      <c r="J174" s="173">
        <v>45019</v>
      </c>
      <c r="K174" s="174">
        <v>1013676</v>
      </c>
      <c r="L174" s="115"/>
      <c r="M174" s="115"/>
      <c r="N174" s="182" t="s">
        <v>505</v>
      </c>
      <c r="O174" s="185"/>
      <c r="P174" s="176" t="s">
        <v>49</v>
      </c>
      <c r="Q174" s="176"/>
      <c r="R174" s="177"/>
    </row>
    <row r="175" spans="1:18" s="167" customFormat="1" ht="60" hidden="1" customHeight="1">
      <c r="B175" s="168" t="s">
        <v>50</v>
      </c>
      <c r="C175" s="169"/>
      <c r="D175" s="170" t="s">
        <v>506</v>
      </c>
      <c r="E175" s="171" t="s">
        <v>46</v>
      </c>
      <c r="F175" s="117"/>
      <c r="G175" s="118"/>
      <c r="H175" s="118"/>
      <c r="I175" s="118"/>
      <c r="J175" s="173">
        <v>45027</v>
      </c>
      <c r="K175" s="174">
        <v>1020724</v>
      </c>
      <c r="L175" s="115"/>
      <c r="M175" s="115"/>
      <c r="N175" s="182" t="s">
        <v>503</v>
      </c>
      <c r="O175" s="185"/>
      <c r="P175" s="176" t="s">
        <v>49</v>
      </c>
      <c r="Q175" s="176"/>
      <c r="R175" s="177"/>
    </row>
    <row r="176" spans="1:18" s="167" customFormat="1" ht="258" hidden="1" customHeight="1">
      <c r="B176" s="114" t="s">
        <v>160</v>
      </c>
      <c r="C176" s="169"/>
      <c r="D176" s="170" t="s">
        <v>507</v>
      </c>
      <c r="E176" s="171" t="s">
        <v>46</v>
      </c>
      <c r="F176" s="117"/>
      <c r="G176" s="118"/>
      <c r="H176" s="118"/>
      <c r="I176" s="118"/>
      <c r="J176" s="173">
        <v>45028</v>
      </c>
      <c r="K176" s="174">
        <v>1022900</v>
      </c>
      <c r="L176" s="115"/>
      <c r="M176" s="115"/>
      <c r="N176" s="182" t="s">
        <v>508</v>
      </c>
      <c r="O176" s="185"/>
      <c r="P176" s="176" t="s">
        <v>49</v>
      </c>
      <c r="Q176" s="176"/>
      <c r="R176" s="177"/>
    </row>
    <row r="177" spans="1:18" s="167" customFormat="1" ht="80.099999999999994" hidden="1">
      <c r="B177" s="168" t="s">
        <v>163</v>
      </c>
      <c r="C177" s="169"/>
      <c r="D177" s="170" t="s">
        <v>509</v>
      </c>
      <c r="E177" s="171" t="s">
        <v>46</v>
      </c>
      <c r="F177" s="117"/>
      <c r="G177" s="118"/>
      <c r="H177" s="118"/>
      <c r="I177" s="118"/>
      <c r="J177" s="173">
        <v>45035</v>
      </c>
      <c r="K177" s="174">
        <v>1027918</v>
      </c>
      <c r="L177" s="115"/>
      <c r="M177" s="115"/>
      <c r="N177" s="182" t="s">
        <v>510</v>
      </c>
      <c r="O177" s="185"/>
      <c r="P177" s="176" t="s">
        <v>49</v>
      </c>
      <c r="Q177" s="176"/>
      <c r="R177" s="177"/>
    </row>
    <row r="178" spans="1:18" s="167" customFormat="1" ht="72.95" hidden="1" customHeight="1">
      <c r="B178" s="168" t="s">
        <v>170</v>
      </c>
      <c r="C178" s="169"/>
      <c r="D178" s="170" t="s">
        <v>511</v>
      </c>
      <c r="E178" s="171" t="s">
        <v>46</v>
      </c>
      <c r="F178" s="117"/>
      <c r="G178" s="118"/>
      <c r="H178" s="118"/>
      <c r="I178" s="118"/>
      <c r="J178" s="173">
        <v>45036</v>
      </c>
      <c r="K178" s="174">
        <v>1029309</v>
      </c>
      <c r="L178" s="115"/>
      <c r="M178" s="115"/>
      <c r="N178" s="182" t="s">
        <v>512</v>
      </c>
      <c r="O178" s="185"/>
      <c r="P178" s="176" t="s">
        <v>49</v>
      </c>
      <c r="Q178" s="176"/>
      <c r="R178" s="177"/>
    </row>
    <row r="179" spans="1:18" s="167" customFormat="1" ht="72.95" hidden="1" customHeight="1">
      <c r="B179" s="168" t="s">
        <v>170</v>
      </c>
      <c r="C179" s="169"/>
      <c r="D179" s="170" t="s">
        <v>513</v>
      </c>
      <c r="E179" s="171" t="s">
        <v>46</v>
      </c>
      <c r="F179" s="117"/>
      <c r="G179" s="118"/>
      <c r="H179" s="118"/>
      <c r="I179" s="118"/>
      <c r="J179" s="173">
        <v>45036</v>
      </c>
      <c r="K179" s="174">
        <v>1029314</v>
      </c>
      <c r="L179" s="115"/>
      <c r="M179" s="115"/>
      <c r="N179" s="182" t="s">
        <v>514</v>
      </c>
      <c r="O179" s="185" t="s">
        <v>515</v>
      </c>
      <c r="P179" s="176" t="s">
        <v>49</v>
      </c>
      <c r="Q179" s="176"/>
      <c r="R179" s="177"/>
    </row>
    <row r="180" spans="1:18" s="167" customFormat="1" ht="47.1" hidden="1" customHeight="1">
      <c r="B180" s="168" t="s">
        <v>163</v>
      </c>
      <c r="C180" s="169"/>
      <c r="D180" s="170" t="s">
        <v>516</v>
      </c>
      <c r="E180" s="171" t="s">
        <v>46</v>
      </c>
      <c r="F180" s="117"/>
      <c r="G180" s="118"/>
      <c r="H180" s="118"/>
      <c r="I180" s="118"/>
      <c r="J180" s="173">
        <v>45037</v>
      </c>
      <c r="K180" s="174">
        <v>1030867</v>
      </c>
      <c r="L180" s="115"/>
      <c r="M180" s="115"/>
      <c r="N180" s="182" t="s">
        <v>517</v>
      </c>
      <c r="O180" s="185"/>
      <c r="P180" s="176" t="s">
        <v>49</v>
      </c>
      <c r="Q180" s="176"/>
      <c r="R180" s="177"/>
    </row>
    <row r="181" spans="1:18" s="167" customFormat="1" ht="63.95" hidden="1">
      <c r="B181" s="168" t="s">
        <v>86</v>
      </c>
      <c r="C181" s="169"/>
      <c r="D181" s="170" t="s">
        <v>518</v>
      </c>
      <c r="E181" s="171" t="s">
        <v>46</v>
      </c>
      <c r="F181" s="117"/>
      <c r="G181" s="118"/>
      <c r="H181" s="118"/>
      <c r="I181" s="118"/>
      <c r="J181" s="173">
        <v>45040</v>
      </c>
      <c r="K181" s="174">
        <v>1032127</v>
      </c>
      <c r="L181" s="115"/>
      <c r="M181" s="115"/>
      <c r="N181" s="182" t="s">
        <v>519</v>
      </c>
      <c r="O181" s="185"/>
      <c r="P181" s="176" t="s">
        <v>49</v>
      </c>
      <c r="Q181" s="176"/>
      <c r="R181" s="177"/>
    </row>
    <row r="182" spans="1:18" s="167" customFormat="1" ht="48" hidden="1">
      <c r="B182" s="168" t="s">
        <v>54</v>
      </c>
      <c r="C182" s="169"/>
      <c r="D182" s="170" t="s">
        <v>520</v>
      </c>
      <c r="E182" s="171" t="s">
        <v>46</v>
      </c>
      <c r="F182" s="117"/>
      <c r="G182" s="118"/>
      <c r="H182" s="118"/>
      <c r="I182" s="118"/>
      <c r="J182" s="173">
        <v>45040</v>
      </c>
      <c r="K182" s="174">
        <v>1035320</v>
      </c>
      <c r="L182" s="115"/>
      <c r="M182" s="115"/>
      <c r="N182" s="182" t="s">
        <v>521</v>
      </c>
      <c r="O182" s="185" t="s">
        <v>522</v>
      </c>
      <c r="P182" s="176" t="s">
        <v>49</v>
      </c>
      <c r="Q182" s="176"/>
      <c r="R182" s="177"/>
    </row>
    <row r="183" spans="1:18" s="167" customFormat="1" ht="63.95" hidden="1">
      <c r="B183" s="168" t="s">
        <v>178</v>
      </c>
      <c r="C183" s="169"/>
      <c r="D183" s="170" t="s">
        <v>523</v>
      </c>
      <c r="E183" s="171" t="s">
        <v>46</v>
      </c>
      <c r="F183" s="117"/>
      <c r="G183" s="118"/>
      <c r="H183" s="118"/>
      <c r="I183" s="118"/>
      <c r="J183" s="173">
        <v>45040</v>
      </c>
      <c r="K183" s="174">
        <v>1035445</v>
      </c>
      <c r="L183" s="115"/>
      <c r="M183" s="115"/>
      <c r="N183" s="182" t="s">
        <v>524</v>
      </c>
      <c r="O183" s="185"/>
      <c r="P183" s="176" t="s">
        <v>49</v>
      </c>
      <c r="Q183" s="176"/>
      <c r="R183" s="177"/>
    </row>
    <row r="184" spans="1:18" s="167" customFormat="1" ht="80.099999999999994" hidden="1">
      <c r="B184" s="48" t="s">
        <v>138</v>
      </c>
      <c r="C184" s="169"/>
      <c r="D184" s="170" t="s">
        <v>525</v>
      </c>
      <c r="E184" s="171" t="s">
        <v>46</v>
      </c>
      <c r="F184" s="117"/>
      <c r="G184" s="118"/>
      <c r="H184" s="118"/>
      <c r="I184" s="118"/>
      <c r="J184" s="173">
        <v>45042</v>
      </c>
      <c r="K184" s="174">
        <v>1035920</v>
      </c>
      <c r="L184" s="115"/>
      <c r="M184" s="115"/>
      <c r="N184" s="182" t="s">
        <v>526</v>
      </c>
      <c r="O184" s="200" t="s">
        <v>527</v>
      </c>
      <c r="P184" s="176" t="s">
        <v>49</v>
      </c>
      <c r="Q184" s="176"/>
      <c r="R184" s="177"/>
    </row>
    <row r="185" spans="1:18" s="167" customFormat="1" ht="126" hidden="1" customHeight="1">
      <c r="B185" s="168" t="s">
        <v>156</v>
      </c>
      <c r="C185" s="169"/>
      <c r="D185" s="170" t="s">
        <v>528</v>
      </c>
      <c r="E185" s="171" t="s">
        <v>46</v>
      </c>
      <c r="F185" s="117"/>
      <c r="G185" s="118"/>
      <c r="H185" s="118"/>
      <c r="I185" s="118"/>
      <c r="J185" s="173">
        <v>45042</v>
      </c>
      <c r="K185" s="174">
        <v>1038731</v>
      </c>
      <c r="L185" s="115"/>
      <c r="M185" s="115"/>
      <c r="N185" s="182" t="s">
        <v>529</v>
      </c>
      <c r="O185" s="185"/>
      <c r="P185" s="176" t="s">
        <v>49</v>
      </c>
      <c r="Q185" s="176"/>
      <c r="R185" s="177"/>
    </row>
    <row r="186" spans="1:18" s="167" customFormat="1" ht="69.95" hidden="1" customHeight="1">
      <c r="B186" s="168" t="s">
        <v>54</v>
      </c>
      <c r="C186" s="169"/>
      <c r="D186" s="170" t="s">
        <v>530</v>
      </c>
      <c r="E186" s="171" t="s">
        <v>46</v>
      </c>
      <c r="F186" s="117"/>
      <c r="G186" s="118"/>
      <c r="H186" s="118"/>
      <c r="I186" s="118"/>
      <c r="J186" s="173">
        <v>45043</v>
      </c>
      <c r="K186" s="174">
        <v>1040082</v>
      </c>
      <c r="L186" s="115"/>
      <c r="M186" s="115"/>
      <c r="N186" s="182" t="s">
        <v>531</v>
      </c>
      <c r="O186" s="185"/>
      <c r="P186" s="176" t="s">
        <v>49</v>
      </c>
      <c r="Q186" s="176"/>
      <c r="R186" s="177"/>
    </row>
    <row r="187" spans="1:18" s="167" customFormat="1" ht="48" hidden="1">
      <c r="B187" s="168" t="s">
        <v>50</v>
      </c>
      <c r="C187" s="169"/>
      <c r="D187" s="170" t="s">
        <v>532</v>
      </c>
      <c r="E187" s="171" t="s">
        <v>46</v>
      </c>
      <c r="F187" s="117"/>
      <c r="G187" s="118"/>
      <c r="H187" s="118"/>
      <c r="I187" s="118"/>
      <c r="J187" s="173">
        <v>45043</v>
      </c>
      <c r="K187" s="174">
        <v>1040494</v>
      </c>
      <c r="L187" s="115"/>
      <c r="M187" s="115"/>
      <c r="N187" s="182" t="s">
        <v>533</v>
      </c>
      <c r="O187" s="185"/>
      <c r="P187" s="176" t="s">
        <v>49</v>
      </c>
      <c r="Q187" s="176"/>
      <c r="R187" s="177"/>
    </row>
    <row r="188" spans="1:18" s="167" customFormat="1" ht="54.95" hidden="1" customHeight="1">
      <c r="B188" s="168" t="s">
        <v>54</v>
      </c>
      <c r="C188" s="169"/>
      <c r="D188" s="170" t="s">
        <v>530</v>
      </c>
      <c r="E188" s="171" t="s">
        <v>46</v>
      </c>
      <c r="F188" s="117"/>
      <c r="G188" s="118"/>
      <c r="H188" s="118"/>
      <c r="I188" s="118"/>
      <c r="J188" s="173">
        <v>45043.197916666664</v>
      </c>
      <c r="K188" s="174" t="s">
        <v>534</v>
      </c>
      <c r="L188" s="115"/>
      <c r="M188" s="115"/>
      <c r="N188" s="182" t="s">
        <v>535</v>
      </c>
      <c r="O188" s="185"/>
      <c r="P188" s="176" t="s">
        <v>49</v>
      </c>
      <c r="Q188" s="176"/>
      <c r="R188" s="177"/>
    </row>
    <row r="189" spans="1:18" s="167" customFormat="1" ht="101.1" hidden="1" customHeight="1">
      <c r="B189" s="168" t="s">
        <v>99</v>
      </c>
      <c r="C189" s="169"/>
      <c r="D189" s="170" t="s">
        <v>536</v>
      </c>
      <c r="E189" s="171" t="s">
        <v>46</v>
      </c>
      <c r="F189" s="117"/>
      <c r="G189" s="118"/>
      <c r="H189" s="118"/>
      <c r="I189" s="118"/>
      <c r="J189" s="173">
        <v>45044</v>
      </c>
      <c r="K189" s="174">
        <v>1039051</v>
      </c>
      <c r="L189" s="115"/>
      <c r="M189" s="115"/>
      <c r="N189" s="182" t="s">
        <v>537</v>
      </c>
      <c r="O189" s="185"/>
      <c r="P189" s="176" t="s">
        <v>49</v>
      </c>
      <c r="Q189" s="176"/>
      <c r="R189" s="177"/>
    </row>
    <row r="190" spans="1:18" s="167" customFormat="1" ht="32.1" hidden="1">
      <c r="B190" s="168" t="s">
        <v>133</v>
      </c>
      <c r="C190" s="169"/>
      <c r="D190" s="170" t="s">
        <v>538</v>
      </c>
      <c r="E190" s="171" t="s">
        <v>46</v>
      </c>
      <c r="F190" s="117"/>
      <c r="G190" s="118"/>
      <c r="H190" s="118"/>
      <c r="I190" s="118"/>
      <c r="J190" s="173">
        <v>45044</v>
      </c>
      <c r="K190" s="174">
        <v>1040223</v>
      </c>
      <c r="L190" s="115"/>
      <c r="M190" s="115"/>
      <c r="N190" s="182" t="s">
        <v>539</v>
      </c>
      <c r="O190" s="185"/>
      <c r="P190" s="176" t="s">
        <v>49</v>
      </c>
      <c r="Q190" s="176"/>
      <c r="R190" s="177"/>
    </row>
    <row r="191" spans="1:18" s="167" customFormat="1" ht="32.1">
      <c r="B191" s="168" t="s">
        <v>190</v>
      </c>
      <c r="C191" s="169"/>
      <c r="D191" s="170" t="s">
        <v>540</v>
      </c>
      <c r="E191" s="171" t="s">
        <v>46</v>
      </c>
      <c r="F191" s="117"/>
      <c r="G191" s="118"/>
      <c r="H191" s="118"/>
      <c r="I191" s="118"/>
      <c r="J191" s="173">
        <v>45044</v>
      </c>
      <c r="K191" s="174">
        <v>1040329</v>
      </c>
      <c r="L191" s="115"/>
      <c r="M191" s="115"/>
      <c r="N191" s="182" t="s">
        <v>541</v>
      </c>
      <c r="O191" s="200" t="s">
        <v>542</v>
      </c>
      <c r="P191" s="176" t="s">
        <v>49</v>
      </c>
      <c r="Q191" s="176"/>
      <c r="R191" s="177"/>
    </row>
    <row r="192" spans="1:18" s="125" customFormat="1" ht="56.1" hidden="1" customHeight="1">
      <c r="A192" s="167"/>
      <c r="B192" s="168" t="s">
        <v>146</v>
      </c>
      <c r="C192" s="169"/>
      <c r="D192" s="170" t="s">
        <v>543</v>
      </c>
      <c r="E192" s="171" t="s">
        <v>46</v>
      </c>
      <c r="F192" s="117"/>
      <c r="G192" s="118"/>
      <c r="H192" s="118"/>
      <c r="I192" s="118"/>
      <c r="J192" s="173">
        <v>45044</v>
      </c>
      <c r="K192" s="174">
        <v>1042129</v>
      </c>
      <c r="L192" s="115"/>
      <c r="M192" s="115"/>
      <c r="N192" s="182" t="s">
        <v>544</v>
      </c>
      <c r="O192" s="185"/>
      <c r="P192" s="176" t="s">
        <v>49</v>
      </c>
      <c r="Q192" s="176"/>
      <c r="R192" s="177"/>
    </row>
    <row r="193" spans="1:18" s="167" customFormat="1" ht="32.1" hidden="1">
      <c r="B193" s="168" t="s">
        <v>43</v>
      </c>
      <c r="C193" s="169"/>
      <c r="D193" s="170" t="s">
        <v>545</v>
      </c>
      <c r="E193" s="171" t="s">
        <v>46</v>
      </c>
      <c r="F193" s="117"/>
      <c r="G193" s="118"/>
      <c r="H193" s="118"/>
      <c r="I193" s="118"/>
      <c r="J193" s="173">
        <v>45046</v>
      </c>
      <c r="K193" s="174">
        <v>1040840</v>
      </c>
      <c r="L193" s="115"/>
      <c r="M193" s="115"/>
      <c r="N193" s="182" t="s">
        <v>529</v>
      </c>
      <c r="O193" s="200" t="s">
        <v>546</v>
      </c>
      <c r="P193" s="176" t="s">
        <v>49</v>
      </c>
      <c r="Q193" s="176"/>
      <c r="R193" s="177"/>
    </row>
    <row r="194" spans="1:18" s="167" customFormat="1" ht="41.1" hidden="1" customHeight="1">
      <c r="B194" s="168" t="s">
        <v>43</v>
      </c>
      <c r="C194" s="169"/>
      <c r="D194" s="170" t="s">
        <v>547</v>
      </c>
      <c r="E194" s="171" t="s">
        <v>46</v>
      </c>
      <c r="F194" s="117"/>
      <c r="G194" s="118"/>
      <c r="H194" s="118"/>
      <c r="I194" s="118"/>
      <c r="J194" s="173">
        <v>45046</v>
      </c>
      <c r="K194" s="174">
        <v>1040842</v>
      </c>
      <c r="L194" s="115"/>
      <c r="M194" s="115"/>
      <c r="N194" s="182" t="s">
        <v>529</v>
      </c>
      <c r="O194" s="200" t="s">
        <v>548</v>
      </c>
      <c r="P194" s="176" t="s">
        <v>49</v>
      </c>
      <c r="Q194" s="176"/>
      <c r="R194" s="177"/>
    </row>
    <row r="195" spans="1:18" s="167" customFormat="1" ht="78" hidden="1" customHeight="1">
      <c r="B195" s="48" t="s">
        <v>138</v>
      </c>
      <c r="C195" s="169"/>
      <c r="D195" s="170" t="s">
        <v>549</v>
      </c>
      <c r="E195" s="171" t="s">
        <v>46</v>
      </c>
      <c r="F195" s="117"/>
      <c r="G195" s="118"/>
      <c r="H195" s="118"/>
      <c r="I195" s="118"/>
      <c r="J195" s="173">
        <v>45046</v>
      </c>
      <c r="K195" s="174">
        <v>1042147</v>
      </c>
      <c r="L195" s="115"/>
      <c r="M195" s="115"/>
      <c r="N195" s="182" t="s">
        <v>550</v>
      </c>
      <c r="O195" s="185"/>
      <c r="P195" s="176" t="s">
        <v>49</v>
      </c>
      <c r="Q195" s="176"/>
      <c r="R195" s="177"/>
    </row>
    <row r="196" spans="1:18" s="167" customFormat="1" ht="54" hidden="1" customHeight="1">
      <c r="B196" s="168" t="s">
        <v>174</v>
      </c>
      <c r="C196" s="169"/>
      <c r="D196" s="170" t="s">
        <v>551</v>
      </c>
      <c r="E196" s="171" t="s">
        <v>46</v>
      </c>
      <c r="F196" s="117"/>
      <c r="G196" s="118"/>
      <c r="H196" s="118"/>
      <c r="I196" s="118"/>
      <c r="J196" s="173">
        <v>45048</v>
      </c>
      <c r="K196" s="174">
        <v>1047814</v>
      </c>
      <c r="L196" s="115"/>
      <c r="M196" s="115"/>
      <c r="N196" s="182" t="s">
        <v>552</v>
      </c>
      <c r="O196" s="185"/>
      <c r="P196" s="176" t="s">
        <v>49</v>
      </c>
      <c r="Q196" s="176"/>
      <c r="R196" s="177"/>
    </row>
    <row r="197" spans="1:18" s="167" customFormat="1" ht="39" hidden="1" customHeight="1">
      <c r="A197" s="1"/>
      <c r="B197" s="114" t="s">
        <v>79</v>
      </c>
      <c r="C197" s="115"/>
      <c r="D197" s="116" t="s">
        <v>553</v>
      </c>
      <c r="E197" s="171" t="s">
        <v>46</v>
      </c>
      <c r="F197" s="117"/>
      <c r="G197" s="118"/>
      <c r="H197" s="118"/>
      <c r="I197" s="118"/>
      <c r="J197" s="119">
        <v>45049</v>
      </c>
      <c r="K197" s="120">
        <v>1049162</v>
      </c>
      <c r="L197" s="115"/>
      <c r="M197" s="115"/>
      <c r="N197" s="121" t="s">
        <v>554</v>
      </c>
      <c r="O197" s="163"/>
      <c r="P197" s="53" t="s">
        <v>49</v>
      </c>
      <c r="Q197" s="53"/>
      <c r="R197" s="54"/>
    </row>
    <row r="198" spans="1:18" s="167" customFormat="1" ht="120" hidden="1" customHeight="1">
      <c r="B198" s="168" t="s">
        <v>170</v>
      </c>
      <c r="C198" s="169"/>
      <c r="D198" s="170" t="s">
        <v>555</v>
      </c>
      <c r="E198" s="171" t="s">
        <v>46</v>
      </c>
      <c r="F198" s="117"/>
      <c r="G198" s="118"/>
      <c r="H198" s="118"/>
      <c r="I198" s="118"/>
      <c r="J198" s="173">
        <v>45051</v>
      </c>
      <c r="K198" s="174">
        <v>1051791</v>
      </c>
      <c r="L198" s="115"/>
      <c r="M198" s="115"/>
      <c r="N198" s="182" t="s">
        <v>556</v>
      </c>
      <c r="O198" s="185"/>
      <c r="P198" s="176" t="s">
        <v>49</v>
      </c>
      <c r="Q198" s="176"/>
      <c r="R198" s="177"/>
    </row>
    <row r="199" spans="1:18" s="167" customFormat="1" ht="66" hidden="1" customHeight="1">
      <c r="B199" s="168" t="s">
        <v>50</v>
      </c>
      <c r="C199" s="169"/>
      <c r="D199" s="170" t="s">
        <v>557</v>
      </c>
      <c r="E199" s="171" t="s">
        <v>46</v>
      </c>
      <c r="F199" s="117"/>
      <c r="G199" s="118"/>
      <c r="H199" s="118"/>
      <c r="I199" s="118"/>
      <c r="J199" s="173">
        <v>45051</v>
      </c>
      <c r="K199" s="174">
        <v>1052635</v>
      </c>
      <c r="L199" s="115"/>
      <c r="M199" s="115"/>
      <c r="N199" s="182" t="s">
        <v>558</v>
      </c>
      <c r="O199" s="185"/>
      <c r="P199" s="176" t="s">
        <v>49</v>
      </c>
      <c r="Q199" s="176"/>
      <c r="R199" s="177"/>
    </row>
    <row r="200" spans="1:18" s="167" customFormat="1" ht="32.1" hidden="1">
      <c r="B200" s="168" t="s">
        <v>50</v>
      </c>
      <c r="C200" s="169"/>
      <c r="D200" s="170" t="s">
        <v>559</v>
      </c>
      <c r="E200" s="171" t="s">
        <v>46</v>
      </c>
      <c r="F200" s="117"/>
      <c r="G200" s="118"/>
      <c r="H200" s="118"/>
      <c r="I200" s="118"/>
      <c r="J200" s="173">
        <v>45051</v>
      </c>
      <c r="K200" s="174">
        <v>1052643</v>
      </c>
      <c r="L200" s="115"/>
      <c r="M200" s="115"/>
      <c r="N200" s="182" t="s">
        <v>560</v>
      </c>
      <c r="O200" s="185"/>
      <c r="P200" s="176" t="s">
        <v>49</v>
      </c>
      <c r="Q200" s="176"/>
      <c r="R200" s="177"/>
    </row>
    <row r="201" spans="1:18" s="167" customFormat="1" ht="41.1" hidden="1" customHeight="1">
      <c r="B201" s="168" t="s">
        <v>50</v>
      </c>
      <c r="C201" s="169"/>
      <c r="D201" s="170" t="s">
        <v>561</v>
      </c>
      <c r="E201" s="171" t="s">
        <v>46</v>
      </c>
      <c r="F201" s="117"/>
      <c r="G201" s="118"/>
      <c r="H201" s="118"/>
      <c r="I201" s="118"/>
      <c r="J201" s="173">
        <v>45051</v>
      </c>
      <c r="K201" s="174">
        <v>1052669</v>
      </c>
      <c r="L201" s="115"/>
      <c r="M201" s="115"/>
      <c r="N201" s="182" t="s">
        <v>558</v>
      </c>
      <c r="O201" s="185" t="s">
        <v>562</v>
      </c>
      <c r="P201" s="176" t="s">
        <v>49</v>
      </c>
      <c r="Q201" s="176"/>
      <c r="R201" s="177"/>
    </row>
    <row r="202" spans="1:18" s="167" customFormat="1" ht="80.099999999999994" hidden="1">
      <c r="B202" s="168" t="s">
        <v>163</v>
      </c>
      <c r="C202" s="169"/>
      <c r="D202" s="170" t="s">
        <v>563</v>
      </c>
      <c r="E202" s="171" t="s">
        <v>46</v>
      </c>
      <c r="F202" s="117"/>
      <c r="G202" s="118"/>
      <c r="H202" s="118"/>
      <c r="I202" s="118"/>
      <c r="J202" s="173">
        <v>45053</v>
      </c>
      <c r="K202" s="174">
        <v>1052632</v>
      </c>
      <c r="L202" s="115"/>
      <c r="M202" s="115"/>
      <c r="N202" s="182" t="s">
        <v>564</v>
      </c>
      <c r="O202" s="200" t="s">
        <v>565</v>
      </c>
      <c r="P202" s="176" t="s">
        <v>49</v>
      </c>
      <c r="Q202" s="176"/>
      <c r="R202" s="177"/>
    </row>
    <row r="203" spans="1:18" s="167" customFormat="1" ht="104.1" hidden="1" customHeight="1">
      <c r="B203" s="168" t="s">
        <v>133</v>
      </c>
      <c r="C203" s="169"/>
      <c r="D203" s="170" t="s">
        <v>566</v>
      </c>
      <c r="E203" s="171" t="s">
        <v>46</v>
      </c>
      <c r="F203" s="117"/>
      <c r="G203" s="118"/>
      <c r="H203" s="118"/>
      <c r="I203" s="118"/>
      <c r="J203" s="173">
        <v>45053</v>
      </c>
      <c r="K203" s="174">
        <v>1052724</v>
      </c>
      <c r="L203" s="115"/>
      <c r="M203" s="115"/>
      <c r="N203" s="182" t="s">
        <v>567</v>
      </c>
      <c r="O203" s="185"/>
      <c r="P203" s="176" t="s">
        <v>49</v>
      </c>
      <c r="Q203" s="176"/>
      <c r="R203" s="177"/>
    </row>
    <row r="204" spans="1:18" s="167" customFormat="1" ht="87" customHeight="1">
      <c r="B204" s="168" t="s">
        <v>190</v>
      </c>
      <c r="C204" s="169"/>
      <c r="D204" s="170" t="s">
        <v>568</v>
      </c>
      <c r="E204" s="171" t="s">
        <v>46</v>
      </c>
      <c r="F204" s="117"/>
      <c r="G204" s="118"/>
      <c r="H204" s="118"/>
      <c r="I204" s="118"/>
      <c r="J204" s="173">
        <v>45054</v>
      </c>
      <c r="K204" s="174">
        <v>1053976</v>
      </c>
      <c r="L204" s="115"/>
      <c r="M204" s="115"/>
      <c r="N204" s="182" t="s">
        <v>569</v>
      </c>
      <c r="O204" s="185"/>
      <c r="P204" s="176" t="s">
        <v>49</v>
      </c>
      <c r="Q204" s="176"/>
      <c r="R204" s="177"/>
    </row>
    <row r="205" spans="1:18" s="167" customFormat="1" ht="90" hidden="1" customHeight="1">
      <c r="B205" s="168" t="s">
        <v>67</v>
      </c>
      <c r="C205" s="169"/>
      <c r="D205" s="170" t="s">
        <v>570</v>
      </c>
      <c r="E205" s="171" t="s">
        <v>46</v>
      </c>
      <c r="F205" s="117"/>
      <c r="G205" s="118"/>
      <c r="H205" s="118"/>
      <c r="I205" s="118"/>
      <c r="J205" s="173">
        <v>45056</v>
      </c>
      <c r="K205" s="174">
        <v>1058365</v>
      </c>
      <c r="L205" s="115"/>
      <c r="M205" s="115"/>
      <c r="N205" s="182" t="s">
        <v>571</v>
      </c>
      <c r="O205" s="185"/>
      <c r="P205" s="176" t="s">
        <v>49</v>
      </c>
      <c r="Q205" s="176"/>
      <c r="R205" s="177"/>
    </row>
    <row r="206" spans="1:18" s="167" customFormat="1" ht="51.95" hidden="1" customHeight="1">
      <c r="B206" s="168" t="s">
        <v>156</v>
      </c>
      <c r="C206" s="169"/>
      <c r="D206" s="170" t="s">
        <v>572</v>
      </c>
      <c r="E206" s="171" t="s">
        <v>46</v>
      </c>
      <c r="F206" s="117"/>
      <c r="G206" s="118"/>
      <c r="H206" s="118"/>
      <c r="I206" s="118"/>
      <c r="J206" s="173">
        <v>45056</v>
      </c>
      <c r="K206" s="174">
        <v>1060525</v>
      </c>
      <c r="L206" s="115"/>
      <c r="M206" s="115"/>
      <c r="N206" s="182" t="s">
        <v>573</v>
      </c>
      <c r="O206" s="185"/>
      <c r="P206" s="176" t="s">
        <v>49</v>
      </c>
      <c r="Q206" s="176"/>
      <c r="R206" s="177"/>
    </row>
    <row r="207" spans="1:18" s="186" customFormat="1" ht="96.95" hidden="1" customHeight="1">
      <c r="A207" s="167"/>
      <c r="B207" s="168" t="s">
        <v>413</v>
      </c>
      <c r="C207" s="169"/>
      <c r="D207" s="170" t="s">
        <v>574</v>
      </c>
      <c r="E207" s="171" t="s">
        <v>46</v>
      </c>
      <c r="F207" s="117"/>
      <c r="G207" s="118"/>
      <c r="H207" s="118"/>
      <c r="I207" s="118"/>
      <c r="J207" s="173">
        <v>45056</v>
      </c>
      <c r="K207" s="174">
        <v>1062071</v>
      </c>
      <c r="L207" s="115"/>
      <c r="M207" s="115"/>
      <c r="N207" s="182" t="s">
        <v>575</v>
      </c>
      <c r="O207" s="185" t="s">
        <v>576</v>
      </c>
      <c r="P207" s="176" t="s">
        <v>49</v>
      </c>
      <c r="Q207" s="176"/>
      <c r="R207" s="177"/>
    </row>
    <row r="208" spans="1:18" s="167" customFormat="1" ht="48" hidden="1">
      <c r="B208" s="168" t="s">
        <v>63</v>
      </c>
      <c r="C208" s="169"/>
      <c r="D208" s="170" t="s">
        <v>577</v>
      </c>
      <c r="E208" s="171" t="s">
        <v>46</v>
      </c>
      <c r="F208" s="117"/>
      <c r="G208" s="118"/>
      <c r="H208" s="118"/>
      <c r="I208" s="118"/>
      <c r="J208" s="173">
        <v>45057</v>
      </c>
      <c r="K208" s="174">
        <v>1061816</v>
      </c>
      <c r="L208" s="115"/>
      <c r="M208" s="115"/>
      <c r="N208" s="182" t="s">
        <v>578</v>
      </c>
      <c r="O208" s="185" t="s">
        <v>579</v>
      </c>
      <c r="P208" s="53" t="s">
        <v>49</v>
      </c>
      <c r="Q208" s="176"/>
      <c r="R208" s="177"/>
    </row>
    <row r="209" spans="1:18" s="167" customFormat="1" ht="63.95" hidden="1">
      <c r="B209" s="168" t="s">
        <v>71</v>
      </c>
      <c r="C209" s="169"/>
      <c r="D209" s="170" t="s">
        <v>580</v>
      </c>
      <c r="E209" s="171" t="s">
        <v>46</v>
      </c>
      <c r="F209" s="117"/>
      <c r="G209" s="118"/>
      <c r="H209" s="118"/>
      <c r="I209" s="118"/>
      <c r="J209" s="173">
        <v>45058</v>
      </c>
      <c r="K209" s="174">
        <v>1061979</v>
      </c>
      <c r="L209" s="115"/>
      <c r="M209" s="115"/>
      <c r="N209" s="182" t="s">
        <v>581</v>
      </c>
      <c r="O209" s="185"/>
      <c r="P209" s="176" t="s">
        <v>49</v>
      </c>
      <c r="Q209" s="176"/>
      <c r="R209" s="177"/>
    </row>
    <row r="210" spans="1:18" s="167" customFormat="1" ht="84" hidden="1" customHeight="1">
      <c r="B210" s="168" t="s">
        <v>75</v>
      </c>
      <c r="C210" s="169"/>
      <c r="D210" s="170" t="s">
        <v>582</v>
      </c>
      <c r="E210" s="171" t="s">
        <v>46</v>
      </c>
      <c r="F210" s="117"/>
      <c r="G210" s="118"/>
      <c r="H210" s="118"/>
      <c r="I210" s="118"/>
      <c r="J210" s="173">
        <v>45058</v>
      </c>
      <c r="K210" s="174">
        <v>1062148</v>
      </c>
      <c r="L210" s="115"/>
      <c r="M210" s="115"/>
      <c r="N210" s="182" t="s">
        <v>583</v>
      </c>
      <c r="O210" s="185"/>
      <c r="P210" s="176" t="s">
        <v>49</v>
      </c>
      <c r="Q210" s="176"/>
      <c r="R210" s="177"/>
    </row>
    <row r="211" spans="1:18" s="167" customFormat="1" ht="44.1" hidden="1" customHeight="1">
      <c r="B211" s="168" t="s">
        <v>79</v>
      </c>
      <c r="C211" s="169"/>
      <c r="D211" s="170" t="s">
        <v>584</v>
      </c>
      <c r="E211" s="171" t="s">
        <v>46</v>
      </c>
      <c r="F211" s="117"/>
      <c r="G211" s="118"/>
      <c r="H211" s="118"/>
      <c r="I211" s="118"/>
      <c r="J211" s="173">
        <v>45058</v>
      </c>
      <c r="K211" s="174">
        <v>1065078</v>
      </c>
      <c r="L211" s="115"/>
      <c r="M211" s="115"/>
      <c r="N211" s="182" t="s">
        <v>560</v>
      </c>
      <c r="O211" s="185"/>
      <c r="P211" s="176" t="s">
        <v>49</v>
      </c>
      <c r="Q211" s="176"/>
      <c r="R211" s="177"/>
    </row>
    <row r="212" spans="1:18" s="167" customFormat="1" ht="48" hidden="1">
      <c r="A212" s="1"/>
      <c r="B212" s="168" t="s">
        <v>178</v>
      </c>
      <c r="C212" s="115"/>
      <c r="D212" s="116" t="s">
        <v>585</v>
      </c>
      <c r="E212" s="171" t="s">
        <v>46</v>
      </c>
      <c r="F212" s="117"/>
      <c r="G212" s="118"/>
      <c r="H212" s="118"/>
      <c r="I212" s="118"/>
      <c r="J212" s="119">
        <v>45058</v>
      </c>
      <c r="K212" s="120">
        <v>1065340</v>
      </c>
      <c r="L212" s="115"/>
      <c r="M212" s="115"/>
      <c r="N212" s="121" t="s">
        <v>586</v>
      </c>
      <c r="O212" s="163"/>
      <c r="P212" s="53" t="s">
        <v>49</v>
      </c>
      <c r="Q212" s="53"/>
      <c r="R212" s="54"/>
    </row>
    <row r="213" spans="1:18" s="167" customFormat="1" ht="108.95" hidden="1" customHeight="1">
      <c r="B213" s="48" t="s">
        <v>138</v>
      </c>
      <c r="C213" s="169"/>
      <c r="D213" s="170" t="s">
        <v>587</v>
      </c>
      <c r="E213" s="171" t="s">
        <v>46</v>
      </c>
      <c r="F213" s="117"/>
      <c r="G213" s="118"/>
      <c r="H213" s="118"/>
      <c r="I213" s="118"/>
      <c r="J213" s="173">
        <v>45061</v>
      </c>
      <c r="K213" s="174">
        <v>1065480</v>
      </c>
      <c r="L213" s="115"/>
      <c r="M213" s="115"/>
      <c r="N213" s="182" t="s">
        <v>560</v>
      </c>
      <c r="O213" s="185"/>
      <c r="P213" s="53" t="s">
        <v>49</v>
      </c>
      <c r="Q213" s="176"/>
      <c r="R213" s="177"/>
    </row>
    <row r="214" spans="1:18" s="167" customFormat="1" ht="32.1" hidden="1">
      <c r="B214" s="168" t="s">
        <v>54</v>
      </c>
      <c r="C214" s="169"/>
      <c r="D214" s="170" t="s">
        <v>588</v>
      </c>
      <c r="E214" s="171" t="s">
        <v>46</v>
      </c>
      <c r="F214" s="117"/>
      <c r="G214" s="118"/>
      <c r="H214" s="118"/>
      <c r="I214" s="118"/>
      <c r="J214" s="173">
        <v>45062</v>
      </c>
      <c r="K214" s="174">
        <v>1071123</v>
      </c>
      <c r="L214" s="115"/>
      <c r="M214" s="115"/>
      <c r="N214" s="182" t="s">
        <v>575</v>
      </c>
      <c r="O214" s="185"/>
      <c r="P214" s="176" t="s">
        <v>49</v>
      </c>
      <c r="Q214" s="176"/>
      <c r="R214" s="177"/>
    </row>
    <row r="215" spans="1:18" s="167" customFormat="1" ht="59.1" hidden="1" customHeight="1">
      <c r="B215" s="114" t="s">
        <v>160</v>
      </c>
      <c r="C215" s="169"/>
      <c r="D215" s="170" t="s">
        <v>589</v>
      </c>
      <c r="E215" s="171" t="s">
        <v>46</v>
      </c>
      <c r="F215" s="117"/>
      <c r="G215" s="118"/>
      <c r="H215" s="118"/>
      <c r="I215" s="118"/>
      <c r="J215" s="173">
        <v>45063</v>
      </c>
      <c r="K215" s="174">
        <v>1071749</v>
      </c>
      <c r="L215" s="115"/>
      <c r="M215" s="115"/>
      <c r="N215" s="205" t="s">
        <v>590</v>
      </c>
      <c r="O215" s="185"/>
      <c r="P215" s="176" t="s">
        <v>49</v>
      </c>
      <c r="Q215" s="176"/>
      <c r="R215" s="177"/>
    </row>
    <row r="216" spans="1:18" s="167" customFormat="1" ht="98.1" hidden="1" customHeight="1">
      <c r="B216" s="168" t="s">
        <v>170</v>
      </c>
      <c r="C216" s="169"/>
      <c r="D216" s="170" t="s">
        <v>591</v>
      </c>
      <c r="E216" s="171" t="s">
        <v>46</v>
      </c>
      <c r="F216" s="117"/>
      <c r="G216" s="118"/>
      <c r="H216" s="118"/>
      <c r="I216" s="118"/>
      <c r="J216" s="173">
        <v>45069</v>
      </c>
      <c r="K216" s="174">
        <v>1080276</v>
      </c>
      <c r="L216" s="115"/>
      <c r="M216" s="115"/>
      <c r="N216" s="182" t="s">
        <v>592</v>
      </c>
      <c r="O216" s="185"/>
      <c r="P216" s="176" t="s">
        <v>49</v>
      </c>
      <c r="Q216" s="176"/>
      <c r="R216" s="177"/>
    </row>
    <row r="217" spans="1:18" s="167" customFormat="1" ht="93.95" hidden="1" customHeight="1">
      <c r="B217" s="168" t="s">
        <v>178</v>
      </c>
      <c r="C217" s="169"/>
      <c r="D217" s="170" t="s">
        <v>593</v>
      </c>
      <c r="E217" s="171" t="s">
        <v>46</v>
      </c>
      <c r="F217" s="117"/>
      <c r="G217" s="118"/>
      <c r="H217" s="118"/>
      <c r="I217" s="118"/>
      <c r="J217" s="173">
        <v>45069</v>
      </c>
      <c r="K217" s="174">
        <v>1080787</v>
      </c>
      <c r="L217" s="115"/>
      <c r="M217" s="115"/>
      <c r="N217" s="182" t="s">
        <v>594</v>
      </c>
      <c r="O217" s="185"/>
      <c r="P217" s="176" t="s">
        <v>49</v>
      </c>
      <c r="Q217" s="176"/>
      <c r="R217" s="177"/>
    </row>
    <row r="218" spans="1:18" s="167" customFormat="1" ht="80.099999999999994" hidden="1">
      <c r="A218" s="1"/>
      <c r="B218" s="114" t="s">
        <v>54</v>
      </c>
      <c r="C218" s="115"/>
      <c r="D218" s="116" t="s">
        <v>595</v>
      </c>
      <c r="E218" s="171" t="s">
        <v>46</v>
      </c>
      <c r="F218" s="117"/>
      <c r="G218" s="118"/>
      <c r="H218" s="118"/>
      <c r="I218" s="118"/>
      <c r="J218" s="119">
        <v>45070</v>
      </c>
      <c r="K218" s="120">
        <v>1082091</v>
      </c>
      <c r="L218" s="115"/>
      <c r="M218" s="115"/>
      <c r="N218" s="121" t="s">
        <v>596</v>
      </c>
      <c r="O218" s="163"/>
      <c r="P218" s="53" t="s">
        <v>49</v>
      </c>
      <c r="Q218" s="53"/>
      <c r="R218" s="54"/>
    </row>
    <row r="219" spans="1:18" s="167" customFormat="1" ht="176.1" hidden="1">
      <c r="B219" s="168" t="s">
        <v>86</v>
      </c>
      <c r="C219" s="169"/>
      <c r="D219" s="170" t="s">
        <v>597</v>
      </c>
      <c r="E219" s="171" t="s">
        <v>46</v>
      </c>
      <c r="F219" s="117"/>
      <c r="G219" s="118"/>
      <c r="H219" s="118"/>
      <c r="I219" s="118"/>
      <c r="J219" s="173">
        <v>45070</v>
      </c>
      <c r="K219" s="174">
        <v>1082104</v>
      </c>
      <c r="L219" s="115"/>
      <c r="M219" s="115"/>
      <c r="N219" s="182" t="s">
        <v>598</v>
      </c>
      <c r="O219" s="200" t="s">
        <v>599</v>
      </c>
      <c r="P219" s="176" t="s">
        <v>49</v>
      </c>
      <c r="Q219" s="176"/>
      <c r="R219" s="177"/>
    </row>
    <row r="220" spans="1:18" s="167" customFormat="1" ht="84.95" hidden="1" customHeight="1">
      <c r="A220" s="186"/>
      <c r="B220" s="187" t="s">
        <v>163</v>
      </c>
      <c r="C220" s="188"/>
      <c r="D220" s="189" t="s">
        <v>600</v>
      </c>
      <c r="E220" s="190" t="s">
        <v>46</v>
      </c>
      <c r="F220" s="117"/>
      <c r="G220" s="118"/>
      <c r="H220" s="118"/>
      <c r="I220" s="118"/>
      <c r="J220" s="191">
        <v>45070</v>
      </c>
      <c r="K220" s="192">
        <v>1082914</v>
      </c>
      <c r="L220" s="115"/>
      <c r="M220" s="115"/>
      <c r="N220" s="193" t="s">
        <v>601</v>
      </c>
      <c r="O220" s="194"/>
      <c r="P220" s="195" t="s">
        <v>49</v>
      </c>
      <c r="Q220" s="195"/>
      <c r="R220" s="196"/>
    </row>
    <row r="221" spans="1:18" s="167" customFormat="1" ht="62.1" hidden="1" customHeight="1">
      <c r="B221" s="168" t="s">
        <v>54</v>
      </c>
      <c r="C221" s="169"/>
      <c r="D221" s="170" t="s">
        <v>602</v>
      </c>
      <c r="E221" s="171" t="s">
        <v>46</v>
      </c>
      <c r="F221" s="117"/>
      <c r="G221" s="118"/>
      <c r="H221" s="118"/>
      <c r="I221" s="118"/>
      <c r="J221" s="173">
        <v>45070</v>
      </c>
      <c r="K221" s="174">
        <v>1084265</v>
      </c>
      <c r="L221" s="115"/>
      <c r="M221" s="115"/>
      <c r="N221" s="182" t="s">
        <v>603</v>
      </c>
      <c r="O221" s="185"/>
      <c r="P221" s="176" t="s">
        <v>49</v>
      </c>
      <c r="Q221" s="176"/>
      <c r="R221" s="177"/>
    </row>
    <row r="222" spans="1:18" s="167" customFormat="1" ht="51.95" hidden="1" customHeight="1">
      <c r="B222" s="168" t="s">
        <v>214</v>
      </c>
      <c r="C222" s="169"/>
      <c r="D222" s="170" t="s">
        <v>604</v>
      </c>
      <c r="E222" s="171" t="s">
        <v>46</v>
      </c>
      <c r="F222" s="117"/>
      <c r="G222" s="118"/>
      <c r="H222" s="118"/>
      <c r="I222" s="118"/>
      <c r="J222" s="173">
        <v>45071</v>
      </c>
      <c r="K222" s="174">
        <v>1084264</v>
      </c>
      <c r="L222" s="115"/>
      <c r="M222" s="115"/>
      <c r="N222" s="182" t="s">
        <v>605</v>
      </c>
      <c r="O222" s="185"/>
      <c r="P222" s="176" t="s">
        <v>49</v>
      </c>
      <c r="Q222" s="176"/>
      <c r="R222" s="177"/>
    </row>
    <row r="223" spans="1:18" s="167" customFormat="1" ht="63.95" hidden="1">
      <c r="B223" s="168" t="s">
        <v>79</v>
      </c>
      <c r="C223" s="169"/>
      <c r="D223" s="170" t="s">
        <v>606</v>
      </c>
      <c r="E223" s="171" t="s">
        <v>46</v>
      </c>
      <c r="F223" s="117"/>
      <c r="G223" s="118"/>
      <c r="H223" s="118"/>
      <c r="I223" s="118"/>
      <c r="J223" s="173">
        <v>45071</v>
      </c>
      <c r="K223" s="174">
        <v>1085927</v>
      </c>
      <c r="L223" s="115"/>
      <c r="M223" s="115"/>
      <c r="N223" s="182" t="s">
        <v>607</v>
      </c>
      <c r="O223" s="185"/>
      <c r="P223" s="176" t="s">
        <v>49</v>
      </c>
      <c r="Q223" s="176"/>
      <c r="R223" s="177"/>
    </row>
    <row r="224" spans="1:18" s="167" customFormat="1" ht="96" hidden="1">
      <c r="B224" s="168" t="s">
        <v>86</v>
      </c>
      <c r="C224" s="169"/>
      <c r="D224" s="170" t="s">
        <v>608</v>
      </c>
      <c r="E224" s="171" t="s">
        <v>46</v>
      </c>
      <c r="F224" s="117"/>
      <c r="G224" s="118"/>
      <c r="H224" s="118"/>
      <c r="I224" s="118"/>
      <c r="J224" s="173">
        <v>45072</v>
      </c>
      <c r="K224" s="174">
        <v>1084856</v>
      </c>
      <c r="L224" s="115"/>
      <c r="M224" s="115"/>
      <c r="N224" s="182" t="s">
        <v>609</v>
      </c>
      <c r="O224" s="185"/>
      <c r="P224" s="176" t="s">
        <v>49</v>
      </c>
      <c r="Q224" s="176"/>
      <c r="R224" s="177"/>
    </row>
    <row r="225" spans="1:18" s="167" customFormat="1" ht="63.95" hidden="1">
      <c r="B225" s="168" t="s">
        <v>610</v>
      </c>
      <c r="C225" s="169"/>
      <c r="D225" s="170" t="s">
        <v>611</v>
      </c>
      <c r="E225" s="171" t="s">
        <v>46</v>
      </c>
      <c r="F225" s="117"/>
      <c r="G225" s="118"/>
      <c r="H225" s="118"/>
      <c r="I225" s="118"/>
      <c r="J225" s="173">
        <v>45074</v>
      </c>
      <c r="K225" s="174">
        <v>1087706</v>
      </c>
      <c r="L225" s="115"/>
      <c r="M225" s="115"/>
      <c r="N225" s="182" t="s">
        <v>612</v>
      </c>
      <c r="O225" s="185"/>
      <c r="P225" s="176" t="s">
        <v>49</v>
      </c>
      <c r="Q225" s="176"/>
      <c r="R225" s="177"/>
    </row>
    <row r="226" spans="1:18" s="167" customFormat="1" ht="63.95" hidden="1">
      <c r="B226" s="168" t="s">
        <v>54</v>
      </c>
      <c r="C226" s="169"/>
      <c r="D226" s="170" t="s">
        <v>613</v>
      </c>
      <c r="E226" s="171" t="s">
        <v>46</v>
      </c>
      <c r="F226" s="117"/>
      <c r="G226" s="118"/>
      <c r="H226" s="118"/>
      <c r="I226" s="118"/>
      <c r="J226" s="173">
        <v>45075</v>
      </c>
      <c r="K226" s="174">
        <v>1091712</v>
      </c>
      <c r="L226" s="115"/>
      <c r="M226" s="115"/>
      <c r="N226" s="182" t="s">
        <v>614</v>
      </c>
      <c r="O226" s="185"/>
      <c r="P226" s="176" t="s">
        <v>49</v>
      </c>
      <c r="Q226" s="176"/>
      <c r="R226" s="177"/>
    </row>
    <row r="227" spans="1:18" s="125" customFormat="1" ht="41.1" hidden="1" customHeight="1">
      <c r="A227" s="167"/>
      <c r="B227" s="168" t="s">
        <v>86</v>
      </c>
      <c r="C227" s="169"/>
      <c r="D227" s="170" t="s">
        <v>615</v>
      </c>
      <c r="E227" s="171" t="s">
        <v>46</v>
      </c>
      <c r="F227" s="117"/>
      <c r="G227" s="118"/>
      <c r="H227" s="118"/>
      <c r="I227" s="118"/>
      <c r="J227" s="173">
        <v>45078</v>
      </c>
      <c r="K227" s="174">
        <v>1093763</v>
      </c>
      <c r="L227" s="115"/>
      <c r="M227" s="115"/>
      <c r="N227" s="182" t="s">
        <v>616</v>
      </c>
      <c r="O227" s="185"/>
      <c r="P227" s="176" t="s">
        <v>49</v>
      </c>
      <c r="Q227" s="176"/>
      <c r="R227" s="177"/>
    </row>
    <row r="228" spans="1:18" s="125" customFormat="1" ht="32.1" hidden="1">
      <c r="A228" s="167"/>
      <c r="B228" s="168" t="s">
        <v>63</v>
      </c>
      <c r="C228" s="169"/>
      <c r="D228" s="170" t="s">
        <v>617</v>
      </c>
      <c r="E228" s="171" t="s">
        <v>46</v>
      </c>
      <c r="F228" s="117"/>
      <c r="G228" s="118"/>
      <c r="H228" s="118"/>
      <c r="I228" s="118"/>
      <c r="J228" s="173">
        <v>45079</v>
      </c>
      <c r="K228" s="174">
        <v>1097820</v>
      </c>
      <c r="L228" s="115"/>
      <c r="M228" s="115"/>
      <c r="N228" s="182" t="s">
        <v>618</v>
      </c>
      <c r="O228" s="185"/>
      <c r="P228" s="176" t="s">
        <v>49</v>
      </c>
      <c r="Q228" s="176"/>
      <c r="R228" s="177"/>
    </row>
    <row r="229" spans="1:18" s="167" customFormat="1" ht="50.1" hidden="1" customHeight="1">
      <c r="B229" s="168" t="s">
        <v>413</v>
      </c>
      <c r="C229" s="169"/>
      <c r="D229" s="170" t="s">
        <v>619</v>
      </c>
      <c r="E229" s="171" t="s">
        <v>46</v>
      </c>
      <c r="F229" s="117"/>
      <c r="G229" s="118"/>
      <c r="H229" s="118"/>
      <c r="I229" s="118"/>
      <c r="J229" s="173">
        <v>45080</v>
      </c>
      <c r="K229" s="174">
        <v>1101610</v>
      </c>
      <c r="L229" s="115"/>
      <c r="M229" s="115"/>
      <c r="N229" s="182" t="s">
        <v>620</v>
      </c>
      <c r="O229" s="185"/>
      <c r="P229" s="176" t="s">
        <v>49</v>
      </c>
      <c r="Q229" s="176"/>
      <c r="R229" s="177"/>
    </row>
    <row r="230" spans="1:18" s="167" customFormat="1" ht="63.95" hidden="1">
      <c r="B230" s="168" t="s">
        <v>170</v>
      </c>
      <c r="C230" s="169"/>
      <c r="D230" s="170" t="s">
        <v>621</v>
      </c>
      <c r="E230" s="171" t="s">
        <v>46</v>
      </c>
      <c r="F230" s="117"/>
      <c r="G230" s="118"/>
      <c r="H230" s="118"/>
      <c r="I230" s="118"/>
      <c r="J230" s="173">
        <v>45084</v>
      </c>
      <c r="K230" s="174">
        <v>1105122</v>
      </c>
      <c r="L230" s="115"/>
      <c r="M230" s="115"/>
      <c r="N230" s="182" t="s">
        <v>622</v>
      </c>
      <c r="O230" s="185"/>
      <c r="P230" s="176" t="s">
        <v>49</v>
      </c>
      <c r="Q230" s="176"/>
      <c r="R230" s="177"/>
    </row>
    <row r="231" spans="1:18" s="167" customFormat="1" ht="111.95" hidden="1">
      <c r="B231" s="168" t="s">
        <v>170</v>
      </c>
      <c r="C231" s="169"/>
      <c r="D231" s="170" t="s">
        <v>623</v>
      </c>
      <c r="E231" s="171" t="s">
        <v>46</v>
      </c>
      <c r="F231" s="117"/>
      <c r="G231" s="118"/>
      <c r="H231" s="118"/>
      <c r="I231" s="118"/>
      <c r="J231" s="173">
        <v>45084</v>
      </c>
      <c r="K231" s="174">
        <v>1105347</v>
      </c>
      <c r="L231" s="115"/>
      <c r="M231" s="115"/>
      <c r="N231" s="182" t="s">
        <v>624</v>
      </c>
      <c r="O231" s="200" t="s">
        <v>625</v>
      </c>
      <c r="P231" s="176" t="s">
        <v>49</v>
      </c>
      <c r="Q231" s="176"/>
      <c r="R231" s="177"/>
    </row>
    <row r="232" spans="1:18" s="167" customFormat="1" ht="128.1" hidden="1">
      <c r="B232" s="168" t="s">
        <v>50</v>
      </c>
      <c r="C232" s="169"/>
      <c r="D232" s="170" t="s">
        <v>626</v>
      </c>
      <c r="E232" s="171" t="s">
        <v>46</v>
      </c>
      <c r="F232" s="117"/>
      <c r="G232" s="118"/>
      <c r="H232" s="118"/>
      <c r="I232" s="118"/>
      <c r="J232" s="173">
        <v>45084</v>
      </c>
      <c r="K232" s="174">
        <v>1107345</v>
      </c>
      <c r="L232" s="115"/>
      <c r="M232" s="115"/>
      <c r="N232" s="182" t="s">
        <v>627</v>
      </c>
      <c r="O232" s="185"/>
      <c r="P232" s="176" t="s">
        <v>49</v>
      </c>
      <c r="Q232" s="176"/>
      <c r="R232" s="177"/>
    </row>
    <row r="233" spans="1:18" s="125" customFormat="1" ht="98.1" hidden="1" customHeight="1">
      <c r="A233" s="167"/>
      <c r="B233" s="168" t="s">
        <v>71</v>
      </c>
      <c r="C233" s="169"/>
      <c r="D233" s="170" t="s">
        <v>628</v>
      </c>
      <c r="E233" s="171" t="s">
        <v>46</v>
      </c>
      <c r="F233" s="117"/>
      <c r="G233" s="118"/>
      <c r="H233" s="118"/>
      <c r="I233" s="118"/>
      <c r="J233" s="173">
        <v>45085</v>
      </c>
      <c r="K233" s="174">
        <v>1106869</v>
      </c>
      <c r="L233" s="115"/>
      <c r="M233" s="115"/>
      <c r="N233" s="182" t="s">
        <v>629</v>
      </c>
      <c r="O233" s="185"/>
      <c r="P233" s="176" t="s">
        <v>49</v>
      </c>
      <c r="Q233" s="176"/>
      <c r="R233" s="177"/>
    </row>
    <row r="234" spans="1:18" s="125" customFormat="1" ht="159" hidden="1" customHeight="1">
      <c r="A234" s="167"/>
      <c r="B234" s="168" t="s">
        <v>178</v>
      </c>
      <c r="C234" s="169"/>
      <c r="D234" s="170" t="s">
        <v>630</v>
      </c>
      <c r="E234" s="171" t="s">
        <v>46</v>
      </c>
      <c r="F234" s="117"/>
      <c r="G234" s="118"/>
      <c r="H234" s="118"/>
      <c r="I234" s="118"/>
      <c r="J234" s="173">
        <v>45085</v>
      </c>
      <c r="K234" s="174">
        <v>1110366</v>
      </c>
      <c r="L234" s="115"/>
      <c r="M234" s="115"/>
      <c r="N234" s="182" t="s">
        <v>629</v>
      </c>
      <c r="O234" s="185"/>
      <c r="P234" s="176" t="s">
        <v>49</v>
      </c>
      <c r="Q234" s="176"/>
      <c r="R234" s="177"/>
    </row>
    <row r="235" spans="1:18" s="167" customFormat="1" ht="57" hidden="1" customHeight="1">
      <c r="B235" s="168" t="s">
        <v>156</v>
      </c>
      <c r="C235" s="169"/>
      <c r="D235" s="170" t="s">
        <v>631</v>
      </c>
      <c r="E235" s="171" t="s">
        <v>46</v>
      </c>
      <c r="F235" s="117"/>
      <c r="G235" s="118"/>
      <c r="H235" s="118"/>
      <c r="I235" s="118"/>
      <c r="J235" s="173">
        <v>45086</v>
      </c>
      <c r="K235" s="174">
        <v>1113389</v>
      </c>
      <c r="L235" s="115"/>
      <c r="M235" s="115"/>
      <c r="N235" s="182" t="s">
        <v>629</v>
      </c>
      <c r="O235" s="185"/>
      <c r="P235" s="176" t="s">
        <v>49</v>
      </c>
      <c r="Q235" s="176"/>
      <c r="R235" s="177"/>
    </row>
    <row r="236" spans="1:18" s="167" customFormat="1" ht="63.95" hidden="1">
      <c r="B236" s="168" t="s">
        <v>178</v>
      </c>
      <c r="C236" s="169"/>
      <c r="D236" s="170" t="s">
        <v>632</v>
      </c>
      <c r="E236" s="171" t="s">
        <v>46</v>
      </c>
      <c r="F236" s="117"/>
      <c r="G236" s="118"/>
      <c r="H236" s="118"/>
      <c r="I236" s="118"/>
      <c r="J236" s="173">
        <v>45086</v>
      </c>
      <c r="K236" s="174">
        <v>1113752</v>
      </c>
      <c r="L236" s="115"/>
      <c r="M236" s="115"/>
      <c r="N236" s="182" t="s">
        <v>633</v>
      </c>
      <c r="O236" s="200" t="s">
        <v>634</v>
      </c>
      <c r="P236" s="176" t="s">
        <v>49</v>
      </c>
      <c r="Q236" s="176"/>
      <c r="R236" s="177"/>
    </row>
    <row r="237" spans="1:18" s="167" customFormat="1" ht="102" hidden="1" customHeight="1">
      <c r="B237" s="168" t="s">
        <v>222</v>
      </c>
      <c r="C237" s="169"/>
      <c r="D237" s="170" t="s">
        <v>635</v>
      </c>
      <c r="E237" s="171" t="s">
        <v>46</v>
      </c>
      <c r="F237" s="117"/>
      <c r="G237" s="118"/>
      <c r="H237" s="118"/>
      <c r="I237" s="118"/>
      <c r="J237" s="173">
        <v>45086</v>
      </c>
      <c r="K237" s="174">
        <v>1113776</v>
      </c>
      <c r="L237" s="115"/>
      <c r="M237" s="115"/>
      <c r="N237" s="182" t="s">
        <v>636</v>
      </c>
      <c r="O237" s="185"/>
      <c r="P237" s="176" t="s">
        <v>49</v>
      </c>
      <c r="Q237" s="176"/>
      <c r="R237" s="177"/>
    </row>
    <row r="238" spans="1:18" s="167" customFormat="1" ht="32.1" hidden="1">
      <c r="B238" s="168" t="s">
        <v>174</v>
      </c>
      <c r="C238" s="169"/>
      <c r="D238" s="170" t="s">
        <v>637</v>
      </c>
      <c r="E238" s="171" t="s">
        <v>46</v>
      </c>
      <c r="F238" s="117"/>
      <c r="G238" s="118"/>
      <c r="H238" s="118"/>
      <c r="I238" s="118"/>
      <c r="J238" s="173">
        <v>45086</v>
      </c>
      <c r="K238" s="174">
        <v>1113919</v>
      </c>
      <c r="L238" s="115"/>
      <c r="M238" s="115"/>
      <c r="N238" s="182" t="s">
        <v>638</v>
      </c>
      <c r="O238" s="185"/>
      <c r="P238" s="176" t="s">
        <v>49</v>
      </c>
      <c r="Q238" s="176"/>
      <c r="R238" s="177"/>
    </row>
    <row r="239" spans="1:18" s="167" customFormat="1" ht="32.1" hidden="1">
      <c r="B239" s="168" t="s">
        <v>170</v>
      </c>
      <c r="C239" s="169"/>
      <c r="D239" s="170" t="s">
        <v>639</v>
      </c>
      <c r="E239" s="171" t="s">
        <v>46</v>
      </c>
      <c r="F239" s="117"/>
      <c r="G239" s="118"/>
      <c r="H239" s="118"/>
      <c r="I239" s="118"/>
      <c r="J239" s="173">
        <v>45090</v>
      </c>
      <c r="K239" s="369">
        <v>1118847</v>
      </c>
      <c r="L239" s="115"/>
      <c r="M239" s="115"/>
      <c r="N239" s="182" t="s">
        <v>640</v>
      </c>
      <c r="O239" s="185"/>
      <c r="P239" s="176" t="s">
        <v>49</v>
      </c>
      <c r="Q239" s="176"/>
      <c r="R239" s="177"/>
    </row>
    <row r="240" spans="1:18" s="186" customFormat="1" ht="63.95" hidden="1">
      <c r="A240" s="167"/>
      <c r="B240" s="168" t="s">
        <v>58</v>
      </c>
      <c r="C240" s="169"/>
      <c r="D240" s="170" t="s">
        <v>641</v>
      </c>
      <c r="E240" s="171" t="s">
        <v>46</v>
      </c>
      <c r="F240" s="117"/>
      <c r="G240" s="118"/>
      <c r="H240" s="118"/>
      <c r="I240" s="118"/>
      <c r="J240" s="173">
        <v>45090</v>
      </c>
      <c r="K240" s="364">
        <v>1119429</v>
      </c>
      <c r="L240" s="115"/>
      <c r="M240" s="115"/>
      <c r="N240" s="182" t="s">
        <v>642</v>
      </c>
      <c r="O240" s="200" t="s">
        <v>643</v>
      </c>
      <c r="P240" s="176" t="s">
        <v>49</v>
      </c>
      <c r="Q240" s="176"/>
      <c r="R240" s="177"/>
    </row>
    <row r="241" spans="1:18" s="167" customFormat="1" ht="69" hidden="1" customHeight="1">
      <c r="B241" s="168" t="s">
        <v>43</v>
      </c>
      <c r="C241" s="169"/>
      <c r="D241" s="170" t="s">
        <v>644</v>
      </c>
      <c r="E241" s="171" t="s">
        <v>46</v>
      </c>
      <c r="F241" s="117"/>
      <c r="G241" s="118"/>
      <c r="H241" s="118"/>
      <c r="I241" s="118"/>
      <c r="J241" s="173">
        <v>45092</v>
      </c>
      <c r="K241" s="305">
        <v>1121261</v>
      </c>
      <c r="L241" s="115"/>
      <c r="M241" s="115"/>
      <c r="N241" s="182" t="s">
        <v>645</v>
      </c>
      <c r="O241" s="185"/>
      <c r="P241" s="176" t="s">
        <v>49</v>
      </c>
      <c r="Q241" s="176"/>
      <c r="R241" s="177"/>
    </row>
    <row r="242" spans="1:18" s="167" customFormat="1" ht="140.1" hidden="1" customHeight="1">
      <c r="B242" s="168" t="s">
        <v>178</v>
      </c>
      <c r="C242" s="169"/>
      <c r="D242" s="170" t="s">
        <v>646</v>
      </c>
      <c r="E242" s="171" t="s">
        <v>46</v>
      </c>
      <c r="F242" s="117"/>
      <c r="G242" s="118"/>
      <c r="H242" s="118"/>
      <c r="I242" s="118"/>
      <c r="J242" s="173">
        <v>45092</v>
      </c>
      <c r="K242" s="174">
        <v>1124582</v>
      </c>
      <c r="L242" s="115"/>
      <c r="M242" s="115"/>
      <c r="N242" s="182" t="s">
        <v>647</v>
      </c>
      <c r="O242" s="185"/>
      <c r="P242" s="176" t="s">
        <v>49</v>
      </c>
      <c r="Q242" s="176"/>
      <c r="R242" s="177"/>
    </row>
    <row r="243" spans="1:18" s="167" customFormat="1" ht="96" hidden="1">
      <c r="B243" s="48" t="s">
        <v>138</v>
      </c>
      <c r="C243" s="169"/>
      <c r="D243" s="170" t="s">
        <v>648</v>
      </c>
      <c r="E243" s="171" t="s">
        <v>46</v>
      </c>
      <c r="F243" s="117"/>
      <c r="G243" s="118"/>
      <c r="H243" s="118"/>
      <c r="I243" s="118"/>
      <c r="J243" s="173">
        <v>45093</v>
      </c>
      <c r="K243" s="174">
        <v>1123274</v>
      </c>
      <c r="L243" s="115"/>
      <c r="M243" s="115"/>
      <c r="N243" s="205" t="s">
        <v>649</v>
      </c>
      <c r="O243" s="185"/>
      <c r="P243" s="176" t="s">
        <v>49</v>
      </c>
      <c r="Q243" s="176"/>
      <c r="R243" s="177"/>
    </row>
    <row r="244" spans="1:18" s="167" customFormat="1" ht="48" hidden="1">
      <c r="B244" s="168" t="s">
        <v>146</v>
      </c>
      <c r="C244" s="169"/>
      <c r="D244" s="170" t="s">
        <v>650</v>
      </c>
      <c r="E244" s="171" t="s">
        <v>46</v>
      </c>
      <c r="F244" s="117"/>
      <c r="G244" s="118"/>
      <c r="H244" s="118"/>
      <c r="I244" s="118"/>
      <c r="J244" s="173">
        <v>45093</v>
      </c>
      <c r="K244" s="174">
        <v>1126809</v>
      </c>
      <c r="L244" s="115"/>
      <c r="M244" s="115"/>
      <c r="N244" s="205" t="s">
        <v>651</v>
      </c>
      <c r="O244" s="185"/>
      <c r="P244" s="176" t="s">
        <v>49</v>
      </c>
      <c r="Q244" s="176"/>
      <c r="R244" s="177"/>
    </row>
    <row r="245" spans="1:18" s="167" customFormat="1" ht="75.95" hidden="1" customHeight="1">
      <c r="A245" s="1"/>
      <c r="B245" s="48" t="s">
        <v>138</v>
      </c>
      <c r="C245" s="115"/>
      <c r="D245" s="116" t="s">
        <v>648</v>
      </c>
      <c r="E245" s="171" t="s">
        <v>46</v>
      </c>
      <c r="F245" s="117"/>
      <c r="G245" s="118"/>
      <c r="H245" s="118"/>
      <c r="I245" s="118"/>
      <c r="J245" s="119">
        <v>45093.308819444443</v>
      </c>
      <c r="K245" s="120" t="s">
        <v>652</v>
      </c>
      <c r="L245" s="115"/>
      <c r="M245" s="115"/>
      <c r="N245" s="204" t="s">
        <v>653</v>
      </c>
      <c r="O245" s="163"/>
      <c r="P245" s="53" t="s">
        <v>49</v>
      </c>
      <c r="Q245" s="53"/>
      <c r="R245" s="54"/>
    </row>
    <row r="246" spans="1:18" s="167" customFormat="1" ht="32.1" hidden="1">
      <c r="B246" s="168" t="s">
        <v>146</v>
      </c>
      <c r="C246" s="169"/>
      <c r="D246" s="170" t="s">
        <v>650</v>
      </c>
      <c r="E246" s="171" t="s">
        <v>46</v>
      </c>
      <c r="F246" s="117"/>
      <c r="G246" s="118"/>
      <c r="H246" s="118"/>
      <c r="I246" s="118"/>
      <c r="J246" s="173">
        <v>45093.992129629631</v>
      </c>
      <c r="K246" s="174" t="s">
        <v>654</v>
      </c>
      <c r="L246" s="115"/>
      <c r="M246" s="115"/>
      <c r="N246" s="182" t="s">
        <v>655</v>
      </c>
      <c r="O246" s="185"/>
      <c r="P246" s="176" t="s">
        <v>49</v>
      </c>
      <c r="Q246" s="176"/>
      <c r="R246" s="177"/>
    </row>
    <row r="247" spans="1:18" s="167" customFormat="1" ht="48" hidden="1">
      <c r="B247" s="168" t="s">
        <v>54</v>
      </c>
      <c r="C247" s="169"/>
      <c r="D247" s="170" t="s">
        <v>656</v>
      </c>
      <c r="E247" s="171" t="s">
        <v>46</v>
      </c>
      <c r="F247" s="117"/>
      <c r="G247" s="118"/>
      <c r="H247" s="118"/>
      <c r="I247" s="118"/>
      <c r="J247" s="173">
        <v>45096</v>
      </c>
      <c r="K247" s="174">
        <v>1131514</v>
      </c>
      <c r="L247" s="115"/>
      <c r="M247" s="115"/>
      <c r="N247" s="205" t="s">
        <v>657</v>
      </c>
      <c r="O247" s="185"/>
      <c r="P247" s="176" t="s">
        <v>49</v>
      </c>
      <c r="Q247" s="176"/>
      <c r="R247" s="177"/>
    </row>
    <row r="248" spans="1:18" s="167" customFormat="1" ht="44.1" hidden="1" customHeight="1">
      <c r="B248" s="168" t="s">
        <v>50</v>
      </c>
      <c r="C248" s="169"/>
      <c r="D248" s="170" t="s">
        <v>658</v>
      </c>
      <c r="E248" s="171" t="s">
        <v>46</v>
      </c>
      <c r="F248" s="117"/>
      <c r="G248" s="118"/>
      <c r="H248" s="118"/>
      <c r="I248" s="118"/>
      <c r="J248" s="173">
        <v>45097</v>
      </c>
      <c r="K248" s="174">
        <v>1133231</v>
      </c>
      <c r="L248" s="115"/>
      <c r="M248" s="115"/>
      <c r="N248" s="182" t="s">
        <v>659</v>
      </c>
      <c r="O248" s="185"/>
      <c r="P248" s="176" t="s">
        <v>49</v>
      </c>
      <c r="Q248" s="176"/>
      <c r="R248" s="177"/>
    </row>
    <row r="249" spans="1:18" s="167" customFormat="1" ht="32.1" hidden="1">
      <c r="B249" s="168" t="s">
        <v>79</v>
      </c>
      <c r="C249" s="169"/>
      <c r="D249" s="170" t="s">
        <v>660</v>
      </c>
      <c r="E249" s="171" t="s">
        <v>46</v>
      </c>
      <c r="F249" s="117"/>
      <c r="G249" s="118"/>
      <c r="H249" s="118"/>
      <c r="I249" s="118"/>
      <c r="J249" s="173">
        <v>45097</v>
      </c>
      <c r="K249" s="174">
        <v>1133319</v>
      </c>
      <c r="L249" s="115"/>
      <c r="M249" s="115"/>
      <c r="N249" s="182" t="s">
        <v>661</v>
      </c>
      <c r="O249" s="185"/>
      <c r="P249" s="176" t="s">
        <v>49</v>
      </c>
      <c r="Q249" s="176"/>
      <c r="R249" s="177"/>
    </row>
    <row r="250" spans="1:18" s="167" customFormat="1" ht="113.1" hidden="1" customHeight="1">
      <c r="B250" s="48" t="s">
        <v>138</v>
      </c>
      <c r="C250" s="169"/>
      <c r="D250" s="170" t="s">
        <v>662</v>
      </c>
      <c r="E250" s="171" t="s">
        <v>46</v>
      </c>
      <c r="F250" s="117"/>
      <c r="G250" s="118"/>
      <c r="H250" s="118"/>
      <c r="I250" s="118"/>
      <c r="J250" s="173">
        <v>45098</v>
      </c>
      <c r="K250" s="174">
        <v>1131515</v>
      </c>
      <c r="L250" s="115"/>
      <c r="M250" s="115"/>
      <c r="N250" s="182" t="s">
        <v>663</v>
      </c>
      <c r="O250" s="185"/>
      <c r="P250" s="176" t="s">
        <v>49</v>
      </c>
      <c r="Q250" s="176"/>
      <c r="R250" s="177"/>
    </row>
    <row r="251" spans="1:18" s="167" customFormat="1" ht="39" hidden="1" customHeight="1">
      <c r="B251" s="168" t="s">
        <v>138</v>
      </c>
      <c r="C251" s="169"/>
      <c r="D251" s="170" t="s">
        <v>664</v>
      </c>
      <c r="E251" s="171" t="s">
        <v>46</v>
      </c>
      <c r="F251" s="117"/>
      <c r="G251" s="118"/>
      <c r="H251" s="118"/>
      <c r="I251" s="118"/>
      <c r="J251" s="173">
        <v>45098</v>
      </c>
      <c r="K251" s="174">
        <v>1131516</v>
      </c>
      <c r="L251" s="115"/>
      <c r="M251" s="115"/>
      <c r="N251" s="182" t="s">
        <v>665</v>
      </c>
      <c r="O251" s="185"/>
      <c r="P251" s="176" t="s">
        <v>49</v>
      </c>
      <c r="Q251" s="176"/>
      <c r="R251" s="177"/>
    </row>
    <row r="252" spans="1:18" s="167" customFormat="1" ht="63.95" hidden="1" customHeight="1">
      <c r="B252" s="48" t="s">
        <v>138</v>
      </c>
      <c r="C252" s="169"/>
      <c r="D252" s="170" t="s">
        <v>666</v>
      </c>
      <c r="E252" s="171" t="s">
        <v>46</v>
      </c>
      <c r="F252" s="117"/>
      <c r="G252" s="118"/>
      <c r="H252" s="118"/>
      <c r="I252" s="118"/>
      <c r="J252" s="173">
        <v>45098</v>
      </c>
      <c r="K252" s="174">
        <v>1131690</v>
      </c>
      <c r="L252" s="115"/>
      <c r="M252" s="115"/>
      <c r="N252" s="182" t="s">
        <v>663</v>
      </c>
      <c r="O252" s="185"/>
      <c r="P252" s="176" t="s">
        <v>49</v>
      </c>
      <c r="Q252" s="176"/>
      <c r="R252" s="177"/>
    </row>
    <row r="253" spans="1:18" s="167" customFormat="1" ht="32.1" hidden="1">
      <c r="B253" s="168" t="s">
        <v>63</v>
      </c>
      <c r="C253" s="169"/>
      <c r="D253" s="170" t="s">
        <v>667</v>
      </c>
      <c r="E253" s="171" t="s">
        <v>46</v>
      </c>
      <c r="F253" s="117"/>
      <c r="G253" s="118"/>
      <c r="H253" s="118"/>
      <c r="I253" s="118"/>
      <c r="J253" s="173">
        <v>45098</v>
      </c>
      <c r="K253" s="174">
        <v>1133218</v>
      </c>
      <c r="L253" s="115"/>
      <c r="M253" s="115"/>
      <c r="N253" s="182" t="s">
        <v>657</v>
      </c>
      <c r="O253" s="185"/>
      <c r="P253" s="176" t="s">
        <v>49</v>
      </c>
      <c r="Q253" s="176"/>
      <c r="R253" s="177"/>
    </row>
    <row r="254" spans="1:18" s="167" customFormat="1" ht="69.95" hidden="1" customHeight="1">
      <c r="B254" s="168" t="s">
        <v>54</v>
      </c>
      <c r="C254" s="169"/>
      <c r="D254" s="170" t="s">
        <v>668</v>
      </c>
      <c r="E254" s="171" t="s">
        <v>46</v>
      </c>
      <c r="F254" s="117"/>
      <c r="G254" s="118"/>
      <c r="H254" s="118"/>
      <c r="I254" s="118"/>
      <c r="J254" s="173">
        <v>45098</v>
      </c>
      <c r="K254" s="174">
        <v>1135016</v>
      </c>
      <c r="L254" s="115"/>
      <c r="M254" s="115"/>
      <c r="N254" s="182" t="s">
        <v>657</v>
      </c>
      <c r="O254" s="185"/>
      <c r="P254" s="176" t="s">
        <v>49</v>
      </c>
      <c r="Q254" s="176"/>
      <c r="R254" s="177"/>
    </row>
    <row r="255" spans="1:18" s="167" customFormat="1" ht="39.950000000000003" hidden="1" customHeight="1">
      <c r="B255" s="168" t="s">
        <v>163</v>
      </c>
      <c r="C255" s="169"/>
      <c r="D255" s="170" t="s">
        <v>639</v>
      </c>
      <c r="E255" s="171" t="s">
        <v>46</v>
      </c>
      <c r="F255" s="117"/>
      <c r="G255" s="118"/>
      <c r="H255" s="118"/>
      <c r="I255" s="118"/>
      <c r="J255" s="173">
        <v>45099</v>
      </c>
      <c r="K255" s="174">
        <v>1133873</v>
      </c>
      <c r="L255" s="115"/>
      <c r="M255" s="115"/>
      <c r="N255" s="182" t="s">
        <v>669</v>
      </c>
      <c r="O255" s="185"/>
      <c r="P255" s="176" t="s">
        <v>49</v>
      </c>
      <c r="Q255" s="176"/>
      <c r="R255" s="177"/>
    </row>
    <row r="256" spans="1:18" s="167" customFormat="1" ht="159.94999999999999" hidden="1">
      <c r="B256" s="168" t="s">
        <v>214</v>
      </c>
      <c r="C256" s="169"/>
      <c r="D256" s="170" t="s">
        <v>670</v>
      </c>
      <c r="E256" s="171" t="s">
        <v>46</v>
      </c>
      <c r="F256" s="117"/>
      <c r="G256" s="118"/>
      <c r="H256" s="118"/>
      <c r="I256" s="118"/>
      <c r="J256" s="173">
        <v>45099</v>
      </c>
      <c r="K256" s="174">
        <v>1135297</v>
      </c>
      <c r="L256" s="115"/>
      <c r="M256" s="115"/>
      <c r="N256" s="182" t="s">
        <v>671</v>
      </c>
      <c r="O256" s="185"/>
      <c r="P256" s="176" t="s">
        <v>49</v>
      </c>
      <c r="Q256" s="176"/>
      <c r="R256" s="177"/>
    </row>
    <row r="257" spans="1:18" s="167" customFormat="1" ht="32.1" hidden="1">
      <c r="B257" s="168" t="s">
        <v>99</v>
      </c>
      <c r="C257" s="169"/>
      <c r="D257" s="170" t="s">
        <v>639</v>
      </c>
      <c r="E257" s="171" t="s">
        <v>46</v>
      </c>
      <c r="F257" s="117"/>
      <c r="G257" s="118"/>
      <c r="H257" s="118"/>
      <c r="I257" s="118"/>
      <c r="J257" s="173">
        <v>45099</v>
      </c>
      <c r="K257" s="174" t="s">
        <v>672</v>
      </c>
      <c r="L257" s="115"/>
      <c r="M257" s="115"/>
      <c r="N257" s="182" t="s">
        <v>673</v>
      </c>
      <c r="O257" s="185"/>
      <c r="P257" s="176" t="s">
        <v>49</v>
      </c>
      <c r="Q257" s="176"/>
      <c r="R257" s="177"/>
    </row>
    <row r="258" spans="1:18" s="167" customFormat="1" ht="101.1" hidden="1" customHeight="1">
      <c r="A258" s="1"/>
      <c r="B258" s="114" t="s">
        <v>214</v>
      </c>
      <c r="C258" s="115"/>
      <c r="D258" s="116" t="s">
        <v>670</v>
      </c>
      <c r="E258" s="171" t="s">
        <v>46</v>
      </c>
      <c r="F258" s="117"/>
      <c r="G258" s="118"/>
      <c r="H258" s="118"/>
      <c r="I258" s="118"/>
      <c r="J258" s="119">
        <v>45099.4375</v>
      </c>
      <c r="K258" s="120" t="s">
        <v>674</v>
      </c>
      <c r="L258" s="115"/>
      <c r="M258" s="115"/>
      <c r="N258" s="204"/>
      <c r="O258" s="163"/>
      <c r="P258" s="53" t="s">
        <v>49</v>
      </c>
      <c r="Q258" s="53"/>
      <c r="R258" s="54"/>
    </row>
    <row r="259" spans="1:18" s="167" customFormat="1" ht="60" hidden="1" customHeight="1">
      <c r="B259" s="168" t="s">
        <v>71</v>
      </c>
      <c r="C259" s="169"/>
      <c r="D259" s="170" t="s">
        <v>675</v>
      </c>
      <c r="E259" s="171" t="s">
        <v>46</v>
      </c>
      <c r="F259" s="117"/>
      <c r="G259" s="118"/>
      <c r="H259" s="118"/>
      <c r="I259" s="118"/>
      <c r="J259" s="173">
        <v>45100</v>
      </c>
      <c r="K259" s="369">
        <v>1135785</v>
      </c>
      <c r="L259" s="115"/>
      <c r="M259" s="115"/>
      <c r="N259" s="182" t="s">
        <v>657</v>
      </c>
      <c r="O259" s="185"/>
      <c r="P259" s="176" t="s">
        <v>49</v>
      </c>
      <c r="Q259" s="176"/>
      <c r="R259" s="177"/>
    </row>
    <row r="260" spans="1:18" s="167" customFormat="1" ht="32.1" hidden="1">
      <c r="B260" s="168" t="s">
        <v>58</v>
      </c>
      <c r="C260" s="169"/>
      <c r="D260" s="170" t="s">
        <v>676</v>
      </c>
      <c r="E260" s="171" t="s">
        <v>46</v>
      </c>
      <c r="F260" s="117"/>
      <c r="G260" s="118"/>
      <c r="H260" s="118"/>
      <c r="I260" s="118"/>
      <c r="J260" s="173">
        <v>45100</v>
      </c>
      <c r="K260" s="364">
        <v>1137479</v>
      </c>
      <c r="L260" s="115"/>
      <c r="M260" s="115"/>
      <c r="N260" s="182" t="s">
        <v>677</v>
      </c>
      <c r="O260" s="185"/>
      <c r="P260" s="176" t="s">
        <v>49</v>
      </c>
      <c r="Q260" s="176"/>
      <c r="R260" s="177"/>
    </row>
    <row r="261" spans="1:18" s="167" customFormat="1" ht="32.1" hidden="1">
      <c r="B261" s="168" t="s">
        <v>58</v>
      </c>
      <c r="C261" s="169"/>
      <c r="D261" s="170" t="s">
        <v>639</v>
      </c>
      <c r="E261" s="171" t="s">
        <v>46</v>
      </c>
      <c r="F261" s="117"/>
      <c r="G261" s="118"/>
      <c r="H261" s="118"/>
      <c r="I261" s="118"/>
      <c r="J261" s="173">
        <v>45100</v>
      </c>
      <c r="K261" s="364">
        <v>1138931</v>
      </c>
      <c r="L261" s="115"/>
      <c r="M261" s="115"/>
      <c r="N261" s="182" t="s">
        <v>673</v>
      </c>
      <c r="O261" s="185"/>
      <c r="P261" s="176" t="s">
        <v>49</v>
      </c>
      <c r="Q261" s="176"/>
      <c r="R261" s="177"/>
    </row>
    <row r="262" spans="1:18" s="167" customFormat="1" ht="66" hidden="1" customHeight="1">
      <c r="B262" s="168" t="s">
        <v>178</v>
      </c>
      <c r="C262" s="169"/>
      <c r="D262" s="170" t="s">
        <v>678</v>
      </c>
      <c r="E262" s="171" t="s">
        <v>46</v>
      </c>
      <c r="F262" s="117"/>
      <c r="G262" s="118"/>
      <c r="H262" s="118"/>
      <c r="I262" s="118"/>
      <c r="J262" s="173">
        <v>45100</v>
      </c>
      <c r="K262" s="335">
        <v>1138960</v>
      </c>
      <c r="L262" s="115"/>
      <c r="M262" s="115"/>
      <c r="N262" s="182" t="s">
        <v>673</v>
      </c>
      <c r="O262" s="185"/>
      <c r="P262" s="176" t="s">
        <v>49</v>
      </c>
      <c r="Q262" s="176"/>
      <c r="R262" s="177"/>
    </row>
    <row r="263" spans="1:18" s="167" customFormat="1" ht="66" hidden="1" customHeight="1">
      <c r="B263" s="168" t="s">
        <v>58</v>
      </c>
      <c r="C263" s="169"/>
      <c r="D263" s="170" t="s">
        <v>679</v>
      </c>
      <c r="E263" s="171" t="s">
        <v>46</v>
      </c>
      <c r="F263" s="117"/>
      <c r="G263" s="118"/>
      <c r="H263" s="118"/>
      <c r="I263" s="118"/>
      <c r="J263" s="173">
        <v>45100</v>
      </c>
      <c r="K263" s="364">
        <v>1139128</v>
      </c>
      <c r="L263" s="115"/>
      <c r="M263" s="115"/>
      <c r="N263" s="182" t="s">
        <v>680</v>
      </c>
      <c r="O263" s="185"/>
      <c r="P263" s="176" t="s">
        <v>49</v>
      </c>
      <c r="Q263" s="176"/>
      <c r="R263" s="177"/>
    </row>
    <row r="264" spans="1:18" ht="122.1" hidden="1" customHeight="1">
      <c r="A264" s="167"/>
      <c r="B264" s="168" t="s">
        <v>86</v>
      </c>
      <c r="C264" s="169"/>
      <c r="D264" s="170" t="s">
        <v>678</v>
      </c>
      <c r="E264" s="171" t="s">
        <v>46</v>
      </c>
      <c r="F264" s="117"/>
      <c r="G264" s="118"/>
      <c r="H264" s="118"/>
      <c r="I264" s="118"/>
      <c r="J264" s="173">
        <v>45103</v>
      </c>
      <c r="K264" s="305" t="s">
        <v>681</v>
      </c>
      <c r="L264" s="115"/>
      <c r="M264" s="115"/>
      <c r="N264" s="182" t="s">
        <v>673</v>
      </c>
      <c r="O264" s="185"/>
      <c r="P264" s="176" t="s">
        <v>49</v>
      </c>
      <c r="Q264" s="176"/>
      <c r="R264" s="177"/>
    </row>
    <row r="265" spans="1:18" s="167" customFormat="1" ht="66" hidden="1" customHeight="1">
      <c r="B265" s="168" t="s">
        <v>163</v>
      </c>
      <c r="C265" s="169"/>
      <c r="D265" s="170" t="s">
        <v>682</v>
      </c>
      <c r="E265" s="171" t="s">
        <v>46</v>
      </c>
      <c r="F265" s="117"/>
      <c r="G265" s="118"/>
      <c r="H265" s="118"/>
      <c r="I265" s="118"/>
      <c r="J265" s="173">
        <v>45104.375104166669</v>
      </c>
      <c r="K265" s="174">
        <v>1143884</v>
      </c>
      <c r="L265" s="115"/>
      <c r="M265" s="115"/>
      <c r="N265" s="182" t="s">
        <v>683</v>
      </c>
      <c r="O265" s="185"/>
      <c r="P265" s="176" t="s">
        <v>49</v>
      </c>
      <c r="Q265" s="176"/>
      <c r="R265" s="177"/>
    </row>
    <row r="266" spans="1:18" s="167" customFormat="1" ht="48" hidden="1">
      <c r="B266" s="168" t="s">
        <v>178</v>
      </c>
      <c r="C266" s="169"/>
      <c r="D266" s="170" t="s">
        <v>684</v>
      </c>
      <c r="E266" s="171" t="s">
        <v>46</v>
      </c>
      <c r="F266" s="117"/>
      <c r="G266" s="118"/>
      <c r="H266" s="118"/>
      <c r="I266" s="118"/>
      <c r="J266" s="173">
        <v>45104.821712962963</v>
      </c>
      <c r="K266" s="174">
        <v>1145792</v>
      </c>
      <c r="L266" s="115"/>
      <c r="M266" s="115"/>
      <c r="N266" s="182" t="s">
        <v>685</v>
      </c>
      <c r="O266" s="185"/>
      <c r="P266" s="176" t="s">
        <v>49</v>
      </c>
      <c r="Q266" s="176"/>
      <c r="R266" s="177"/>
    </row>
    <row r="267" spans="1:18" s="167" customFormat="1" ht="96" hidden="1">
      <c r="B267" s="168" t="s">
        <v>50</v>
      </c>
      <c r="C267" s="169"/>
      <c r="D267" s="170" t="s">
        <v>686</v>
      </c>
      <c r="E267" s="171" t="s">
        <v>46</v>
      </c>
      <c r="F267" s="117"/>
      <c r="G267" s="118"/>
      <c r="H267" s="118"/>
      <c r="I267" s="118"/>
      <c r="J267" s="173">
        <v>45105.033333333333</v>
      </c>
      <c r="K267" s="174">
        <v>1146254</v>
      </c>
      <c r="L267" s="115"/>
      <c r="M267" s="115"/>
      <c r="N267" s="182" t="s">
        <v>687</v>
      </c>
      <c r="O267" s="185"/>
      <c r="P267" s="176" t="s">
        <v>49</v>
      </c>
      <c r="Q267" s="176"/>
      <c r="R267" s="177"/>
    </row>
    <row r="268" spans="1:18" s="167" customFormat="1" ht="66" hidden="1" customHeight="1">
      <c r="B268" s="168" t="s">
        <v>54</v>
      </c>
      <c r="C268" s="169"/>
      <c r="D268" s="170" t="s">
        <v>688</v>
      </c>
      <c r="E268" s="171" t="s">
        <v>46</v>
      </c>
      <c r="F268" s="117"/>
      <c r="G268" s="118"/>
      <c r="H268" s="118"/>
      <c r="I268" s="118"/>
      <c r="J268" s="173">
        <v>45106.698645833334</v>
      </c>
      <c r="K268" s="174">
        <v>1149353</v>
      </c>
      <c r="L268" s="115"/>
      <c r="M268" s="115"/>
      <c r="N268" s="205" t="s">
        <v>689</v>
      </c>
      <c r="O268" s="185"/>
      <c r="P268" s="176" t="s">
        <v>49</v>
      </c>
      <c r="Q268" s="176"/>
      <c r="R268" s="177"/>
    </row>
    <row r="269" spans="1:18" s="167" customFormat="1" ht="168" hidden="1" customHeight="1">
      <c r="B269" s="168" t="s">
        <v>690</v>
      </c>
      <c r="C269" s="169"/>
      <c r="D269" s="170" t="s">
        <v>691</v>
      </c>
      <c r="E269" s="171" t="s">
        <v>46</v>
      </c>
      <c r="F269" s="117"/>
      <c r="G269" s="118"/>
      <c r="H269" s="118"/>
      <c r="I269" s="118"/>
      <c r="J269" s="173">
        <v>45107.400370370371</v>
      </c>
      <c r="K269" s="174">
        <v>1149570</v>
      </c>
      <c r="L269" s="115"/>
      <c r="M269" s="115"/>
      <c r="N269" s="182" t="s">
        <v>692</v>
      </c>
      <c r="O269" s="185"/>
      <c r="P269" s="176" t="s">
        <v>49</v>
      </c>
      <c r="Q269" s="176"/>
      <c r="R269" s="177"/>
    </row>
    <row r="270" spans="1:18" ht="87.95" hidden="1" customHeight="1">
      <c r="A270" s="167"/>
      <c r="B270" s="168" t="s">
        <v>99</v>
      </c>
      <c r="C270" s="169"/>
      <c r="D270" s="170" t="s">
        <v>693</v>
      </c>
      <c r="E270" s="171" t="s">
        <v>46</v>
      </c>
      <c r="F270" s="117"/>
      <c r="G270" s="118"/>
      <c r="H270" s="118"/>
      <c r="I270" s="118"/>
      <c r="J270" s="173">
        <v>45107.431423611109</v>
      </c>
      <c r="K270" s="174">
        <v>1149647</v>
      </c>
      <c r="L270" s="115"/>
      <c r="M270" s="115"/>
      <c r="N270" s="182" t="s">
        <v>694</v>
      </c>
      <c r="O270" s="185"/>
      <c r="P270" s="176" t="s">
        <v>49</v>
      </c>
      <c r="Q270" s="176"/>
      <c r="R270" s="177"/>
    </row>
    <row r="271" spans="1:18" s="167" customFormat="1" ht="66" hidden="1" customHeight="1">
      <c r="B271" s="168" t="s">
        <v>133</v>
      </c>
      <c r="C271" s="169"/>
      <c r="D271" s="170" t="s">
        <v>695</v>
      </c>
      <c r="E271" s="171" t="s">
        <v>46</v>
      </c>
      <c r="F271" s="117"/>
      <c r="G271" s="118"/>
      <c r="H271" s="118"/>
      <c r="I271" s="118"/>
      <c r="J271" s="173">
        <v>45111.338634259257</v>
      </c>
      <c r="K271" s="174">
        <v>1156628</v>
      </c>
      <c r="L271" s="115"/>
      <c r="M271" s="115"/>
      <c r="N271" s="182" t="s">
        <v>696</v>
      </c>
      <c r="O271" s="185"/>
      <c r="P271" s="176" t="s">
        <v>49</v>
      </c>
      <c r="Q271" s="176"/>
      <c r="R271" s="177"/>
    </row>
    <row r="272" spans="1:18" s="167" customFormat="1" ht="303.95">
      <c r="A272" s="1"/>
      <c r="B272" s="114" t="s">
        <v>190</v>
      </c>
      <c r="C272" s="115"/>
      <c r="D272" s="116" t="s">
        <v>697</v>
      </c>
      <c r="E272" s="117" t="s">
        <v>46</v>
      </c>
      <c r="F272" s="171"/>
      <c r="G272" s="172"/>
      <c r="H272" s="172"/>
      <c r="I272" s="172"/>
      <c r="J272" s="119">
        <v>45112.189675925925</v>
      </c>
      <c r="K272" s="120">
        <v>1157160</v>
      </c>
      <c r="L272" s="169"/>
      <c r="M272" s="169"/>
      <c r="N272" s="121" t="s">
        <v>698</v>
      </c>
      <c r="O272" s="184"/>
      <c r="P272" s="122" t="s">
        <v>49</v>
      </c>
      <c r="Q272" s="122"/>
      <c r="R272" s="123"/>
    </row>
    <row r="273" spans="1:18" s="167" customFormat="1" ht="66" hidden="1" customHeight="1">
      <c r="B273" s="168" t="s">
        <v>163</v>
      </c>
      <c r="C273" s="169"/>
      <c r="D273" s="170" t="s">
        <v>699</v>
      </c>
      <c r="E273" s="171" t="s">
        <v>46</v>
      </c>
      <c r="F273" s="117"/>
      <c r="G273" s="118"/>
      <c r="H273" s="118"/>
      <c r="I273" s="118"/>
      <c r="J273" s="173">
        <v>45112.269490740742</v>
      </c>
      <c r="K273" s="174">
        <v>1157305</v>
      </c>
      <c r="L273" s="115"/>
      <c r="M273" s="115"/>
      <c r="N273" s="182" t="s">
        <v>700</v>
      </c>
      <c r="O273" s="185"/>
      <c r="P273" s="176" t="s">
        <v>49</v>
      </c>
      <c r="Q273" s="176"/>
      <c r="R273" s="177"/>
    </row>
    <row r="274" spans="1:18" s="167" customFormat="1" ht="66" hidden="1" customHeight="1">
      <c r="B274" s="168" t="s">
        <v>163</v>
      </c>
      <c r="C274" s="169"/>
      <c r="D274" s="170" t="s">
        <v>701</v>
      </c>
      <c r="E274" s="171" t="s">
        <v>46</v>
      </c>
      <c r="F274" s="117"/>
      <c r="G274" s="118"/>
      <c r="H274" s="118"/>
      <c r="I274" s="118"/>
      <c r="J274" s="173">
        <v>45112.27034722222</v>
      </c>
      <c r="K274" s="174">
        <v>1157310</v>
      </c>
      <c r="L274" s="115"/>
      <c r="M274" s="115"/>
      <c r="N274" s="182" t="s">
        <v>702</v>
      </c>
      <c r="O274" s="185"/>
      <c r="P274" s="176" t="s">
        <v>49</v>
      </c>
      <c r="Q274" s="176"/>
      <c r="R274" s="177"/>
    </row>
    <row r="275" spans="1:18" s="167" customFormat="1" ht="128.1" hidden="1" customHeight="1">
      <c r="B275" s="168" t="s">
        <v>54</v>
      </c>
      <c r="C275" s="169"/>
      <c r="D275" s="170" t="s">
        <v>703</v>
      </c>
      <c r="E275" s="171" t="s">
        <v>46</v>
      </c>
      <c r="F275" s="117"/>
      <c r="G275" s="118"/>
      <c r="H275" s="118"/>
      <c r="I275" s="118"/>
      <c r="J275" s="173">
        <v>45112.948634259257</v>
      </c>
      <c r="K275" s="174">
        <v>1160950</v>
      </c>
      <c r="L275" s="115"/>
      <c r="M275" s="115"/>
      <c r="N275" s="182" t="s">
        <v>704</v>
      </c>
      <c r="O275" s="185"/>
      <c r="P275" s="176" t="s">
        <v>49</v>
      </c>
      <c r="Q275" s="176"/>
      <c r="R275" s="177"/>
    </row>
    <row r="276" spans="1:18" s="167" customFormat="1" ht="66" hidden="1" customHeight="1">
      <c r="B276" s="168" t="s">
        <v>477</v>
      </c>
      <c r="C276" s="169"/>
      <c r="D276" s="170" t="s">
        <v>705</v>
      </c>
      <c r="E276" s="171" t="s">
        <v>46</v>
      </c>
      <c r="F276" s="117"/>
      <c r="G276" s="118"/>
      <c r="H276" s="118"/>
      <c r="I276" s="118"/>
      <c r="J276" s="173">
        <v>45113.356145833335</v>
      </c>
      <c r="K276" s="174">
        <v>1160485</v>
      </c>
      <c r="L276" s="115"/>
      <c r="M276" s="115"/>
      <c r="N276" s="182" t="s">
        <v>692</v>
      </c>
      <c r="O276" s="185"/>
      <c r="P276" s="176" t="s">
        <v>49</v>
      </c>
      <c r="Q276" s="176"/>
      <c r="R276" s="177"/>
    </row>
    <row r="277" spans="1:18" s="167" customFormat="1" ht="66" hidden="1" customHeight="1">
      <c r="B277" s="168" t="s">
        <v>54</v>
      </c>
      <c r="C277" s="169"/>
      <c r="D277" s="170" t="s">
        <v>706</v>
      </c>
      <c r="E277" s="171" t="s">
        <v>46</v>
      </c>
      <c r="F277" s="117"/>
      <c r="G277" s="118"/>
      <c r="H277" s="118"/>
      <c r="I277" s="118"/>
      <c r="J277" s="173">
        <v>45114.795081018521</v>
      </c>
      <c r="K277" s="174">
        <v>1164523</v>
      </c>
      <c r="L277" s="115"/>
      <c r="M277" s="115"/>
      <c r="N277" s="182" t="s">
        <v>707</v>
      </c>
      <c r="O277" s="185"/>
      <c r="P277" s="176" t="s">
        <v>49</v>
      </c>
      <c r="Q277" s="176"/>
      <c r="R277" s="177"/>
    </row>
    <row r="278" spans="1:18" s="167" customFormat="1" ht="66" hidden="1" customHeight="1">
      <c r="B278" s="168" t="s">
        <v>174</v>
      </c>
      <c r="C278" s="169"/>
      <c r="D278" s="170" t="s">
        <v>708</v>
      </c>
      <c r="E278" s="171" t="s">
        <v>46</v>
      </c>
      <c r="F278" s="117"/>
      <c r="G278" s="118"/>
      <c r="H278" s="118"/>
      <c r="I278" s="118"/>
      <c r="J278" s="173">
        <v>45114.86650462963</v>
      </c>
      <c r="K278" s="174">
        <v>1164697</v>
      </c>
      <c r="L278" s="115"/>
      <c r="M278" s="115"/>
      <c r="N278" s="182" t="s">
        <v>709</v>
      </c>
      <c r="O278" s="185"/>
      <c r="P278" s="176" t="s">
        <v>49</v>
      </c>
      <c r="Q278" s="176"/>
      <c r="R278" s="177"/>
    </row>
    <row r="279" spans="1:18" s="167" customFormat="1" ht="66" hidden="1" customHeight="1">
      <c r="B279" s="168" t="s">
        <v>174</v>
      </c>
      <c r="C279" s="169"/>
      <c r="D279" s="170" t="s">
        <v>708</v>
      </c>
      <c r="E279" s="171" t="s">
        <v>46</v>
      </c>
      <c r="F279" s="117"/>
      <c r="G279" s="118"/>
      <c r="H279" s="118"/>
      <c r="I279" s="118"/>
      <c r="J279" s="173">
        <v>45114.86650462963</v>
      </c>
      <c r="K279" s="174" t="s">
        <v>710</v>
      </c>
      <c r="L279" s="115"/>
      <c r="M279" s="115"/>
      <c r="N279" s="182" t="s">
        <v>711</v>
      </c>
      <c r="O279" s="185"/>
      <c r="P279" s="176" t="s">
        <v>49</v>
      </c>
      <c r="Q279" s="176"/>
      <c r="R279" s="177"/>
    </row>
    <row r="280" spans="1:18" s="167" customFormat="1" ht="113.1" hidden="1" customHeight="1">
      <c r="A280" s="1"/>
      <c r="B280" s="114" t="s">
        <v>690</v>
      </c>
      <c r="C280" s="115"/>
      <c r="D280" s="116" t="s">
        <v>712</v>
      </c>
      <c r="E280" s="171" t="s">
        <v>46</v>
      </c>
      <c r="F280" s="117"/>
      <c r="G280" s="118"/>
      <c r="H280" s="118"/>
      <c r="I280" s="118"/>
      <c r="J280" s="119">
        <v>45116.312488425923</v>
      </c>
      <c r="K280" s="120">
        <v>1163504</v>
      </c>
      <c r="L280" s="115"/>
      <c r="M280" s="115"/>
      <c r="N280" s="121" t="s">
        <v>692</v>
      </c>
      <c r="O280" s="163"/>
      <c r="P280" s="53" t="s">
        <v>49</v>
      </c>
      <c r="Q280" s="53"/>
      <c r="R280" s="54"/>
    </row>
    <row r="281" spans="1:18" s="167" customFormat="1" ht="66" hidden="1" customHeight="1">
      <c r="B281" s="168" t="s">
        <v>214</v>
      </c>
      <c r="C281" s="169"/>
      <c r="D281" s="170" t="s">
        <v>713</v>
      </c>
      <c r="E281" s="171" t="s">
        <v>46</v>
      </c>
      <c r="F281" s="117"/>
      <c r="G281" s="118"/>
      <c r="H281" s="118"/>
      <c r="I281" s="118"/>
      <c r="J281" s="173">
        <v>45118.342534722222</v>
      </c>
      <c r="K281" s="174">
        <v>1169923</v>
      </c>
      <c r="L281" s="115"/>
      <c r="M281" s="115"/>
      <c r="N281" s="182" t="s">
        <v>714</v>
      </c>
      <c r="O281" s="185"/>
      <c r="P281" s="176" t="s">
        <v>49</v>
      </c>
      <c r="Q281" s="176"/>
      <c r="R281" s="177"/>
    </row>
    <row r="282" spans="1:18" s="167" customFormat="1" ht="66" hidden="1" customHeight="1">
      <c r="A282" s="1"/>
      <c r="B282" s="114" t="s">
        <v>214</v>
      </c>
      <c r="C282" s="115"/>
      <c r="D282" s="116" t="s">
        <v>713</v>
      </c>
      <c r="E282" s="171" t="s">
        <v>46</v>
      </c>
      <c r="F282" s="117"/>
      <c r="G282" s="118"/>
      <c r="H282" s="118"/>
      <c r="I282" s="118"/>
      <c r="J282" s="119">
        <v>45118.342534722222</v>
      </c>
      <c r="K282" s="120" t="s">
        <v>715</v>
      </c>
      <c r="L282" s="115"/>
      <c r="M282" s="115"/>
      <c r="N282" s="121"/>
      <c r="O282" s="163"/>
      <c r="P282" s="53" t="s">
        <v>49</v>
      </c>
      <c r="Q282" s="53"/>
      <c r="R282" s="54"/>
    </row>
    <row r="283" spans="1:18" s="167" customFormat="1" ht="66" hidden="1" customHeight="1">
      <c r="B283" s="168" t="s">
        <v>54</v>
      </c>
      <c r="C283" s="169"/>
      <c r="D283" s="170" t="s">
        <v>716</v>
      </c>
      <c r="E283" s="171" t="s">
        <v>46</v>
      </c>
      <c r="F283" s="117"/>
      <c r="G283" s="118"/>
      <c r="H283" s="118"/>
      <c r="I283" s="118"/>
      <c r="J283" s="173">
        <v>45119.977094907408</v>
      </c>
      <c r="K283" s="174">
        <v>1174272</v>
      </c>
      <c r="L283" s="115"/>
      <c r="M283" s="115"/>
      <c r="N283" s="182" t="s">
        <v>717</v>
      </c>
      <c r="O283" s="185"/>
      <c r="P283" s="176" t="s">
        <v>49</v>
      </c>
      <c r="Q283" s="176"/>
      <c r="R283" s="177"/>
    </row>
    <row r="284" spans="1:18" s="167" customFormat="1" ht="66" hidden="1" customHeight="1">
      <c r="B284" s="168" t="s">
        <v>43</v>
      </c>
      <c r="C284" s="169"/>
      <c r="D284" s="170" t="s">
        <v>718</v>
      </c>
      <c r="E284" s="171" t="s">
        <v>46</v>
      </c>
      <c r="F284" s="117"/>
      <c r="G284" s="118"/>
      <c r="H284" s="118"/>
      <c r="I284" s="118"/>
      <c r="J284" s="173">
        <v>45121.416388888887</v>
      </c>
      <c r="K284" s="174">
        <v>1175886</v>
      </c>
      <c r="L284" s="115"/>
      <c r="M284" s="115"/>
      <c r="N284" s="205" t="s">
        <v>719</v>
      </c>
      <c r="O284" s="185"/>
      <c r="P284" s="176" t="s">
        <v>49</v>
      </c>
      <c r="Q284" s="176"/>
      <c r="R284" s="177"/>
    </row>
    <row r="285" spans="1:18" s="167" customFormat="1" ht="150" hidden="1" customHeight="1">
      <c r="B285" s="168" t="s">
        <v>690</v>
      </c>
      <c r="C285" s="169"/>
      <c r="D285" s="170" t="s">
        <v>718</v>
      </c>
      <c r="E285" s="171" t="s">
        <v>46</v>
      </c>
      <c r="F285" s="117"/>
      <c r="G285" s="118"/>
      <c r="H285" s="118"/>
      <c r="I285" s="118"/>
      <c r="J285" s="173">
        <v>45121.416388888887</v>
      </c>
      <c r="K285" s="174" t="s">
        <v>720</v>
      </c>
      <c r="L285" s="115"/>
      <c r="M285" s="115"/>
      <c r="N285" s="182" t="s">
        <v>711</v>
      </c>
      <c r="O285" s="185"/>
      <c r="P285" s="176" t="s">
        <v>49</v>
      </c>
      <c r="Q285" s="176"/>
      <c r="R285" s="177"/>
    </row>
    <row r="286" spans="1:18" s="167" customFormat="1" ht="66" hidden="1" customHeight="1">
      <c r="B286" s="168" t="s">
        <v>71</v>
      </c>
      <c r="C286" s="169"/>
      <c r="D286" s="170" t="s">
        <v>721</v>
      </c>
      <c r="E286" s="171" t="s">
        <v>46</v>
      </c>
      <c r="F286" s="117"/>
      <c r="G286" s="118"/>
      <c r="H286" s="118"/>
      <c r="I286" s="118"/>
      <c r="J286" s="173">
        <v>45121.427777777775</v>
      </c>
      <c r="K286" s="174">
        <v>1175906</v>
      </c>
      <c r="L286" s="115"/>
      <c r="M286" s="115"/>
      <c r="N286" s="182" t="s">
        <v>692</v>
      </c>
      <c r="O286" s="185"/>
      <c r="P286" s="176" t="s">
        <v>49</v>
      </c>
      <c r="Q286" s="176"/>
      <c r="R286" s="177"/>
    </row>
    <row r="287" spans="1:18" s="167" customFormat="1" ht="66" hidden="1" customHeight="1">
      <c r="B287" s="168" t="s">
        <v>163</v>
      </c>
      <c r="C287" s="169"/>
      <c r="D287" s="170" t="s">
        <v>722</v>
      </c>
      <c r="E287" s="171" t="s">
        <v>46</v>
      </c>
      <c r="F287" s="117"/>
      <c r="G287" s="118"/>
      <c r="H287" s="118"/>
      <c r="I287" s="118"/>
      <c r="J287" s="173">
        <v>45121.47351851852</v>
      </c>
      <c r="K287" s="174">
        <v>1176023</v>
      </c>
      <c r="L287" s="115"/>
      <c r="M287" s="115"/>
      <c r="N287" s="182" t="s">
        <v>723</v>
      </c>
      <c r="O287" s="185"/>
      <c r="P287" s="176" t="s">
        <v>49</v>
      </c>
      <c r="Q287" s="176"/>
      <c r="R287" s="177"/>
    </row>
    <row r="288" spans="1:18" s="167" customFormat="1" ht="66" hidden="1" customHeight="1">
      <c r="B288" s="168" t="s">
        <v>79</v>
      </c>
      <c r="C288" s="169"/>
      <c r="D288" s="170" t="s">
        <v>724</v>
      </c>
      <c r="E288" s="171" t="s">
        <v>46</v>
      </c>
      <c r="F288" s="117"/>
      <c r="G288" s="118"/>
      <c r="H288" s="118"/>
      <c r="I288" s="118"/>
      <c r="J288" s="173">
        <v>45121.710810185185</v>
      </c>
      <c r="K288" s="174">
        <v>1177570</v>
      </c>
      <c r="L288" s="115"/>
      <c r="M288" s="115"/>
      <c r="N288" s="182" t="s">
        <v>725</v>
      </c>
      <c r="O288" s="185"/>
      <c r="P288" s="176" t="s">
        <v>49</v>
      </c>
      <c r="Q288" s="176"/>
      <c r="R288" s="177"/>
    </row>
    <row r="289" spans="1:18" s="167" customFormat="1" ht="105.95" hidden="1" customHeight="1">
      <c r="B289" s="168" t="s">
        <v>79</v>
      </c>
      <c r="C289" s="169"/>
      <c r="D289" s="170" t="s">
        <v>726</v>
      </c>
      <c r="E289" s="171" t="s">
        <v>46</v>
      </c>
      <c r="F289" s="117"/>
      <c r="G289" s="118"/>
      <c r="H289" s="118"/>
      <c r="I289" s="118"/>
      <c r="J289" s="173">
        <v>45121.711481481485</v>
      </c>
      <c r="K289" s="174">
        <v>1177571</v>
      </c>
      <c r="L289" s="115"/>
      <c r="M289" s="115"/>
      <c r="N289" s="182" t="s">
        <v>727</v>
      </c>
      <c r="O289" s="185"/>
      <c r="P289" s="176" t="s">
        <v>49</v>
      </c>
      <c r="Q289" s="176"/>
      <c r="R289" s="177"/>
    </row>
    <row r="290" spans="1:18" s="167" customFormat="1" ht="66" hidden="1" customHeight="1">
      <c r="B290" s="168" t="s">
        <v>156</v>
      </c>
      <c r="C290" s="169"/>
      <c r="D290" s="170" t="s">
        <v>728</v>
      </c>
      <c r="E290" s="171" t="s">
        <v>46</v>
      </c>
      <c r="F290" s="117"/>
      <c r="G290" s="118"/>
      <c r="H290" s="118"/>
      <c r="I290" s="118"/>
      <c r="J290" s="173">
        <v>45121.888113425928</v>
      </c>
      <c r="K290" s="174">
        <v>1177939</v>
      </c>
      <c r="L290" s="115"/>
      <c r="M290" s="115"/>
      <c r="N290" s="182" t="s">
        <v>729</v>
      </c>
      <c r="O290" s="185"/>
      <c r="P290" s="176" t="s">
        <v>49</v>
      </c>
      <c r="Q290" s="176"/>
      <c r="R290" s="177"/>
    </row>
    <row r="291" spans="1:18" s="167" customFormat="1" ht="66" hidden="1" customHeight="1">
      <c r="B291" s="168" t="s">
        <v>63</v>
      </c>
      <c r="C291" s="169"/>
      <c r="D291" s="170" t="s">
        <v>730</v>
      </c>
      <c r="E291" s="171" t="s">
        <v>46</v>
      </c>
      <c r="F291" s="117"/>
      <c r="G291" s="118"/>
      <c r="H291" s="118"/>
      <c r="I291" s="118"/>
      <c r="J291" s="173">
        <v>45125.348182870373</v>
      </c>
      <c r="K291" s="174">
        <v>1183022</v>
      </c>
      <c r="L291" s="115"/>
      <c r="M291" s="115"/>
      <c r="N291" s="205" t="s">
        <v>731</v>
      </c>
      <c r="O291" s="185"/>
      <c r="P291" s="176" t="s">
        <v>49</v>
      </c>
      <c r="Q291" s="176"/>
      <c r="R291" s="177"/>
    </row>
    <row r="292" spans="1:18" s="167" customFormat="1" ht="66" hidden="1" customHeight="1">
      <c r="A292" s="1"/>
      <c r="B292" s="114" t="s">
        <v>156</v>
      </c>
      <c r="C292" s="115"/>
      <c r="D292" s="116" t="s">
        <v>732</v>
      </c>
      <c r="E292" s="171" t="s">
        <v>46</v>
      </c>
      <c r="F292" s="117"/>
      <c r="G292" s="118"/>
      <c r="H292" s="118"/>
      <c r="I292" s="118"/>
      <c r="J292" s="119">
        <v>45126.0156712963</v>
      </c>
      <c r="K292" s="120">
        <v>1185595</v>
      </c>
      <c r="L292" s="115"/>
      <c r="M292" s="115"/>
      <c r="N292" s="204" t="s">
        <v>733</v>
      </c>
      <c r="O292" s="163"/>
      <c r="P292" s="53" t="s">
        <v>49</v>
      </c>
      <c r="Q292" s="53"/>
      <c r="R292" s="54"/>
    </row>
    <row r="293" spans="1:18" ht="66" hidden="1" customHeight="1">
      <c r="A293" s="167"/>
      <c r="B293" s="168" t="s">
        <v>178</v>
      </c>
      <c r="C293" s="169"/>
      <c r="D293" s="170" t="s">
        <v>734</v>
      </c>
      <c r="E293" s="171" t="s">
        <v>46</v>
      </c>
      <c r="F293" s="117"/>
      <c r="G293" s="118"/>
      <c r="H293" s="118"/>
      <c r="I293" s="118"/>
      <c r="J293" s="173">
        <v>45126.057453703703</v>
      </c>
      <c r="K293" s="174">
        <v>1185678</v>
      </c>
      <c r="L293" s="115"/>
      <c r="M293" s="115"/>
      <c r="N293" s="205" t="s">
        <v>735</v>
      </c>
      <c r="O293" s="185"/>
      <c r="P293" s="176" t="s">
        <v>49</v>
      </c>
      <c r="Q293" s="176"/>
      <c r="R293" s="177"/>
    </row>
    <row r="294" spans="1:18" s="167" customFormat="1" ht="66" hidden="1" customHeight="1">
      <c r="B294" s="168" t="s">
        <v>178</v>
      </c>
      <c r="C294" s="169"/>
      <c r="D294" s="170" t="s">
        <v>734</v>
      </c>
      <c r="E294" s="171" t="s">
        <v>46</v>
      </c>
      <c r="F294" s="117"/>
      <c r="G294" s="118"/>
      <c r="H294" s="118"/>
      <c r="I294" s="118"/>
      <c r="J294" s="173">
        <v>45126.057453703703</v>
      </c>
      <c r="K294" s="174" t="s">
        <v>736</v>
      </c>
      <c r="L294" s="115"/>
      <c r="M294" s="115"/>
      <c r="N294" s="205" t="s">
        <v>737</v>
      </c>
      <c r="O294" s="185"/>
      <c r="P294" s="176" t="s">
        <v>49</v>
      </c>
      <c r="Q294" s="176"/>
      <c r="R294" s="177"/>
    </row>
    <row r="295" spans="1:18" ht="102" hidden="1" customHeight="1">
      <c r="A295" s="167"/>
      <c r="B295" s="168" t="s">
        <v>178</v>
      </c>
      <c r="C295" s="169"/>
      <c r="D295" s="170" t="s">
        <v>738</v>
      </c>
      <c r="E295" s="171" t="s">
        <v>46</v>
      </c>
      <c r="F295" s="117"/>
      <c r="G295" s="118"/>
      <c r="H295" s="118"/>
      <c r="I295" s="118"/>
      <c r="J295" s="173">
        <v>45126.058379629627</v>
      </c>
      <c r="K295" s="174">
        <v>1185684</v>
      </c>
      <c r="L295" s="115"/>
      <c r="M295" s="115"/>
      <c r="N295" s="205" t="s">
        <v>739</v>
      </c>
      <c r="O295" s="185"/>
      <c r="P295" s="176" t="s">
        <v>49</v>
      </c>
      <c r="Q295" s="176"/>
      <c r="R295" s="177"/>
    </row>
    <row r="296" spans="1:18" s="167" customFormat="1" ht="66" hidden="1" customHeight="1">
      <c r="B296" s="168" t="s">
        <v>178</v>
      </c>
      <c r="C296" s="169"/>
      <c r="D296" s="170" t="s">
        <v>740</v>
      </c>
      <c r="E296" s="171" t="s">
        <v>46</v>
      </c>
      <c r="F296" s="117"/>
      <c r="G296" s="118"/>
      <c r="H296" s="118"/>
      <c r="I296" s="118"/>
      <c r="J296" s="173">
        <v>45126.807534722226</v>
      </c>
      <c r="K296" s="174">
        <v>1187053</v>
      </c>
      <c r="L296" s="115"/>
      <c r="M296" s="115"/>
      <c r="N296" s="182" t="s">
        <v>739</v>
      </c>
      <c r="O296" s="185"/>
      <c r="P296" s="176" t="s">
        <v>49</v>
      </c>
      <c r="Q296" s="176"/>
      <c r="R296" s="177"/>
    </row>
    <row r="297" spans="1:18" s="167" customFormat="1" ht="66" hidden="1" customHeight="1">
      <c r="A297" s="1"/>
      <c r="B297" s="168" t="s">
        <v>178</v>
      </c>
      <c r="C297" s="115"/>
      <c r="D297" s="116" t="s">
        <v>740</v>
      </c>
      <c r="E297" s="171" t="s">
        <v>46</v>
      </c>
      <c r="F297" s="117"/>
      <c r="G297" s="118"/>
      <c r="H297" s="118"/>
      <c r="I297" s="118"/>
      <c r="J297" s="119">
        <v>45126.807534722226</v>
      </c>
      <c r="K297" s="120" t="s">
        <v>741</v>
      </c>
      <c r="L297" s="115"/>
      <c r="M297" s="115"/>
      <c r="N297" s="121" t="s">
        <v>711</v>
      </c>
      <c r="O297" s="163"/>
      <c r="P297" s="53" t="s">
        <v>49</v>
      </c>
      <c r="Q297" s="53"/>
      <c r="R297" s="54"/>
    </row>
    <row r="298" spans="1:18" s="167" customFormat="1" ht="66" hidden="1" customHeight="1">
      <c r="B298" s="168" t="s">
        <v>99</v>
      </c>
      <c r="C298" s="169"/>
      <c r="D298" s="170" t="s">
        <v>742</v>
      </c>
      <c r="E298" s="171" t="s">
        <v>46</v>
      </c>
      <c r="F298" s="117"/>
      <c r="G298" s="118"/>
      <c r="H298" s="118"/>
      <c r="I298" s="118"/>
      <c r="J298" s="173">
        <v>45127.408472222225</v>
      </c>
      <c r="K298" s="174">
        <v>1187095</v>
      </c>
      <c r="L298" s="115"/>
      <c r="M298" s="115"/>
      <c r="N298" s="205" t="s">
        <v>743</v>
      </c>
      <c r="O298" s="185"/>
      <c r="P298" s="176" t="s">
        <v>49</v>
      </c>
      <c r="Q298" s="176"/>
      <c r="R298" s="177"/>
    </row>
    <row r="299" spans="1:18" s="167" customFormat="1" ht="66" hidden="1" customHeight="1">
      <c r="B299" s="168" t="s">
        <v>99</v>
      </c>
      <c r="C299" s="169"/>
      <c r="D299" s="170" t="s">
        <v>744</v>
      </c>
      <c r="E299" s="171" t="s">
        <v>46</v>
      </c>
      <c r="F299" s="117"/>
      <c r="G299" s="118"/>
      <c r="H299" s="118"/>
      <c r="I299" s="118"/>
      <c r="J299" s="173">
        <v>45127.413842592592</v>
      </c>
      <c r="K299" s="174">
        <v>1187104</v>
      </c>
      <c r="L299" s="115"/>
      <c r="M299" s="115"/>
      <c r="N299" s="182" t="s">
        <v>745</v>
      </c>
      <c r="O299" s="185"/>
      <c r="P299" s="176" t="s">
        <v>49</v>
      </c>
      <c r="Q299" s="176"/>
      <c r="R299" s="177"/>
    </row>
    <row r="300" spans="1:18" s="167" customFormat="1" ht="126.95" hidden="1" customHeight="1">
      <c r="B300" s="168" t="s">
        <v>99</v>
      </c>
      <c r="C300" s="169"/>
      <c r="D300" s="170" t="s">
        <v>746</v>
      </c>
      <c r="E300" s="171" t="s">
        <v>46</v>
      </c>
      <c r="F300" s="117"/>
      <c r="G300" s="118"/>
      <c r="H300" s="118"/>
      <c r="I300" s="118"/>
      <c r="J300" s="173">
        <v>45127.413842592592</v>
      </c>
      <c r="K300" s="174">
        <v>1187112</v>
      </c>
      <c r="L300" s="115"/>
      <c r="M300" s="115"/>
      <c r="N300" s="182" t="s">
        <v>745</v>
      </c>
      <c r="O300" s="185" t="s">
        <v>747</v>
      </c>
      <c r="P300" s="176" t="s">
        <v>49</v>
      </c>
      <c r="Q300" s="176"/>
      <c r="R300" s="177"/>
    </row>
    <row r="301" spans="1:18" s="167" customFormat="1" ht="128.1" hidden="1" customHeight="1">
      <c r="B301" s="114" t="s">
        <v>160</v>
      </c>
      <c r="C301" s="169"/>
      <c r="D301" s="170" t="s">
        <v>748</v>
      </c>
      <c r="E301" s="171" t="s">
        <v>46</v>
      </c>
      <c r="F301" s="117"/>
      <c r="G301" s="118"/>
      <c r="H301" s="118"/>
      <c r="I301" s="118"/>
      <c r="J301" s="173">
        <v>45132.817372685182</v>
      </c>
      <c r="K301" s="174">
        <v>1198003</v>
      </c>
      <c r="L301" s="115"/>
      <c r="M301" s="115"/>
      <c r="N301" s="182" t="s">
        <v>749</v>
      </c>
      <c r="O301" s="185" t="s">
        <v>750</v>
      </c>
      <c r="P301" s="176" t="s">
        <v>49</v>
      </c>
      <c r="Q301" s="176"/>
      <c r="R301" s="177"/>
    </row>
    <row r="302" spans="1:18" s="167" customFormat="1" ht="66" hidden="1" customHeight="1">
      <c r="A302" s="1"/>
      <c r="B302" s="114" t="s">
        <v>160</v>
      </c>
      <c r="C302" s="115"/>
      <c r="D302" s="116" t="s">
        <v>748</v>
      </c>
      <c r="E302" s="171" t="s">
        <v>46</v>
      </c>
      <c r="F302" s="117"/>
      <c r="G302" s="118"/>
      <c r="H302" s="118"/>
      <c r="I302" s="118"/>
      <c r="J302" s="119">
        <v>45132.817372685182</v>
      </c>
      <c r="K302" s="120" t="s">
        <v>751</v>
      </c>
      <c r="L302" s="115"/>
      <c r="M302" s="115"/>
      <c r="N302" s="204" t="s">
        <v>711</v>
      </c>
      <c r="O302" s="163"/>
      <c r="P302" s="53" t="s">
        <v>49</v>
      </c>
      <c r="Q302" s="53"/>
      <c r="R302" s="54"/>
    </row>
    <row r="303" spans="1:18" s="125" customFormat="1" ht="246.95" hidden="1" customHeight="1">
      <c r="A303" s="167"/>
      <c r="B303" s="168" t="s">
        <v>170</v>
      </c>
      <c r="C303" s="169"/>
      <c r="D303" s="170" t="s">
        <v>752</v>
      </c>
      <c r="E303" s="171" t="s">
        <v>46</v>
      </c>
      <c r="F303" s="117"/>
      <c r="G303" s="118"/>
      <c r="H303" s="118"/>
      <c r="I303" s="118"/>
      <c r="J303" s="173">
        <v>45134.295543981483</v>
      </c>
      <c r="K303" s="174">
        <v>1198625</v>
      </c>
      <c r="L303" s="115"/>
      <c r="M303" s="115"/>
      <c r="N303" s="182" t="s">
        <v>753</v>
      </c>
      <c r="O303" s="200" t="s">
        <v>754</v>
      </c>
      <c r="P303" s="176" t="s">
        <v>49</v>
      </c>
      <c r="Q303" s="176"/>
      <c r="R303" s="177"/>
    </row>
    <row r="304" spans="1:18" s="167" customFormat="1" ht="66" hidden="1" customHeight="1">
      <c r="B304" s="168" t="s">
        <v>610</v>
      </c>
      <c r="C304" s="169"/>
      <c r="D304" s="170" t="s">
        <v>755</v>
      </c>
      <c r="E304" s="171" t="s">
        <v>46</v>
      </c>
      <c r="F304" s="117"/>
      <c r="G304" s="118"/>
      <c r="H304" s="118"/>
      <c r="I304" s="118"/>
      <c r="J304" s="173">
        <v>45135.312488425923</v>
      </c>
      <c r="K304" s="174">
        <v>1200673</v>
      </c>
      <c r="L304" s="115"/>
      <c r="M304" s="115"/>
      <c r="N304" s="205" t="s">
        <v>756</v>
      </c>
      <c r="O304" s="200" t="s">
        <v>757</v>
      </c>
      <c r="P304" s="122" t="s">
        <v>49</v>
      </c>
      <c r="Q304" s="176"/>
      <c r="R304" s="177"/>
    </row>
    <row r="305" spans="1:18" s="167" customFormat="1" ht="66" hidden="1" customHeight="1">
      <c r="B305" s="168" t="s">
        <v>156</v>
      </c>
      <c r="C305" s="169"/>
      <c r="D305" s="170" t="s">
        <v>758</v>
      </c>
      <c r="E305" s="171" t="s">
        <v>46</v>
      </c>
      <c r="F305" s="117"/>
      <c r="G305" s="118"/>
      <c r="H305" s="118"/>
      <c r="I305" s="118"/>
      <c r="J305" s="173">
        <v>45135.85900462963</v>
      </c>
      <c r="K305" s="174" t="s">
        <v>759</v>
      </c>
      <c r="L305" s="115"/>
      <c r="M305" s="115"/>
      <c r="N305" s="182" t="s">
        <v>760</v>
      </c>
      <c r="O305" s="185"/>
      <c r="P305" s="176" t="s">
        <v>49</v>
      </c>
      <c r="Q305" s="176"/>
      <c r="R305" s="177"/>
    </row>
    <row r="306" spans="1:18" s="167" customFormat="1" ht="66" hidden="1" customHeight="1">
      <c r="B306" s="168" t="s">
        <v>54</v>
      </c>
      <c r="C306" s="169"/>
      <c r="D306" s="170" t="s">
        <v>761</v>
      </c>
      <c r="E306" s="171" t="s">
        <v>46</v>
      </c>
      <c r="F306" s="117"/>
      <c r="G306" s="118"/>
      <c r="H306" s="118"/>
      <c r="I306" s="118"/>
      <c r="J306" s="173">
        <v>45140.923263888886</v>
      </c>
      <c r="K306" s="174" t="s">
        <v>762</v>
      </c>
      <c r="L306" s="115"/>
      <c r="M306" s="115"/>
      <c r="N306" s="182" t="s">
        <v>763</v>
      </c>
      <c r="O306" s="185"/>
      <c r="P306" s="176" t="s">
        <v>49</v>
      </c>
      <c r="Q306" s="176"/>
      <c r="R306" s="177"/>
    </row>
    <row r="307" spans="1:18" s="167" customFormat="1" ht="66" hidden="1" customHeight="1">
      <c r="B307" s="168" t="s">
        <v>146</v>
      </c>
      <c r="C307" s="169"/>
      <c r="D307" s="170" t="s">
        <v>764</v>
      </c>
      <c r="E307" s="171" t="s">
        <v>46</v>
      </c>
      <c r="F307" s="117"/>
      <c r="G307" s="118"/>
      <c r="H307" s="118"/>
      <c r="I307" s="118"/>
      <c r="J307" s="173">
        <v>45141.539884259262</v>
      </c>
      <c r="K307" s="174" t="s">
        <v>765</v>
      </c>
      <c r="L307" s="115"/>
      <c r="M307" s="115"/>
      <c r="N307" s="182" t="s">
        <v>763</v>
      </c>
      <c r="O307" s="185"/>
      <c r="P307" s="176" t="s">
        <v>49</v>
      </c>
      <c r="Q307" s="176"/>
      <c r="R307" s="177"/>
    </row>
    <row r="308" spans="1:18" ht="99.95" hidden="1" customHeight="1">
      <c r="A308" s="167"/>
      <c r="B308" s="48" t="s">
        <v>138</v>
      </c>
      <c r="C308" s="169"/>
      <c r="D308" s="170" t="s">
        <v>766</v>
      </c>
      <c r="E308" s="171" t="s">
        <v>46</v>
      </c>
      <c r="F308" s="117"/>
      <c r="G308" s="118"/>
      <c r="H308" s="118"/>
      <c r="I308" s="118"/>
      <c r="J308" s="173">
        <v>45142.160231481481</v>
      </c>
      <c r="K308" s="174" t="s">
        <v>767</v>
      </c>
      <c r="L308" s="115"/>
      <c r="M308" s="115"/>
      <c r="N308" s="182" t="s">
        <v>768</v>
      </c>
      <c r="O308" s="185"/>
      <c r="P308" s="176" t="s">
        <v>49</v>
      </c>
      <c r="Q308" s="176"/>
      <c r="R308" s="177"/>
    </row>
    <row r="309" spans="1:18" s="167" customFormat="1" ht="66" hidden="1" customHeight="1">
      <c r="B309" s="168" t="s">
        <v>174</v>
      </c>
      <c r="C309" s="169"/>
      <c r="D309" s="170" t="s">
        <v>769</v>
      </c>
      <c r="E309" s="171" t="s">
        <v>46</v>
      </c>
      <c r="F309" s="117"/>
      <c r="G309" s="118"/>
      <c r="H309" s="118"/>
      <c r="I309" s="118"/>
      <c r="J309" s="173">
        <v>45142.178912037038</v>
      </c>
      <c r="K309" s="174">
        <v>1216012</v>
      </c>
      <c r="L309" s="115"/>
      <c r="M309" s="115"/>
      <c r="N309" s="182" t="s">
        <v>655</v>
      </c>
      <c r="O309" s="185"/>
      <c r="P309" s="176" t="s">
        <v>49</v>
      </c>
      <c r="Q309" s="176"/>
      <c r="R309" s="177"/>
    </row>
    <row r="310" spans="1:18" s="167" customFormat="1" ht="66" hidden="1" customHeight="1">
      <c r="B310" s="168" t="s">
        <v>138</v>
      </c>
      <c r="C310" s="169"/>
      <c r="D310" s="170" t="s">
        <v>770</v>
      </c>
      <c r="E310" s="171" t="s">
        <v>46</v>
      </c>
      <c r="F310" s="117"/>
      <c r="G310" s="118"/>
      <c r="H310" s="118"/>
      <c r="I310" s="118"/>
      <c r="J310" s="173">
        <v>45142.294918981483</v>
      </c>
      <c r="K310" s="174" t="s">
        <v>771</v>
      </c>
      <c r="L310" s="115"/>
      <c r="M310" s="115"/>
      <c r="N310" s="182" t="s">
        <v>772</v>
      </c>
      <c r="O310" s="185"/>
      <c r="P310" s="176" t="s">
        <v>49</v>
      </c>
      <c r="Q310" s="176"/>
      <c r="R310" s="177"/>
    </row>
    <row r="311" spans="1:18" s="167" customFormat="1" ht="90.95" hidden="1" customHeight="1">
      <c r="A311" s="1"/>
      <c r="B311" s="114" t="s">
        <v>214</v>
      </c>
      <c r="C311" s="115"/>
      <c r="D311" s="116" t="s">
        <v>773</v>
      </c>
      <c r="E311" s="171" t="s">
        <v>46</v>
      </c>
      <c r="F311" s="117"/>
      <c r="G311" s="118"/>
      <c r="H311" s="118"/>
      <c r="I311" s="118"/>
      <c r="J311" s="119">
        <v>45142.373379629629</v>
      </c>
      <c r="K311" s="120" t="s">
        <v>774</v>
      </c>
      <c r="L311" s="115"/>
      <c r="M311" s="115"/>
      <c r="N311" s="204" t="s">
        <v>775</v>
      </c>
      <c r="O311" s="163"/>
      <c r="P311" s="53" t="s">
        <v>49</v>
      </c>
      <c r="Q311" s="53"/>
      <c r="R311" s="54"/>
    </row>
    <row r="312" spans="1:18" s="167" customFormat="1" ht="66" hidden="1" customHeight="1">
      <c r="B312" s="168" t="s">
        <v>50</v>
      </c>
      <c r="C312" s="169"/>
      <c r="D312" s="170" t="s">
        <v>776</v>
      </c>
      <c r="E312" s="171" t="s">
        <v>46</v>
      </c>
      <c r="F312" s="117"/>
      <c r="G312" s="118"/>
      <c r="H312" s="118"/>
      <c r="I312" s="118"/>
      <c r="J312" s="173">
        <v>45142.814421296294</v>
      </c>
      <c r="K312" s="174" t="s">
        <v>777</v>
      </c>
      <c r="L312" s="115"/>
      <c r="M312" s="115"/>
      <c r="N312" s="182" t="s">
        <v>655</v>
      </c>
      <c r="O312" s="185"/>
      <c r="P312" s="176" t="s">
        <v>49</v>
      </c>
      <c r="Q312" s="176"/>
      <c r="R312" s="177"/>
    </row>
    <row r="313" spans="1:18" s="167" customFormat="1" ht="66" hidden="1" customHeight="1">
      <c r="B313" s="168" t="s">
        <v>50</v>
      </c>
      <c r="C313" s="169"/>
      <c r="D313" s="170" t="s">
        <v>778</v>
      </c>
      <c r="E313" s="171" t="s">
        <v>46</v>
      </c>
      <c r="F313" s="117"/>
      <c r="G313" s="118"/>
      <c r="H313" s="118"/>
      <c r="I313" s="118"/>
      <c r="J313" s="173">
        <v>45142.82707175926</v>
      </c>
      <c r="K313" s="174" t="s">
        <v>779</v>
      </c>
      <c r="L313" s="115"/>
      <c r="M313" s="115"/>
      <c r="N313" s="182" t="s">
        <v>655</v>
      </c>
      <c r="O313" s="185"/>
      <c r="P313" s="176" t="s">
        <v>49</v>
      </c>
      <c r="Q313" s="176"/>
      <c r="R313" s="177"/>
    </row>
    <row r="314" spans="1:18" s="167" customFormat="1" ht="66" hidden="1" customHeight="1">
      <c r="B314" s="168" t="s">
        <v>50</v>
      </c>
      <c r="C314" s="169"/>
      <c r="D314" s="170" t="s">
        <v>780</v>
      </c>
      <c r="E314" s="171" t="s">
        <v>46</v>
      </c>
      <c r="F314" s="117"/>
      <c r="G314" s="118"/>
      <c r="H314" s="118"/>
      <c r="I314" s="118"/>
      <c r="J314" s="173">
        <v>45142.905590277776</v>
      </c>
      <c r="K314" s="174">
        <v>1217409</v>
      </c>
      <c r="L314" s="115"/>
      <c r="M314" s="115"/>
      <c r="N314" s="182" t="s">
        <v>781</v>
      </c>
      <c r="O314" s="185"/>
      <c r="P314" s="176" t="s">
        <v>49</v>
      </c>
      <c r="Q314" s="176"/>
      <c r="R314" s="177"/>
    </row>
    <row r="315" spans="1:18" s="167" customFormat="1" ht="66" hidden="1" customHeight="1">
      <c r="B315" s="48" t="s">
        <v>138</v>
      </c>
      <c r="C315" s="169"/>
      <c r="D315" s="170" t="s">
        <v>782</v>
      </c>
      <c r="E315" s="171" t="s">
        <v>46</v>
      </c>
      <c r="F315" s="117"/>
      <c r="G315" s="118"/>
      <c r="H315" s="118"/>
      <c r="I315" s="118"/>
      <c r="J315" s="173">
        <v>45144.396180555559</v>
      </c>
      <c r="K315" s="174" t="s">
        <v>783</v>
      </c>
      <c r="L315" s="115"/>
      <c r="M315" s="115"/>
      <c r="N315" s="182" t="s">
        <v>655</v>
      </c>
      <c r="O315" s="185"/>
      <c r="P315" s="176" t="s">
        <v>49</v>
      </c>
      <c r="Q315" s="176"/>
      <c r="R315" s="177"/>
    </row>
    <row r="316" spans="1:18" s="167" customFormat="1" ht="66" hidden="1" customHeight="1">
      <c r="B316" s="168" t="s">
        <v>156</v>
      </c>
      <c r="C316" s="169"/>
      <c r="D316" s="170" t="s">
        <v>784</v>
      </c>
      <c r="E316" s="171" t="s">
        <v>46</v>
      </c>
      <c r="F316" s="117"/>
      <c r="G316" s="118"/>
      <c r="H316" s="118"/>
      <c r="I316" s="118"/>
      <c r="J316" s="173">
        <v>45144.444791666669</v>
      </c>
      <c r="K316" s="174" t="s">
        <v>785</v>
      </c>
      <c r="L316" s="115"/>
      <c r="M316" s="115"/>
      <c r="N316" s="205" t="s">
        <v>655</v>
      </c>
      <c r="O316" s="185"/>
      <c r="P316" s="176" t="s">
        <v>49</v>
      </c>
      <c r="Q316" s="176"/>
      <c r="R316" s="177"/>
    </row>
    <row r="317" spans="1:18" s="167" customFormat="1" ht="66" hidden="1" customHeight="1">
      <c r="B317" s="168" t="s">
        <v>163</v>
      </c>
      <c r="C317" s="169"/>
      <c r="D317" s="170" t="s">
        <v>786</v>
      </c>
      <c r="E317" s="171" t="s">
        <v>46</v>
      </c>
      <c r="F317" s="117"/>
      <c r="G317" s="118"/>
      <c r="H317" s="118"/>
      <c r="I317" s="118"/>
      <c r="J317" s="173">
        <v>45145.431793981479</v>
      </c>
      <c r="K317" s="174" t="s">
        <v>787</v>
      </c>
      <c r="L317" s="115"/>
      <c r="M317" s="115"/>
      <c r="N317" s="182" t="s">
        <v>788</v>
      </c>
      <c r="O317" s="185"/>
      <c r="P317" s="176" t="s">
        <v>49</v>
      </c>
      <c r="Q317" s="176"/>
      <c r="R317" s="177"/>
    </row>
    <row r="318" spans="1:18" s="167" customFormat="1" ht="66" hidden="1" customHeight="1">
      <c r="B318" s="168" t="s">
        <v>50</v>
      </c>
      <c r="C318" s="169"/>
      <c r="D318" s="170" t="s">
        <v>789</v>
      </c>
      <c r="E318" s="171" t="s">
        <v>46</v>
      </c>
      <c r="F318" s="117"/>
      <c r="G318" s="118"/>
      <c r="H318" s="118"/>
      <c r="I318" s="118"/>
      <c r="J318" s="173">
        <v>45145.874201388891</v>
      </c>
      <c r="K318" s="174">
        <v>1222527</v>
      </c>
      <c r="L318" s="115"/>
      <c r="M318" s="115"/>
      <c r="N318" s="182" t="s">
        <v>655</v>
      </c>
      <c r="O318" s="185"/>
      <c r="P318" s="176" t="s">
        <v>49</v>
      </c>
      <c r="Q318" s="176"/>
      <c r="R318" s="177"/>
    </row>
    <row r="319" spans="1:18" s="167" customFormat="1" ht="66" hidden="1" customHeight="1">
      <c r="B319" s="168" t="s">
        <v>133</v>
      </c>
      <c r="C319" s="169"/>
      <c r="D319" s="170" t="s">
        <v>790</v>
      </c>
      <c r="E319" s="171" t="s">
        <v>46</v>
      </c>
      <c r="F319" s="117"/>
      <c r="G319" s="118"/>
      <c r="H319" s="118"/>
      <c r="I319" s="118"/>
      <c r="J319" s="173">
        <v>45147.241215277776</v>
      </c>
      <c r="K319" s="174" t="s">
        <v>791</v>
      </c>
      <c r="L319" s="115"/>
      <c r="M319" s="115"/>
      <c r="N319" s="182" t="s">
        <v>792</v>
      </c>
      <c r="O319" s="185"/>
      <c r="P319" s="176" t="s">
        <v>49</v>
      </c>
      <c r="Q319" s="176"/>
      <c r="R319" s="177"/>
    </row>
    <row r="320" spans="1:18" s="167" customFormat="1" ht="66" hidden="1" customHeight="1">
      <c r="A320" s="1"/>
      <c r="B320" s="48" t="s">
        <v>138</v>
      </c>
      <c r="C320" s="115"/>
      <c r="D320" s="116" t="s">
        <v>793</v>
      </c>
      <c r="E320" s="171" t="s">
        <v>46</v>
      </c>
      <c r="F320" s="117"/>
      <c r="G320" s="118"/>
      <c r="H320" s="118"/>
      <c r="I320" s="118"/>
      <c r="J320" s="119">
        <v>45147.376585648148</v>
      </c>
      <c r="K320" s="120" t="s">
        <v>794</v>
      </c>
      <c r="L320" s="115"/>
      <c r="M320" s="115"/>
      <c r="N320" s="204" t="s">
        <v>653</v>
      </c>
      <c r="O320" s="163"/>
      <c r="P320" s="53" t="s">
        <v>49</v>
      </c>
      <c r="Q320" s="53"/>
      <c r="R320" s="54"/>
    </row>
    <row r="321" spans="1:18" s="125" customFormat="1" ht="66" hidden="1" customHeight="1">
      <c r="A321" s="167"/>
      <c r="B321" s="168" t="s">
        <v>160</v>
      </c>
      <c r="C321" s="169"/>
      <c r="D321" s="170" t="s">
        <v>795</v>
      </c>
      <c r="E321" s="171" t="s">
        <v>46</v>
      </c>
      <c r="F321" s="117"/>
      <c r="G321" s="118"/>
      <c r="H321" s="118"/>
      <c r="I321" s="118"/>
      <c r="J321" s="173">
        <v>45147.702719907407</v>
      </c>
      <c r="K321" s="174" t="s">
        <v>796</v>
      </c>
      <c r="L321" s="115"/>
      <c r="M321" s="115"/>
      <c r="N321" s="182" t="s">
        <v>792</v>
      </c>
      <c r="O321" s="185"/>
      <c r="P321" s="53" t="s">
        <v>49</v>
      </c>
      <c r="Q321" s="176"/>
      <c r="R321" s="177"/>
    </row>
    <row r="322" spans="1:18" s="167" customFormat="1" ht="66" hidden="1" customHeight="1">
      <c r="B322" s="168" t="s">
        <v>160</v>
      </c>
      <c r="C322" s="169"/>
      <c r="D322" s="170" t="s">
        <v>797</v>
      </c>
      <c r="E322" s="171" t="s">
        <v>46</v>
      </c>
      <c r="F322" s="117"/>
      <c r="G322" s="118"/>
      <c r="H322" s="118"/>
      <c r="I322" s="118"/>
      <c r="J322" s="173">
        <v>45147.913958333331</v>
      </c>
      <c r="K322" s="174" t="s">
        <v>798</v>
      </c>
      <c r="L322" s="115"/>
      <c r="M322" s="115"/>
      <c r="N322" s="182" t="s">
        <v>799</v>
      </c>
      <c r="O322" s="185"/>
      <c r="P322" s="176" t="s">
        <v>49</v>
      </c>
      <c r="Q322" s="176"/>
      <c r="R322" s="177"/>
    </row>
    <row r="323" spans="1:18" s="167" customFormat="1" ht="66" hidden="1" customHeight="1">
      <c r="B323" s="168" t="s">
        <v>178</v>
      </c>
      <c r="C323" s="169"/>
      <c r="D323" s="170" t="s">
        <v>800</v>
      </c>
      <c r="E323" s="171" t="s">
        <v>46</v>
      </c>
      <c r="F323" s="117"/>
      <c r="G323" s="118"/>
      <c r="H323" s="118"/>
      <c r="I323" s="118"/>
      <c r="J323" s="173">
        <v>45148.064259259256</v>
      </c>
      <c r="K323" s="174" t="s">
        <v>801</v>
      </c>
      <c r="L323" s="115"/>
      <c r="M323" s="115"/>
      <c r="N323" s="182" t="s">
        <v>802</v>
      </c>
      <c r="O323" s="185"/>
      <c r="P323" s="176" t="s">
        <v>49</v>
      </c>
      <c r="Q323" s="176"/>
      <c r="R323" s="177"/>
    </row>
    <row r="324" spans="1:18" s="167" customFormat="1" ht="66" hidden="1" customHeight="1">
      <c r="B324" s="168" t="s">
        <v>75</v>
      </c>
      <c r="C324" s="169"/>
      <c r="D324" s="170" t="s">
        <v>803</v>
      </c>
      <c r="E324" s="171" t="s">
        <v>46</v>
      </c>
      <c r="F324" s="117"/>
      <c r="G324" s="118"/>
      <c r="H324" s="118"/>
      <c r="I324" s="118"/>
      <c r="J324" s="173">
        <v>45148.225092592591</v>
      </c>
      <c r="K324" s="174" t="s">
        <v>804</v>
      </c>
      <c r="L324" s="115"/>
      <c r="M324" s="115"/>
      <c r="N324" s="182" t="s">
        <v>805</v>
      </c>
      <c r="O324" s="185"/>
      <c r="P324" s="176" t="s">
        <v>49</v>
      </c>
      <c r="Q324" s="176"/>
      <c r="R324" s="177"/>
    </row>
    <row r="325" spans="1:18" ht="66" hidden="1" customHeight="1">
      <c r="A325" s="167"/>
      <c r="B325" s="168" t="s">
        <v>75</v>
      </c>
      <c r="C325" s="169"/>
      <c r="D325" s="170" t="s">
        <v>806</v>
      </c>
      <c r="E325" s="171" t="s">
        <v>46</v>
      </c>
      <c r="F325" s="117"/>
      <c r="G325" s="118"/>
      <c r="H325" s="118"/>
      <c r="I325" s="118"/>
      <c r="J325" s="173">
        <v>45148.227766203701</v>
      </c>
      <c r="K325" s="174" t="s">
        <v>807</v>
      </c>
      <c r="L325" s="115"/>
      <c r="M325" s="115"/>
      <c r="N325" s="182" t="s">
        <v>808</v>
      </c>
      <c r="O325" s="185"/>
      <c r="P325" s="176" t="s">
        <v>49</v>
      </c>
      <c r="Q325" s="176"/>
      <c r="R325" s="177"/>
    </row>
    <row r="326" spans="1:18" s="167" customFormat="1" ht="66" hidden="1" customHeight="1">
      <c r="B326" s="168" t="s">
        <v>63</v>
      </c>
      <c r="C326" s="169"/>
      <c r="D326" s="170" t="s">
        <v>809</v>
      </c>
      <c r="E326" s="171" t="s">
        <v>46</v>
      </c>
      <c r="F326" s="117"/>
      <c r="G326" s="118"/>
      <c r="H326" s="118"/>
      <c r="I326" s="118"/>
      <c r="J326" s="173">
        <v>45148.353912037041</v>
      </c>
      <c r="K326" s="174" t="s">
        <v>810</v>
      </c>
      <c r="L326" s="115"/>
      <c r="M326" s="115"/>
      <c r="N326" s="182" t="s">
        <v>711</v>
      </c>
      <c r="O326" s="185"/>
      <c r="P326" s="176" t="s">
        <v>49</v>
      </c>
      <c r="Q326" s="176"/>
      <c r="R326" s="177"/>
    </row>
    <row r="327" spans="1:18" s="167" customFormat="1" ht="66" hidden="1" customHeight="1">
      <c r="B327" s="168" t="s">
        <v>63</v>
      </c>
      <c r="C327" s="169"/>
      <c r="D327" s="170" t="s">
        <v>811</v>
      </c>
      <c r="E327" s="171" t="s">
        <v>46</v>
      </c>
      <c r="F327" s="117"/>
      <c r="G327" s="118"/>
      <c r="H327" s="118"/>
      <c r="I327" s="118"/>
      <c r="J327" s="173">
        <v>45148.355555555558</v>
      </c>
      <c r="K327" s="174" t="s">
        <v>812</v>
      </c>
      <c r="L327" s="115"/>
      <c r="M327" s="115"/>
      <c r="N327" s="182" t="s">
        <v>711</v>
      </c>
      <c r="O327" s="185"/>
      <c r="P327" s="176" t="s">
        <v>49</v>
      </c>
      <c r="Q327" s="176"/>
      <c r="R327" s="177"/>
    </row>
    <row r="328" spans="1:18" s="167" customFormat="1" ht="66" hidden="1" customHeight="1">
      <c r="B328" s="168" t="s">
        <v>63</v>
      </c>
      <c r="C328" s="169"/>
      <c r="D328" s="170" t="s">
        <v>813</v>
      </c>
      <c r="E328" s="171" t="s">
        <v>46</v>
      </c>
      <c r="F328" s="117"/>
      <c r="G328" s="118"/>
      <c r="H328" s="118"/>
      <c r="I328" s="118"/>
      <c r="J328" s="173">
        <v>45148.357395833336</v>
      </c>
      <c r="K328" s="174" t="s">
        <v>814</v>
      </c>
      <c r="L328" s="115"/>
      <c r="M328" s="115"/>
      <c r="N328" s="182" t="s">
        <v>711</v>
      </c>
      <c r="O328" s="185"/>
      <c r="P328" s="176" t="s">
        <v>49</v>
      </c>
      <c r="Q328" s="176"/>
      <c r="R328" s="177"/>
    </row>
    <row r="329" spans="1:18" ht="66" hidden="1" customHeight="1">
      <c r="A329" s="178"/>
      <c r="B329" s="228" t="s">
        <v>160</v>
      </c>
      <c r="C329" s="229"/>
      <c r="D329" s="230" t="s">
        <v>815</v>
      </c>
      <c r="E329" s="231" t="s">
        <v>46</v>
      </c>
      <c r="F329" s="117"/>
      <c r="G329" s="118"/>
      <c r="H329" s="118"/>
      <c r="I329" s="118"/>
      <c r="J329" s="172">
        <v>45149.710868055554</v>
      </c>
      <c r="K329" s="229" t="s">
        <v>816</v>
      </c>
      <c r="L329" s="115"/>
      <c r="M329" s="115"/>
      <c r="N329" s="232" t="s">
        <v>817</v>
      </c>
      <c r="O329" s="200" t="s">
        <v>818</v>
      </c>
      <c r="P329" s="233" t="s">
        <v>49</v>
      </c>
      <c r="Q329" s="233"/>
      <c r="R329" s="234"/>
    </row>
    <row r="330" spans="1:18" s="167" customFormat="1" ht="66" hidden="1" customHeight="1">
      <c r="B330" s="168" t="s">
        <v>99</v>
      </c>
      <c r="C330" s="169"/>
      <c r="D330" s="170" t="s">
        <v>819</v>
      </c>
      <c r="E330" s="171" t="s">
        <v>46</v>
      </c>
      <c r="F330" s="117"/>
      <c r="G330" s="118"/>
      <c r="H330" s="118"/>
      <c r="I330" s="118"/>
      <c r="J330" s="173">
        <v>45154.363865740743</v>
      </c>
      <c r="K330" s="174" t="s">
        <v>820</v>
      </c>
      <c r="L330" s="115"/>
      <c r="M330" s="115"/>
      <c r="N330" s="182" t="s">
        <v>821</v>
      </c>
      <c r="O330" s="185"/>
      <c r="P330" s="176" t="s">
        <v>49</v>
      </c>
      <c r="Q330" s="176"/>
      <c r="R330" s="177"/>
    </row>
    <row r="331" spans="1:18" s="167" customFormat="1" ht="66" hidden="1" customHeight="1">
      <c r="B331" s="168" t="s">
        <v>99</v>
      </c>
      <c r="C331" s="169"/>
      <c r="D331" s="170" t="s">
        <v>819</v>
      </c>
      <c r="E331" s="171" t="s">
        <v>46</v>
      </c>
      <c r="F331" s="117"/>
      <c r="G331" s="118"/>
      <c r="H331" s="118"/>
      <c r="I331" s="118"/>
      <c r="J331" s="173">
        <v>45154.363865740743</v>
      </c>
      <c r="K331" s="174" t="s">
        <v>820</v>
      </c>
      <c r="L331" s="115"/>
      <c r="M331" s="115"/>
      <c r="N331" s="182" t="s">
        <v>711</v>
      </c>
      <c r="O331" s="185"/>
      <c r="P331" s="176" t="s">
        <v>49</v>
      </c>
      <c r="Q331" s="176"/>
      <c r="R331" s="177"/>
    </row>
    <row r="332" spans="1:18" ht="66" hidden="1" customHeight="1">
      <c r="A332" s="186"/>
      <c r="B332" s="187" t="s">
        <v>63</v>
      </c>
      <c r="C332" s="188"/>
      <c r="D332" s="189" t="s">
        <v>822</v>
      </c>
      <c r="E332" s="190" t="s">
        <v>46</v>
      </c>
      <c r="F332" s="117"/>
      <c r="G332" s="118"/>
      <c r="H332" s="118"/>
      <c r="I332" s="118"/>
      <c r="J332" s="191">
        <v>45154.436944444446</v>
      </c>
      <c r="K332" s="192" t="s">
        <v>823</v>
      </c>
      <c r="L332" s="115"/>
      <c r="M332" s="115"/>
      <c r="N332" s="193" t="s">
        <v>824</v>
      </c>
      <c r="O332" s="194" t="s">
        <v>825</v>
      </c>
      <c r="P332" s="195" t="s">
        <v>204</v>
      </c>
      <c r="Q332" s="195"/>
      <c r="R332" s="196"/>
    </row>
    <row r="333" spans="1:18" s="167" customFormat="1" ht="66" hidden="1" customHeight="1">
      <c r="B333" s="168" t="s">
        <v>413</v>
      </c>
      <c r="C333" s="169"/>
      <c r="D333" s="170" t="s">
        <v>826</v>
      </c>
      <c r="E333" s="171" t="s">
        <v>46</v>
      </c>
      <c r="F333" s="117"/>
      <c r="G333" s="118"/>
      <c r="H333" s="118"/>
      <c r="I333" s="118"/>
      <c r="J333" s="173">
        <v>45154.792592592596</v>
      </c>
      <c r="K333" s="174" t="s">
        <v>827</v>
      </c>
      <c r="L333" s="115"/>
      <c r="M333" s="115"/>
      <c r="N333" s="182" t="s">
        <v>828</v>
      </c>
      <c r="O333" s="185"/>
      <c r="P333" s="176" t="s">
        <v>49</v>
      </c>
      <c r="Q333" s="176"/>
      <c r="R333" s="177"/>
    </row>
    <row r="334" spans="1:18" ht="66" hidden="1" customHeight="1">
      <c r="A334" s="167"/>
      <c r="B334" s="168" t="s">
        <v>129</v>
      </c>
      <c r="C334" s="169"/>
      <c r="D334" s="170" t="s">
        <v>829</v>
      </c>
      <c r="E334" s="171" t="s">
        <v>46</v>
      </c>
      <c r="F334" s="117"/>
      <c r="G334" s="118"/>
      <c r="H334" s="118"/>
      <c r="I334" s="118"/>
      <c r="J334" s="173">
        <v>45155.196168981478</v>
      </c>
      <c r="K334" s="174" t="s">
        <v>830</v>
      </c>
      <c r="L334" s="115"/>
      <c r="M334" s="115"/>
      <c r="N334" s="182" t="s">
        <v>831</v>
      </c>
      <c r="O334" s="185"/>
      <c r="P334" s="176" t="s">
        <v>49</v>
      </c>
      <c r="Q334" s="176"/>
      <c r="R334" s="177"/>
    </row>
    <row r="335" spans="1:18" s="167" customFormat="1" ht="104.1" hidden="1" customHeight="1">
      <c r="B335" s="168" t="s">
        <v>63</v>
      </c>
      <c r="C335" s="169"/>
      <c r="D335" s="170" t="s">
        <v>832</v>
      </c>
      <c r="E335" s="171" t="s">
        <v>46</v>
      </c>
      <c r="F335" s="117"/>
      <c r="G335" s="118"/>
      <c r="H335" s="118"/>
      <c r="I335" s="118"/>
      <c r="J335" s="173">
        <v>45155.395833333336</v>
      </c>
      <c r="K335" s="174" t="s">
        <v>833</v>
      </c>
      <c r="L335" s="115"/>
      <c r="M335" s="115"/>
      <c r="N335" s="182" t="s">
        <v>834</v>
      </c>
      <c r="O335" s="185"/>
      <c r="P335" s="176" t="s">
        <v>49</v>
      </c>
      <c r="Q335" s="176"/>
      <c r="R335" s="177"/>
    </row>
    <row r="336" spans="1:18" ht="66" hidden="1" customHeight="1">
      <c r="B336" s="114" t="s">
        <v>67</v>
      </c>
      <c r="C336" s="115"/>
      <c r="D336" s="116" t="s">
        <v>835</v>
      </c>
      <c r="E336" s="171" t="s">
        <v>46</v>
      </c>
      <c r="F336" s="117"/>
      <c r="G336" s="118"/>
      <c r="H336" s="118"/>
      <c r="I336" s="118"/>
      <c r="J336" s="119">
        <v>45156.353379629632</v>
      </c>
      <c r="K336" s="120" t="s">
        <v>836</v>
      </c>
      <c r="L336" s="115"/>
      <c r="M336" s="115"/>
      <c r="N336" s="121" t="s">
        <v>837</v>
      </c>
      <c r="O336" s="163"/>
      <c r="P336" s="53" t="s">
        <v>49</v>
      </c>
      <c r="Q336" s="53"/>
      <c r="R336" s="54"/>
    </row>
    <row r="337" spans="1:18" s="178" customFormat="1" ht="66" hidden="1" customHeight="1">
      <c r="A337" s="167"/>
      <c r="B337" s="168" t="s">
        <v>63</v>
      </c>
      <c r="C337" s="169"/>
      <c r="D337" s="170" t="s">
        <v>838</v>
      </c>
      <c r="E337" s="171" t="s">
        <v>46</v>
      </c>
      <c r="F337" s="117"/>
      <c r="G337" s="118"/>
      <c r="H337" s="118"/>
      <c r="I337" s="118"/>
      <c r="J337" s="173">
        <v>45159.097997685189</v>
      </c>
      <c r="K337" s="174" t="s">
        <v>839</v>
      </c>
      <c r="L337" s="115"/>
      <c r="M337" s="115"/>
      <c r="N337" s="205" t="s">
        <v>840</v>
      </c>
      <c r="O337" s="185"/>
      <c r="P337" s="176" t="s">
        <v>49</v>
      </c>
      <c r="Q337" s="176"/>
      <c r="R337" s="177"/>
    </row>
    <row r="338" spans="1:18" ht="66" hidden="1" customHeight="1">
      <c r="A338" s="167"/>
      <c r="B338" s="168" t="s">
        <v>63</v>
      </c>
      <c r="C338" s="169"/>
      <c r="D338" s="170" t="s">
        <v>838</v>
      </c>
      <c r="E338" s="171" t="s">
        <v>46</v>
      </c>
      <c r="F338" s="117"/>
      <c r="G338" s="118"/>
      <c r="H338" s="118"/>
      <c r="I338" s="118"/>
      <c r="J338" s="173">
        <v>45159.104166666664</v>
      </c>
      <c r="K338" s="174" t="s">
        <v>839</v>
      </c>
      <c r="L338" s="115"/>
      <c r="M338" s="115"/>
      <c r="N338" s="182" t="s">
        <v>821</v>
      </c>
      <c r="O338" s="185"/>
      <c r="P338" s="176" t="s">
        <v>49</v>
      </c>
      <c r="Q338" s="176"/>
      <c r="R338" s="177"/>
    </row>
    <row r="339" spans="1:18" ht="66" hidden="1" customHeight="1">
      <c r="B339" s="114" t="s">
        <v>75</v>
      </c>
      <c r="C339" s="115"/>
      <c r="D339" s="116" t="s">
        <v>841</v>
      </c>
      <c r="E339" s="171" t="s">
        <v>46</v>
      </c>
      <c r="F339" s="117"/>
      <c r="G339" s="118"/>
      <c r="H339" s="118"/>
      <c r="I339" s="118"/>
      <c r="J339" s="119">
        <v>45160.379664351851</v>
      </c>
      <c r="K339" s="120" t="s">
        <v>842</v>
      </c>
      <c r="L339" s="115"/>
      <c r="M339" s="115"/>
      <c r="N339" s="121" t="s">
        <v>711</v>
      </c>
      <c r="O339" s="163"/>
      <c r="P339" s="53" t="s">
        <v>49</v>
      </c>
      <c r="Q339" s="53"/>
      <c r="R339" s="54"/>
    </row>
    <row r="340" spans="1:18" ht="66" hidden="1" customHeight="1">
      <c r="A340" s="167"/>
      <c r="B340" s="168" t="s">
        <v>610</v>
      </c>
      <c r="C340" s="169"/>
      <c r="D340" s="170" t="s">
        <v>843</v>
      </c>
      <c r="E340" s="171" t="s">
        <v>46</v>
      </c>
      <c r="F340" s="117"/>
      <c r="G340" s="118"/>
      <c r="H340" s="118"/>
      <c r="I340" s="118"/>
      <c r="J340" s="173">
        <v>45161.225787037038</v>
      </c>
      <c r="K340" s="174" t="s">
        <v>844</v>
      </c>
      <c r="L340" s="115"/>
      <c r="M340" s="115"/>
      <c r="N340" s="182" t="s">
        <v>845</v>
      </c>
      <c r="O340" s="185"/>
      <c r="P340" s="122" t="s">
        <v>49</v>
      </c>
      <c r="Q340" s="176"/>
      <c r="R340" s="177"/>
    </row>
    <row r="341" spans="1:18" s="167" customFormat="1" ht="81" hidden="1" customHeight="1">
      <c r="B341" s="168" t="s">
        <v>256</v>
      </c>
      <c r="C341" s="169"/>
      <c r="D341" s="170" t="s">
        <v>846</v>
      </c>
      <c r="E341" s="171" t="s">
        <v>46</v>
      </c>
      <c r="F341" s="117"/>
      <c r="G341" s="118"/>
      <c r="H341" s="118"/>
      <c r="I341" s="118"/>
      <c r="J341" s="173">
        <v>45161.410775462966</v>
      </c>
      <c r="K341" s="174" t="s">
        <v>847</v>
      </c>
      <c r="L341" s="115"/>
      <c r="M341" s="115"/>
      <c r="N341" s="182" t="s">
        <v>848</v>
      </c>
      <c r="O341" s="185"/>
      <c r="P341" s="176" t="s">
        <v>49</v>
      </c>
      <c r="Q341" s="176"/>
      <c r="R341" s="177"/>
    </row>
    <row r="342" spans="1:18" s="167" customFormat="1" ht="66" hidden="1" customHeight="1">
      <c r="B342" s="168" t="s">
        <v>138</v>
      </c>
      <c r="C342" s="169"/>
      <c r="D342" s="170" t="s">
        <v>849</v>
      </c>
      <c r="E342" s="171" t="s">
        <v>46</v>
      </c>
      <c r="F342" s="117"/>
      <c r="G342" s="118"/>
      <c r="H342" s="118"/>
      <c r="I342" s="118"/>
      <c r="J342" s="173">
        <v>45163.12190972222</v>
      </c>
      <c r="K342" s="174" t="s">
        <v>850</v>
      </c>
      <c r="L342" s="115"/>
      <c r="M342" s="115"/>
      <c r="N342" s="182" t="s">
        <v>845</v>
      </c>
      <c r="O342" s="185"/>
      <c r="P342" s="176" t="s">
        <v>49</v>
      </c>
      <c r="Q342" s="176"/>
      <c r="R342" s="177"/>
    </row>
    <row r="343" spans="1:18" s="167" customFormat="1" ht="66" hidden="1" customHeight="1">
      <c r="B343" s="168" t="s">
        <v>138</v>
      </c>
      <c r="C343" s="169"/>
      <c r="D343" s="170" t="s">
        <v>851</v>
      </c>
      <c r="E343" s="171" t="s">
        <v>46</v>
      </c>
      <c r="F343" s="117"/>
      <c r="G343" s="118"/>
      <c r="H343" s="118"/>
      <c r="I343" s="118"/>
      <c r="J343" s="173">
        <v>45163.351064814815</v>
      </c>
      <c r="K343" s="174" t="s">
        <v>852</v>
      </c>
      <c r="L343" s="115"/>
      <c r="M343" s="115"/>
      <c r="N343" s="182" t="s">
        <v>853</v>
      </c>
      <c r="O343" s="185"/>
      <c r="P343" s="176" t="s">
        <v>49</v>
      </c>
      <c r="Q343" s="176"/>
      <c r="R343" s="177"/>
    </row>
    <row r="344" spans="1:18" s="167" customFormat="1" ht="81" hidden="1" customHeight="1">
      <c r="B344" s="168" t="s">
        <v>160</v>
      </c>
      <c r="C344" s="169"/>
      <c r="D344" s="170" t="s">
        <v>854</v>
      </c>
      <c r="E344" s="171" t="s">
        <v>46</v>
      </c>
      <c r="F344" s="117"/>
      <c r="G344" s="118"/>
      <c r="H344" s="118"/>
      <c r="I344" s="118"/>
      <c r="J344" s="173">
        <v>45163.896099537036</v>
      </c>
      <c r="K344" s="174" t="s">
        <v>855</v>
      </c>
      <c r="L344" s="115"/>
      <c r="M344" s="115"/>
      <c r="N344" s="182" t="s">
        <v>856</v>
      </c>
      <c r="O344" s="185"/>
      <c r="P344" s="176" t="s">
        <v>49</v>
      </c>
      <c r="Q344" s="176"/>
      <c r="R344" s="177"/>
    </row>
    <row r="345" spans="1:18" ht="66" hidden="1" customHeight="1">
      <c r="A345" s="167"/>
      <c r="B345" s="168" t="s">
        <v>67</v>
      </c>
      <c r="C345" s="169"/>
      <c r="D345" s="170" t="s">
        <v>857</v>
      </c>
      <c r="E345" s="171" t="s">
        <v>46</v>
      </c>
      <c r="F345" s="117"/>
      <c r="G345" s="118"/>
      <c r="H345" s="118"/>
      <c r="I345" s="118"/>
      <c r="J345" s="173">
        <v>45165.114953703705</v>
      </c>
      <c r="K345" s="174" t="s">
        <v>858</v>
      </c>
      <c r="L345" s="115"/>
      <c r="M345" s="115"/>
      <c r="N345" s="182" t="s">
        <v>859</v>
      </c>
      <c r="O345" s="185"/>
      <c r="P345" s="176" t="s">
        <v>49</v>
      </c>
      <c r="Q345" s="176"/>
      <c r="R345" s="177"/>
    </row>
    <row r="346" spans="1:18" s="167" customFormat="1" ht="66" hidden="1" customHeight="1">
      <c r="A346" s="1"/>
      <c r="B346" s="114" t="s">
        <v>79</v>
      </c>
      <c r="C346" s="115"/>
      <c r="D346" s="116" t="s">
        <v>860</v>
      </c>
      <c r="E346" s="171" t="s">
        <v>46</v>
      </c>
      <c r="F346" s="117"/>
      <c r="G346" s="118"/>
      <c r="H346" s="118"/>
      <c r="I346" s="118"/>
      <c r="J346" s="119">
        <v>45167.862546296295</v>
      </c>
      <c r="K346" s="120" t="s">
        <v>861</v>
      </c>
      <c r="L346" s="115"/>
      <c r="M346" s="115"/>
      <c r="N346" s="121" t="s">
        <v>853</v>
      </c>
      <c r="O346" s="163"/>
      <c r="P346" s="53" t="s">
        <v>49</v>
      </c>
      <c r="Q346" s="53"/>
      <c r="R346" s="54"/>
    </row>
    <row r="347" spans="1:18" ht="66" hidden="1" customHeight="1">
      <c r="A347" s="167"/>
      <c r="B347" s="168" t="s">
        <v>50</v>
      </c>
      <c r="C347" s="169"/>
      <c r="D347" s="170" t="s">
        <v>862</v>
      </c>
      <c r="E347" s="171" t="s">
        <v>46</v>
      </c>
      <c r="F347" s="117"/>
      <c r="G347" s="118"/>
      <c r="H347" s="118"/>
      <c r="I347" s="118"/>
      <c r="J347" s="173">
        <v>45167.908680555556</v>
      </c>
      <c r="K347" s="174" t="s">
        <v>863</v>
      </c>
      <c r="L347" s="115"/>
      <c r="M347" s="115"/>
      <c r="N347" s="205" t="s">
        <v>853</v>
      </c>
      <c r="O347" s="185"/>
      <c r="P347" s="176" t="s">
        <v>49</v>
      </c>
      <c r="Q347" s="176"/>
      <c r="R347" s="177"/>
    </row>
    <row r="348" spans="1:18" ht="66" hidden="1" customHeight="1">
      <c r="A348" s="167"/>
      <c r="B348" s="168" t="s">
        <v>67</v>
      </c>
      <c r="C348" s="169"/>
      <c r="D348" s="170" t="s">
        <v>864</v>
      </c>
      <c r="E348" s="171" t="s">
        <v>46</v>
      </c>
      <c r="F348" s="117"/>
      <c r="G348" s="118"/>
      <c r="H348" s="118"/>
      <c r="I348" s="118"/>
      <c r="J348" s="173">
        <v>45168.167187500003</v>
      </c>
      <c r="K348" s="174" t="s">
        <v>865</v>
      </c>
      <c r="L348" s="115"/>
      <c r="M348" s="115"/>
      <c r="N348" s="182" t="s">
        <v>866</v>
      </c>
      <c r="O348" s="185"/>
      <c r="P348" s="176" t="s">
        <v>49</v>
      </c>
      <c r="Q348" s="176"/>
      <c r="R348" s="177"/>
    </row>
    <row r="349" spans="1:18" ht="66" hidden="1" customHeight="1">
      <c r="A349" s="167"/>
      <c r="B349" s="168" t="s">
        <v>222</v>
      </c>
      <c r="C349" s="169"/>
      <c r="D349" s="170" t="s">
        <v>867</v>
      </c>
      <c r="E349" s="171" t="s">
        <v>46</v>
      </c>
      <c r="F349" s="117"/>
      <c r="G349" s="118"/>
      <c r="H349" s="118"/>
      <c r="I349" s="118"/>
      <c r="J349" s="173">
        <v>45170.941342592596</v>
      </c>
      <c r="K349" s="174" t="s">
        <v>868</v>
      </c>
      <c r="L349" s="115"/>
      <c r="M349" s="115"/>
      <c r="N349" s="182" t="s">
        <v>853</v>
      </c>
      <c r="O349" s="185"/>
      <c r="P349" s="176" t="s">
        <v>49</v>
      </c>
      <c r="Q349" s="176"/>
      <c r="R349" s="177"/>
    </row>
    <row r="350" spans="1:18" s="167" customFormat="1" ht="66" hidden="1" customHeight="1">
      <c r="B350" s="168" t="s">
        <v>163</v>
      </c>
      <c r="C350" s="169"/>
      <c r="D350" s="170" t="s">
        <v>869</v>
      </c>
      <c r="E350" s="171" t="s">
        <v>46</v>
      </c>
      <c r="F350" s="117"/>
      <c r="G350" s="118"/>
      <c r="H350" s="118"/>
      <c r="I350" s="118"/>
      <c r="J350" s="173">
        <v>45172.40047453704</v>
      </c>
      <c r="K350" s="174" t="s">
        <v>870</v>
      </c>
      <c r="L350" s="115"/>
      <c r="M350" s="115"/>
      <c r="N350" s="182" t="s">
        <v>871</v>
      </c>
      <c r="O350" s="185" t="s">
        <v>872</v>
      </c>
      <c r="P350" s="176" t="s">
        <v>49</v>
      </c>
      <c r="Q350" s="176"/>
      <c r="R350" s="177"/>
    </row>
    <row r="351" spans="1:18" s="167" customFormat="1" ht="86.1" hidden="1" customHeight="1">
      <c r="B351" s="168" t="s">
        <v>163</v>
      </c>
      <c r="C351" s="169"/>
      <c r="D351" s="170" t="s">
        <v>873</v>
      </c>
      <c r="E351" s="171" t="s">
        <v>46</v>
      </c>
      <c r="F351" s="117"/>
      <c r="G351" s="118"/>
      <c r="H351" s="118"/>
      <c r="I351" s="118"/>
      <c r="J351" s="173">
        <v>45172.402337962965</v>
      </c>
      <c r="K351" s="174" t="s">
        <v>874</v>
      </c>
      <c r="L351" s="115"/>
      <c r="M351" s="115"/>
      <c r="N351" s="182" t="s">
        <v>875</v>
      </c>
      <c r="O351" s="185"/>
      <c r="P351" s="176" t="s">
        <v>49</v>
      </c>
      <c r="Q351" s="176"/>
      <c r="R351" s="177"/>
    </row>
    <row r="352" spans="1:18" s="167" customFormat="1" ht="90.95" hidden="1" customHeight="1">
      <c r="B352" s="168" t="s">
        <v>156</v>
      </c>
      <c r="C352" s="169"/>
      <c r="D352" s="170" t="s">
        <v>876</v>
      </c>
      <c r="E352" s="171" t="s">
        <v>46</v>
      </c>
      <c r="F352" s="117"/>
      <c r="G352" s="118"/>
      <c r="H352" s="118"/>
      <c r="I352" s="118"/>
      <c r="J352" s="173">
        <v>45173.573078703703</v>
      </c>
      <c r="K352" s="174" t="s">
        <v>877</v>
      </c>
      <c r="L352" s="115"/>
      <c r="M352" s="115"/>
      <c r="N352" s="205" t="s">
        <v>853</v>
      </c>
      <c r="O352" s="185"/>
      <c r="P352" s="176" t="s">
        <v>49</v>
      </c>
      <c r="Q352" s="176"/>
      <c r="R352" s="177"/>
    </row>
    <row r="353" spans="1:18" s="167" customFormat="1" ht="66" hidden="1" customHeight="1">
      <c r="A353" s="1"/>
      <c r="B353" s="168" t="s">
        <v>178</v>
      </c>
      <c r="C353" s="115"/>
      <c r="D353" s="116" t="s">
        <v>878</v>
      </c>
      <c r="E353" s="171" t="s">
        <v>46</v>
      </c>
      <c r="F353" s="117"/>
      <c r="G353" s="118"/>
      <c r="H353" s="118"/>
      <c r="I353" s="118"/>
      <c r="J353" s="119">
        <v>45173.736689814818</v>
      </c>
      <c r="K353" s="120" t="s">
        <v>879</v>
      </c>
      <c r="L353" s="115"/>
      <c r="M353" s="115"/>
      <c r="N353" s="121" t="s">
        <v>880</v>
      </c>
      <c r="O353" s="163"/>
      <c r="P353" s="53" t="s">
        <v>49</v>
      </c>
      <c r="Q353" s="53"/>
      <c r="R353" s="54"/>
    </row>
    <row r="354" spans="1:18" ht="66" hidden="1" customHeight="1">
      <c r="A354" s="167"/>
      <c r="B354" s="168" t="s">
        <v>156</v>
      </c>
      <c r="C354" s="169"/>
      <c r="D354" s="170" t="s">
        <v>881</v>
      </c>
      <c r="E354" s="171" t="s">
        <v>46</v>
      </c>
      <c r="F354" s="117"/>
      <c r="G354" s="118"/>
      <c r="H354" s="118"/>
      <c r="I354" s="118"/>
      <c r="J354" s="173">
        <v>45173.81422453704</v>
      </c>
      <c r="K354" s="174" t="s">
        <v>882</v>
      </c>
      <c r="L354" s="115"/>
      <c r="M354" s="115"/>
      <c r="N354" s="182" t="s">
        <v>845</v>
      </c>
      <c r="O354" s="185"/>
      <c r="P354" s="176" t="s">
        <v>49</v>
      </c>
      <c r="Q354" s="176"/>
      <c r="R354" s="177"/>
    </row>
    <row r="355" spans="1:18" s="125" customFormat="1" ht="66" hidden="1" customHeight="1">
      <c r="A355" s="167"/>
      <c r="B355" s="168" t="s">
        <v>156</v>
      </c>
      <c r="C355" s="169"/>
      <c r="D355" s="170" t="s">
        <v>883</v>
      </c>
      <c r="E355" s="171" t="s">
        <v>46</v>
      </c>
      <c r="F355" s="117"/>
      <c r="G355" s="118"/>
      <c r="H355" s="118"/>
      <c r="I355" s="118"/>
      <c r="J355" s="173">
        <v>45173.817094907405</v>
      </c>
      <c r="K355" s="174">
        <v>1274659</v>
      </c>
      <c r="L355" s="115"/>
      <c r="M355" s="115"/>
      <c r="N355" s="182" t="s">
        <v>884</v>
      </c>
      <c r="O355" s="200" t="s">
        <v>885</v>
      </c>
      <c r="P355" s="176" t="s">
        <v>49</v>
      </c>
      <c r="Q355" s="176"/>
      <c r="R355" s="177"/>
    </row>
    <row r="356" spans="1:18" ht="93.95" hidden="1" customHeight="1">
      <c r="A356" s="167"/>
      <c r="B356" s="168" t="s">
        <v>156</v>
      </c>
      <c r="C356" s="169"/>
      <c r="D356" s="170" t="s">
        <v>886</v>
      </c>
      <c r="E356" s="171" t="s">
        <v>46</v>
      </c>
      <c r="F356" s="117"/>
      <c r="G356" s="118"/>
      <c r="H356" s="118"/>
      <c r="I356" s="118"/>
      <c r="J356" s="173">
        <v>45173.852534722224</v>
      </c>
      <c r="K356" s="174" t="s">
        <v>887</v>
      </c>
      <c r="L356" s="115"/>
      <c r="M356" s="115"/>
      <c r="N356" s="182" t="s">
        <v>845</v>
      </c>
      <c r="O356" s="185"/>
      <c r="P356" s="176" t="s">
        <v>49</v>
      </c>
      <c r="Q356" s="176"/>
      <c r="R356" s="177"/>
    </row>
    <row r="357" spans="1:18" s="167" customFormat="1" ht="81.95" hidden="1" customHeight="1">
      <c r="B357" s="168" t="s">
        <v>86</v>
      </c>
      <c r="C357" s="169"/>
      <c r="D357" s="170" t="s">
        <v>888</v>
      </c>
      <c r="E357" s="171" t="s">
        <v>46</v>
      </c>
      <c r="F357" s="117"/>
      <c r="G357" s="118"/>
      <c r="H357" s="118"/>
      <c r="I357" s="118"/>
      <c r="J357" s="173">
        <v>45175.433055555557</v>
      </c>
      <c r="K357" s="174" t="s">
        <v>889</v>
      </c>
      <c r="L357" s="115"/>
      <c r="M357" s="115"/>
      <c r="N357" s="182" t="s">
        <v>890</v>
      </c>
      <c r="O357" s="185"/>
      <c r="P357" s="176" t="s">
        <v>49</v>
      </c>
      <c r="Q357" s="176"/>
      <c r="R357" s="177"/>
    </row>
    <row r="358" spans="1:18" s="167" customFormat="1" ht="108" hidden="1" customHeight="1">
      <c r="B358" s="168" t="s">
        <v>156</v>
      </c>
      <c r="C358" s="169"/>
      <c r="D358" s="170" t="s">
        <v>891</v>
      </c>
      <c r="E358" s="171" t="s">
        <v>46</v>
      </c>
      <c r="F358" s="117"/>
      <c r="G358" s="118"/>
      <c r="H358" s="118"/>
      <c r="I358" s="118"/>
      <c r="J358" s="173">
        <v>45175.880069444444</v>
      </c>
      <c r="K358" s="174" t="s">
        <v>892</v>
      </c>
      <c r="L358" s="115"/>
      <c r="M358" s="115"/>
      <c r="N358" s="182" t="s">
        <v>893</v>
      </c>
      <c r="O358" s="185"/>
      <c r="P358" s="176" t="s">
        <v>49</v>
      </c>
      <c r="Q358" s="176"/>
      <c r="R358" s="177"/>
    </row>
    <row r="359" spans="1:18" ht="66" hidden="1" customHeight="1">
      <c r="A359" s="167"/>
      <c r="B359" s="168" t="s">
        <v>79</v>
      </c>
      <c r="C359" s="169"/>
      <c r="D359" s="170" t="s">
        <v>894</v>
      </c>
      <c r="E359" s="171" t="s">
        <v>46</v>
      </c>
      <c r="F359" s="117"/>
      <c r="G359" s="118"/>
      <c r="H359" s="118"/>
      <c r="I359" s="118"/>
      <c r="J359" s="173">
        <v>45175.979166666664</v>
      </c>
      <c r="K359" s="174" t="s">
        <v>895</v>
      </c>
      <c r="L359" s="115"/>
      <c r="M359" s="115"/>
      <c r="N359" s="205" t="s">
        <v>896</v>
      </c>
      <c r="O359" s="185"/>
      <c r="P359" s="176" t="s">
        <v>49</v>
      </c>
      <c r="Q359" s="176"/>
      <c r="R359" s="177"/>
    </row>
    <row r="360" spans="1:18" s="167" customFormat="1" ht="90.95" hidden="1" customHeight="1">
      <c r="A360" s="186"/>
      <c r="B360" s="187" t="s">
        <v>156</v>
      </c>
      <c r="C360" s="188"/>
      <c r="D360" s="189" t="s">
        <v>897</v>
      </c>
      <c r="E360" s="190" t="s">
        <v>46</v>
      </c>
      <c r="F360" s="117"/>
      <c r="G360" s="118"/>
      <c r="H360" s="118"/>
      <c r="I360" s="118"/>
      <c r="J360" s="191">
        <v>45176.945868055554</v>
      </c>
      <c r="K360" s="192" t="s">
        <v>898</v>
      </c>
      <c r="L360" s="115"/>
      <c r="M360" s="115"/>
      <c r="N360" s="193" t="s">
        <v>899</v>
      </c>
      <c r="O360" s="194"/>
      <c r="P360" s="195" t="s">
        <v>204</v>
      </c>
      <c r="Q360" s="195"/>
      <c r="R360" s="196"/>
    </row>
    <row r="361" spans="1:18" ht="66" hidden="1" customHeight="1">
      <c r="A361" s="167"/>
      <c r="B361" s="168" t="s">
        <v>63</v>
      </c>
      <c r="C361" s="169"/>
      <c r="D361" s="170" t="s">
        <v>900</v>
      </c>
      <c r="E361" s="171" t="s">
        <v>46</v>
      </c>
      <c r="F361" s="117"/>
      <c r="G361" s="118"/>
      <c r="H361" s="118"/>
      <c r="I361" s="118"/>
      <c r="J361" s="173">
        <v>45177.423090277778</v>
      </c>
      <c r="K361" s="174" t="s">
        <v>901</v>
      </c>
      <c r="L361" s="115"/>
      <c r="M361" s="115"/>
      <c r="N361" s="182" t="s">
        <v>902</v>
      </c>
      <c r="O361" s="185"/>
      <c r="P361" s="176" t="s">
        <v>49</v>
      </c>
      <c r="Q361" s="176"/>
      <c r="R361" s="177"/>
    </row>
    <row r="362" spans="1:18" s="167" customFormat="1" ht="66" hidden="1" customHeight="1">
      <c r="A362" s="208"/>
      <c r="B362" s="209" t="s">
        <v>214</v>
      </c>
      <c r="C362" s="210"/>
      <c r="D362" s="211" t="s">
        <v>903</v>
      </c>
      <c r="E362" s="212" t="s">
        <v>46</v>
      </c>
      <c r="F362" s="117"/>
      <c r="G362" s="118"/>
      <c r="H362" s="118"/>
      <c r="I362" s="118"/>
      <c r="J362" s="213">
        <v>45179.246099537035</v>
      </c>
      <c r="K362" s="214" t="s">
        <v>904</v>
      </c>
      <c r="L362" s="115"/>
      <c r="M362" s="115"/>
      <c r="N362" s="215" t="s">
        <v>905</v>
      </c>
      <c r="O362" s="216"/>
      <c r="P362" s="217" t="s">
        <v>49</v>
      </c>
      <c r="Q362" s="217"/>
      <c r="R362" s="218"/>
    </row>
    <row r="363" spans="1:18" s="167" customFormat="1" ht="90" hidden="1" customHeight="1">
      <c r="B363" s="168" t="s">
        <v>129</v>
      </c>
      <c r="C363" s="169"/>
      <c r="D363" s="170" t="s">
        <v>906</v>
      </c>
      <c r="E363" s="171" t="s">
        <v>46</v>
      </c>
      <c r="F363" s="117"/>
      <c r="G363" s="118"/>
      <c r="H363" s="118"/>
      <c r="I363" s="118"/>
      <c r="J363" s="173">
        <v>45180.197916666664</v>
      </c>
      <c r="K363" s="174" t="s">
        <v>907</v>
      </c>
      <c r="L363" s="115"/>
      <c r="M363" s="115"/>
      <c r="N363" s="182" t="s">
        <v>908</v>
      </c>
      <c r="O363" s="185"/>
      <c r="P363" s="176" t="s">
        <v>49</v>
      </c>
      <c r="Q363" s="176"/>
      <c r="R363" s="177"/>
    </row>
    <row r="364" spans="1:18" s="167" customFormat="1" ht="66" hidden="1" customHeight="1">
      <c r="B364" s="168" t="s">
        <v>160</v>
      </c>
      <c r="C364" s="169"/>
      <c r="D364" s="170" t="s">
        <v>909</v>
      </c>
      <c r="E364" s="171" t="s">
        <v>46</v>
      </c>
      <c r="F364" s="117"/>
      <c r="G364" s="118"/>
      <c r="H364" s="118"/>
      <c r="I364" s="118"/>
      <c r="J364" s="173">
        <v>45181.712962962964</v>
      </c>
      <c r="K364" s="174" t="s">
        <v>910</v>
      </c>
      <c r="L364" s="115"/>
      <c r="M364" s="115"/>
      <c r="N364" s="182" t="s">
        <v>911</v>
      </c>
      <c r="O364" s="185"/>
      <c r="P364" s="176" t="s">
        <v>49</v>
      </c>
      <c r="Q364" s="176"/>
      <c r="R364" s="177"/>
    </row>
    <row r="365" spans="1:18" s="167" customFormat="1" ht="66" hidden="1" customHeight="1">
      <c r="B365" s="168" t="s">
        <v>170</v>
      </c>
      <c r="C365" s="169"/>
      <c r="D365" s="170" t="s">
        <v>912</v>
      </c>
      <c r="E365" s="171" t="s">
        <v>46</v>
      </c>
      <c r="F365" s="117"/>
      <c r="G365" s="118"/>
      <c r="H365" s="118"/>
      <c r="I365" s="118"/>
      <c r="J365" s="173">
        <v>45182.246087962965</v>
      </c>
      <c r="K365" s="174" t="s">
        <v>913</v>
      </c>
      <c r="L365" s="115"/>
      <c r="M365" s="115"/>
      <c r="N365" s="182" t="s">
        <v>914</v>
      </c>
      <c r="O365" s="185"/>
      <c r="P365" s="176" t="s">
        <v>49</v>
      </c>
      <c r="Q365" s="176"/>
      <c r="R365" s="177"/>
    </row>
    <row r="366" spans="1:18" s="167" customFormat="1" ht="66" hidden="1" customHeight="1">
      <c r="B366" s="168" t="s">
        <v>146</v>
      </c>
      <c r="C366" s="169"/>
      <c r="D366" s="170" t="s">
        <v>915</v>
      </c>
      <c r="E366" s="171" t="s">
        <v>46</v>
      </c>
      <c r="F366" s="117"/>
      <c r="G366" s="118"/>
      <c r="H366" s="118"/>
      <c r="I366" s="118"/>
      <c r="J366" s="173">
        <v>45183.934363425928</v>
      </c>
      <c r="K366" s="174" t="s">
        <v>916</v>
      </c>
      <c r="L366" s="115"/>
      <c r="M366" s="115"/>
      <c r="N366" s="182" t="s">
        <v>917</v>
      </c>
      <c r="O366" s="185"/>
      <c r="P366" s="176" t="s">
        <v>49</v>
      </c>
      <c r="Q366" s="176"/>
      <c r="R366" s="177"/>
    </row>
    <row r="367" spans="1:18" s="167" customFormat="1" ht="66" hidden="1" customHeight="1">
      <c r="B367" s="168" t="s">
        <v>256</v>
      </c>
      <c r="C367" s="169"/>
      <c r="D367" s="170" t="s">
        <v>918</v>
      </c>
      <c r="E367" s="171" t="s">
        <v>46</v>
      </c>
      <c r="F367" s="117"/>
      <c r="G367" s="118"/>
      <c r="H367" s="118"/>
      <c r="I367" s="118"/>
      <c r="J367" s="173">
        <v>45184.128321759257</v>
      </c>
      <c r="K367" s="174" t="s">
        <v>919</v>
      </c>
      <c r="L367" s="115"/>
      <c r="M367" s="115"/>
      <c r="N367" s="182" t="s">
        <v>920</v>
      </c>
      <c r="O367" s="185"/>
      <c r="P367" s="176" t="s">
        <v>49</v>
      </c>
      <c r="Q367" s="176"/>
      <c r="R367" s="177"/>
    </row>
    <row r="368" spans="1:18" s="167" customFormat="1" ht="66" hidden="1" customHeight="1">
      <c r="B368" s="168" t="s">
        <v>63</v>
      </c>
      <c r="C368" s="169"/>
      <c r="D368" s="170" t="s">
        <v>921</v>
      </c>
      <c r="E368" s="171" t="s">
        <v>46</v>
      </c>
      <c r="F368" s="117"/>
      <c r="G368" s="118"/>
      <c r="H368" s="118"/>
      <c r="I368" s="118"/>
      <c r="J368" s="173">
        <v>45186.403634259259</v>
      </c>
      <c r="K368" s="174" t="s">
        <v>922</v>
      </c>
      <c r="L368" s="115"/>
      <c r="M368" s="115"/>
      <c r="N368" s="182" t="s">
        <v>923</v>
      </c>
      <c r="O368" s="185"/>
      <c r="P368" s="176" t="s">
        <v>49</v>
      </c>
      <c r="Q368" s="176"/>
      <c r="R368" s="177"/>
    </row>
    <row r="369" spans="1:18" ht="66" hidden="1" customHeight="1">
      <c r="A369" s="167"/>
      <c r="B369" s="168" t="s">
        <v>50</v>
      </c>
      <c r="C369" s="169"/>
      <c r="D369" s="170" t="s">
        <v>924</v>
      </c>
      <c r="E369" s="171" t="s">
        <v>46</v>
      </c>
      <c r="F369" s="117"/>
      <c r="G369" s="118"/>
      <c r="H369" s="118"/>
      <c r="I369" s="118"/>
      <c r="J369" s="173">
        <v>45187.826956018522</v>
      </c>
      <c r="K369" s="174" t="s">
        <v>925</v>
      </c>
      <c r="L369" s="115"/>
      <c r="M369" s="115"/>
      <c r="N369" s="205" t="s">
        <v>926</v>
      </c>
      <c r="O369" s="185"/>
      <c r="P369" s="176" t="s">
        <v>49</v>
      </c>
      <c r="Q369" s="176"/>
      <c r="R369" s="177"/>
    </row>
    <row r="370" spans="1:18" s="167" customFormat="1" ht="66" hidden="1" customHeight="1">
      <c r="B370" s="168" t="s">
        <v>610</v>
      </c>
      <c r="C370" s="169"/>
      <c r="D370" s="170" t="s">
        <v>927</v>
      </c>
      <c r="E370" s="171" t="s">
        <v>46</v>
      </c>
      <c r="F370" s="117"/>
      <c r="G370" s="118"/>
      <c r="H370" s="118"/>
      <c r="I370" s="118"/>
      <c r="J370" s="173">
        <v>45188.325613425928</v>
      </c>
      <c r="K370" s="174" t="s">
        <v>928</v>
      </c>
      <c r="L370" s="115"/>
      <c r="M370" s="115"/>
      <c r="N370" s="182" t="s">
        <v>929</v>
      </c>
      <c r="O370" s="185"/>
      <c r="P370" s="176" t="s">
        <v>49</v>
      </c>
      <c r="Q370" s="176"/>
      <c r="R370" s="177"/>
    </row>
    <row r="371" spans="1:18" s="167" customFormat="1" ht="66" hidden="1" customHeight="1">
      <c r="B371" s="168" t="s">
        <v>178</v>
      </c>
      <c r="C371" s="169"/>
      <c r="D371" s="170" t="s">
        <v>930</v>
      </c>
      <c r="E371" s="171" t="s">
        <v>46</v>
      </c>
      <c r="F371" s="117"/>
      <c r="G371" s="118"/>
      <c r="H371" s="118"/>
      <c r="I371" s="118"/>
      <c r="J371" s="173">
        <v>45188.998981481483</v>
      </c>
      <c r="K371" s="174" t="s">
        <v>931</v>
      </c>
      <c r="L371" s="115"/>
      <c r="M371" s="115"/>
      <c r="N371" s="182" t="s">
        <v>932</v>
      </c>
      <c r="O371" s="185"/>
      <c r="P371" s="176" t="s">
        <v>49</v>
      </c>
      <c r="Q371" s="176"/>
      <c r="R371" s="177"/>
    </row>
    <row r="372" spans="1:18" s="167" customFormat="1" ht="66" hidden="1" customHeight="1">
      <c r="A372" s="186"/>
      <c r="B372" s="187" t="s">
        <v>933</v>
      </c>
      <c r="C372" s="188"/>
      <c r="D372" s="189" t="s">
        <v>934</v>
      </c>
      <c r="E372" s="190" t="s">
        <v>46</v>
      </c>
      <c r="F372" s="117"/>
      <c r="G372" s="118"/>
      <c r="H372" s="118"/>
      <c r="I372" s="118"/>
      <c r="J372" s="191">
        <v>45189.002187500002</v>
      </c>
      <c r="K372" s="192" t="s">
        <v>935</v>
      </c>
      <c r="L372" s="115"/>
      <c r="M372" s="115"/>
      <c r="N372" s="193" t="s">
        <v>936</v>
      </c>
      <c r="O372" s="194" t="s">
        <v>331</v>
      </c>
      <c r="P372" s="195" t="s">
        <v>204</v>
      </c>
      <c r="Q372" s="195"/>
      <c r="R372" s="196"/>
    </row>
    <row r="373" spans="1:18" s="167" customFormat="1" ht="66" hidden="1" customHeight="1">
      <c r="B373" s="168" t="s">
        <v>178</v>
      </c>
      <c r="C373" s="169"/>
      <c r="D373" s="170" t="s">
        <v>937</v>
      </c>
      <c r="E373" s="171" t="s">
        <v>46</v>
      </c>
      <c r="F373" s="117"/>
      <c r="G373" s="118"/>
      <c r="H373" s="118"/>
      <c r="I373" s="118"/>
      <c r="J373" s="173">
        <v>45190.028854166667</v>
      </c>
      <c r="K373" s="174" t="s">
        <v>938</v>
      </c>
      <c r="L373" s="115"/>
      <c r="M373" s="115"/>
      <c r="N373" s="182" t="s">
        <v>939</v>
      </c>
      <c r="O373" s="185"/>
      <c r="P373" s="176" t="s">
        <v>49</v>
      </c>
      <c r="Q373" s="176"/>
      <c r="R373" s="177"/>
    </row>
    <row r="374" spans="1:18" s="167" customFormat="1" ht="66" hidden="1" customHeight="1">
      <c r="B374" s="168" t="s">
        <v>63</v>
      </c>
      <c r="C374" s="169"/>
      <c r="D374" s="170" t="s">
        <v>940</v>
      </c>
      <c r="E374" s="171" t="s">
        <v>46</v>
      </c>
      <c r="F374" s="117"/>
      <c r="G374" s="118"/>
      <c r="H374" s="118"/>
      <c r="I374" s="118"/>
      <c r="J374" s="173">
        <v>45190.230150462965</v>
      </c>
      <c r="K374" s="174" t="s">
        <v>941</v>
      </c>
      <c r="L374" s="115"/>
      <c r="M374" s="115"/>
      <c r="N374" s="205" t="s">
        <v>942</v>
      </c>
      <c r="O374" s="185"/>
      <c r="P374" s="176" t="s">
        <v>49</v>
      </c>
      <c r="Q374" s="176"/>
      <c r="R374" s="177"/>
    </row>
    <row r="375" spans="1:18" s="167" customFormat="1" ht="102.95" hidden="1" customHeight="1">
      <c r="B375" s="168" t="s">
        <v>63</v>
      </c>
      <c r="C375" s="169"/>
      <c r="D375" s="170" t="s">
        <v>940</v>
      </c>
      <c r="E375" s="171" t="s">
        <v>46</v>
      </c>
      <c r="F375" s="117"/>
      <c r="G375" s="118"/>
      <c r="H375" s="118"/>
      <c r="I375" s="118"/>
      <c r="J375" s="173">
        <v>45190.230150462965</v>
      </c>
      <c r="K375" s="174" t="s">
        <v>941</v>
      </c>
      <c r="L375" s="115"/>
      <c r="M375" s="115"/>
      <c r="N375" s="182" t="s">
        <v>939</v>
      </c>
      <c r="O375" s="185"/>
      <c r="P375" s="176" t="s">
        <v>49</v>
      </c>
      <c r="Q375" s="176"/>
      <c r="R375" s="177"/>
    </row>
    <row r="376" spans="1:18" s="167" customFormat="1" ht="96.95" hidden="1" customHeight="1">
      <c r="B376" s="168" t="s">
        <v>50</v>
      </c>
      <c r="C376" s="169"/>
      <c r="D376" s="170" t="s">
        <v>943</v>
      </c>
      <c r="E376" s="171" t="s">
        <v>46</v>
      </c>
      <c r="F376" s="117"/>
      <c r="G376" s="118"/>
      <c r="H376" s="118"/>
      <c r="I376" s="118"/>
      <c r="J376" s="173">
        <v>45191.725451388891</v>
      </c>
      <c r="K376" s="174" t="s">
        <v>944</v>
      </c>
      <c r="L376" s="115"/>
      <c r="M376" s="115"/>
      <c r="N376" s="182" t="s">
        <v>945</v>
      </c>
      <c r="O376" s="185"/>
      <c r="P376" s="176" t="s">
        <v>49</v>
      </c>
      <c r="Q376" s="176"/>
      <c r="R376" s="177"/>
    </row>
    <row r="377" spans="1:18" s="167" customFormat="1" ht="66" hidden="1" customHeight="1">
      <c r="B377" s="168" t="s">
        <v>256</v>
      </c>
      <c r="C377" s="169"/>
      <c r="D377" s="170" t="s">
        <v>946</v>
      </c>
      <c r="E377" s="171" t="s">
        <v>46</v>
      </c>
      <c r="F377" s="117"/>
      <c r="G377" s="118"/>
      <c r="H377" s="118"/>
      <c r="I377" s="118"/>
      <c r="J377" s="173">
        <v>45193.353402777779</v>
      </c>
      <c r="K377" s="174" t="s">
        <v>947</v>
      </c>
      <c r="L377" s="115"/>
      <c r="M377" s="115"/>
      <c r="N377" s="182" t="s">
        <v>948</v>
      </c>
      <c r="O377" s="185"/>
      <c r="P377" s="176" t="s">
        <v>49</v>
      </c>
      <c r="Q377" s="176"/>
      <c r="R377" s="177"/>
    </row>
    <row r="378" spans="1:18" s="167" customFormat="1" ht="66" hidden="1" customHeight="1">
      <c r="B378" s="168" t="s">
        <v>256</v>
      </c>
      <c r="C378" s="169"/>
      <c r="D378" s="170" t="s">
        <v>949</v>
      </c>
      <c r="E378" s="171" t="s">
        <v>46</v>
      </c>
      <c r="F378" s="117"/>
      <c r="G378" s="118"/>
      <c r="H378" s="118"/>
      <c r="I378" s="118"/>
      <c r="J378" s="173">
        <v>45193.409143518518</v>
      </c>
      <c r="K378" s="174" t="s">
        <v>950</v>
      </c>
      <c r="L378" s="115"/>
      <c r="M378" s="115"/>
      <c r="N378" s="182" t="s">
        <v>945</v>
      </c>
      <c r="O378" s="185"/>
      <c r="P378" s="176" t="s">
        <v>49</v>
      </c>
      <c r="Q378" s="176"/>
      <c r="R378" s="177"/>
    </row>
    <row r="379" spans="1:18" s="167" customFormat="1" ht="66" hidden="1" customHeight="1">
      <c r="B379" s="168" t="s">
        <v>54</v>
      </c>
      <c r="C379" s="169"/>
      <c r="D379" s="170" t="s">
        <v>951</v>
      </c>
      <c r="E379" s="171" t="s">
        <v>46</v>
      </c>
      <c r="F379" s="117"/>
      <c r="G379" s="118"/>
      <c r="H379" s="118"/>
      <c r="I379" s="118"/>
      <c r="J379" s="173">
        <v>45196.972268518519</v>
      </c>
      <c r="K379" s="174" t="s">
        <v>952</v>
      </c>
      <c r="L379" s="115"/>
      <c r="M379" s="115"/>
      <c r="N379" s="182" t="s">
        <v>945</v>
      </c>
      <c r="O379" s="185"/>
      <c r="P379" s="176" t="s">
        <v>49</v>
      </c>
      <c r="Q379" s="176"/>
      <c r="R379" s="177"/>
    </row>
    <row r="380" spans="1:18" s="167" customFormat="1" ht="66" hidden="1" customHeight="1">
      <c r="B380" s="168" t="s">
        <v>54</v>
      </c>
      <c r="C380" s="169"/>
      <c r="D380" s="170" t="s">
        <v>953</v>
      </c>
      <c r="E380" s="171" t="s">
        <v>46</v>
      </c>
      <c r="F380" s="117"/>
      <c r="G380" s="118"/>
      <c r="H380" s="118"/>
      <c r="I380" s="118"/>
      <c r="J380" s="173">
        <v>45197.886921296296</v>
      </c>
      <c r="K380" s="174" t="s">
        <v>954</v>
      </c>
      <c r="L380" s="115"/>
      <c r="M380" s="115"/>
      <c r="N380" s="182" t="s">
        <v>955</v>
      </c>
      <c r="O380" s="185"/>
      <c r="P380" s="176" t="s">
        <v>49</v>
      </c>
      <c r="Q380" s="176"/>
      <c r="R380" s="177"/>
    </row>
    <row r="381" spans="1:18" s="167" customFormat="1" ht="66" hidden="1" customHeight="1">
      <c r="B381" s="168" t="s">
        <v>54</v>
      </c>
      <c r="C381" s="169"/>
      <c r="D381" s="170" t="s">
        <v>956</v>
      </c>
      <c r="E381" s="171" t="s">
        <v>46</v>
      </c>
      <c r="F381" s="117"/>
      <c r="G381" s="118"/>
      <c r="H381" s="118"/>
      <c r="I381" s="118"/>
      <c r="J381" s="173">
        <v>45197.887812499997</v>
      </c>
      <c r="K381" s="174" t="s">
        <v>957</v>
      </c>
      <c r="L381" s="115"/>
      <c r="M381" s="115"/>
      <c r="N381" s="182" t="s">
        <v>958</v>
      </c>
      <c r="O381" s="185"/>
      <c r="P381" s="176" t="s">
        <v>49</v>
      </c>
      <c r="Q381" s="176"/>
      <c r="R381" s="177"/>
    </row>
    <row r="382" spans="1:18" s="167" customFormat="1" ht="66" hidden="1" customHeight="1">
      <c r="B382" s="168" t="s">
        <v>63</v>
      </c>
      <c r="C382" s="169"/>
      <c r="D382" s="170" t="s">
        <v>959</v>
      </c>
      <c r="E382" s="171" t="s">
        <v>46</v>
      </c>
      <c r="F382" s="117"/>
      <c r="G382" s="118"/>
      <c r="H382" s="118"/>
      <c r="I382" s="118"/>
      <c r="J382" s="173">
        <v>45198.356111111112</v>
      </c>
      <c r="K382" s="174" t="s">
        <v>960</v>
      </c>
      <c r="L382" s="115"/>
      <c r="M382" s="115"/>
      <c r="N382" s="182" t="s">
        <v>948</v>
      </c>
      <c r="O382" s="185"/>
      <c r="P382" s="176" t="s">
        <v>49</v>
      </c>
      <c r="Q382" s="176"/>
      <c r="R382" s="177"/>
    </row>
    <row r="383" spans="1:18" s="167" customFormat="1" ht="66" hidden="1" customHeight="1">
      <c r="B383" s="168" t="s">
        <v>156</v>
      </c>
      <c r="C383" s="169"/>
      <c r="D383" s="170" t="s">
        <v>961</v>
      </c>
      <c r="E383" s="171" t="s">
        <v>46</v>
      </c>
      <c r="F383" s="117"/>
      <c r="G383" s="118"/>
      <c r="H383" s="118"/>
      <c r="I383" s="118"/>
      <c r="J383" s="173">
        <v>45199.78633101852</v>
      </c>
      <c r="K383" s="174" t="s">
        <v>962</v>
      </c>
      <c r="L383" s="115"/>
      <c r="M383" s="115"/>
      <c r="N383" s="182" t="s">
        <v>963</v>
      </c>
      <c r="O383" s="185"/>
      <c r="P383" s="176" t="s">
        <v>49</v>
      </c>
      <c r="Q383" s="176"/>
      <c r="R383" s="177"/>
    </row>
    <row r="384" spans="1:18" s="167" customFormat="1" ht="66" hidden="1" customHeight="1">
      <c r="B384" s="168" t="s">
        <v>54</v>
      </c>
      <c r="C384" s="169"/>
      <c r="D384" s="170" t="s">
        <v>964</v>
      </c>
      <c r="E384" s="171" t="s">
        <v>46</v>
      </c>
      <c r="F384" s="117"/>
      <c r="G384" s="118"/>
      <c r="H384" s="118"/>
      <c r="I384" s="118"/>
      <c r="J384" s="173">
        <v>45199.812141203707</v>
      </c>
      <c r="K384" s="174" t="s">
        <v>965</v>
      </c>
      <c r="L384" s="115"/>
      <c r="M384" s="115"/>
      <c r="N384" s="182" t="s">
        <v>966</v>
      </c>
      <c r="O384" s="185"/>
      <c r="P384" s="176" t="s">
        <v>49</v>
      </c>
      <c r="Q384" s="176"/>
      <c r="R384" s="177"/>
    </row>
    <row r="385" spans="1:18" s="167" customFormat="1" ht="66" hidden="1" customHeight="1">
      <c r="A385" s="1"/>
      <c r="B385" s="114" t="s">
        <v>54</v>
      </c>
      <c r="C385" s="115"/>
      <c r="D385" s="116" t="s">
        <v>967</v>
      </c>
      <c r="E385" s="171" t="s">
        <v>46</v>
      </c>
      <c r="F385" s="117"/>
      <c r="G385" s="118"/>
      <c r="H385" s="118"/>
      <c r="I385" s="118"/>
      <c r="J385" s="119">
        <v>45201.811759259261</v>
      </c>
      <c r="K385" s="120" t="s">
        <v>968</v>
      </c>
      <c r="L385" s="115"/>
      <c r="M385" s="115"/>
      <c r="N385" s="121" t="s">
        <v>969</v>
      </c>
      <c r="O385" s="163"/>
      <c r="P385" s="53" t="s">
        <v>49</v>
      </c>
      <c r="Q385" s="53"/>
      <c r="R385" s="54"/>
    </row>
    <row r="386" spans="1:18" s="167" customFormat="1" ht="98.1" hidden="1" customHeight="1">
      <c r="B386" s="168" t="s">
        <v>170</v>
      </c>
      <c r="C386" s="169"/>
      <c r="D386" s="170" t="s">
        <v>970</v>
      </c>
      <c r="E386" s="171" t="s">
        <v>46</v>
      </c>
      <c r="F386" s="117"/>
      <c r="G386" s="118"/>
      <c r="H386" s="118"/>
      <c r="I386" s="118"/>
      <c r="J386" s="173">
        <v>45203.317106481481</v>
      </c>
      <c r="K386" s="174" t="s">
        <v>971</v>
      </c>
      <c r="L386" s="115"/>
      <c r="M386" s="115"/>
      <c r="N386" s="182" t="s">
        <v>972</v>
      </c>
      <c r="O386" s="185"/>
      <c r="P386" s="176" t="s">
        <v>49</v>
      </c>
      <c r="Q386" s="176"/>
      <c r="R386" s="177"/>
    </row>
    <row r="387" spans="1:18" s="167" customFormat="1" ht="66" hidden="1" customHeight="1">
      <c r="B387" s="168" t="s">
        <v>170</v>
      </c>
      <c r="C387" s="169"/>
      <c r="D387" s="170" t="s">
        <v>973</v>
      </c>
      <c r="E387" s="171" t="s">
        <v>46</v>
      </c>
      <c r="F387" s="117"/>
      <c r="G387" s="118"/>
      <c r="H387" s="118"/>
      <c r="I387" s="118"/>
      <c r="J387" s="173">
        <v>45203.318622685183</v>
      </c>
      <c r="K387" s="174" t="s">
        <v>974</v>
      </c>
      <c r="L387" s="115"/>
      <c r="M387" s="115"/>
      <c r="N387" s="182" t="s">
        <v>975</v>
      </c>
      <c r="O387" s="185"/>
      <c r="P387" s="176" t="s">
        <v>49</v>
      </c>
      <c r="Q387" s="176"/>
      <c r="R387" s="177"/>
    </row>
    <row r="388" spans="1:18" s="167" customFormat="1" ht="66" hidden="1" customHeight="1">
      <c r="A388" s="186"/>
      <c r="B388" s="187" t="s">
        <v>610</v>
      </c>
      <c r="C388" s="188"/>
      <c r="D388" s="189" t="s">
        <v>976</v>
      </c>
      <c r="E388" s="190" t="s">
        <v>46</v>
      </c>
      <c r="F388" s="190"/>
      <c r="G388" s="238"/>
      <c r="H388" s="238"/>
      <c r="I388" s="238"/>
      <c r="J388" s="191">
        <v>45204</v>
      </c>
      <c r="K388" s="192" t="s">
        <v>977</v>
      </c>
      <c r="L388" s="188"/>
      <c r="M388" s="188"/>
      <c r="N388" s="193" t="s">
        <v>978</v>
      </c>
      <c r="O388" s="194"/>
      <c r="P388" s="195" t="s">
        <v>204</v>
      </c>
      <c r="Q388" s="195"/>
      <c r="R388" s="196"/>
    </row>
    <row r="389" spans="1:18" s="167" customFormat="1" ht="66" hidden="1" customHeight="1">
      <c r="B389" s="168" t="s">
        <v>214</v>
      </c>
      <c r="C389" s="169"/>
      <c r="D389" s="170" t="s">
        <v>979</v>
      </c>
      <c r="E389" s="171" t="s">
        <v>46</v>
      </c>
      <c r="F389" s="117"/>
      <c r="G389" s="118"/>
      <c r="H389" s="118"/>
      <c r="I389" s="118"/>
      <c r="J389" s="173">
        <v>45207.238506944443</v>
      </c>
      <c r="K389" s="174" t="s">
        <v>980</v>
      </c>
      <c r="L389" s="115"/>
      <c r="M389" s="115"/>
      <c r="N389" s="205" t="s">
        <v>975</v>
      </c>
      <c r="O389" s="185"/>
      <c r="P389" s="176" t="s">
        <v>49</v>
      </c>
      <c r="Q389" s="176"/>
      <c r="R389" s="177"/>
    </row>
    <row r="390" spans="1:18" s="167" customFormat="1" ht="66" hidden="1" customHeight="1">
      <c r="B390" s="168" t="s">
        <v>178</v>
      </c>
      <c r="C390" s="169"/>
      <c r="D390" s="170" t="s">
        <v>981</v>
      </c>
      <c r="E390" s="171" t="s">
        <v>46</v>
      </c>
      <c r="F390" s="117"/>
      <c r="G390" s="118"/>
      <c r="H390" s="118"/>
      <c r="I390" s="118"/>
      <c r="J390" s="173">
        <v>45208.904756944445</v>
      </c>
      <c r="K390" s="174" t="s">
        <v>982</v>
      </c>
      <c r="L390" s="115"/>
      <c r="M390" s="115"/>
      <c r="N390" s="182" t="s">
        <v>983</v>
      </c>
      <c r="O390" s="185"/>
      <c r="P390" s="176" t="s">
        <v>49</v>
      </c>
      <c r="Q390" s="176"/>
      <c r="R390" s="177"/>
    </row>
    <row r="391" spans="1:18" s="167" customFormat="1" ht="66" hidden="1" customHeight="1">
      <c r="B391" s="168" t="s">
        <v>99</v>
      </c>
      <c r="C391" s="169"/>
      <c r="D391" s="170" t="s">
        <v>984</v>
      </c>
      <c r="E391" s="171" t="s">
        <v>46</v>
      </c>
      <c r="F391" s="117"/>
      <c r="G391" s="118"/>
      <c r="H391" s="118"/>
      <c r="I391" s="118"/>
      <c r="J391" s="173">
        <v>45212.272268518522</v>
      </c>
      <c r="K391" s="174" t="s">
        <v>985</v>
      </c>
      <c r="L391" s="115"/>
      <c r="M391" s="115"/>
      <c r="N391" s="182" t="s">
        <v>986</v>
      </c>
      <c r="O391" s="185"/>
      <c r="P391" s="176" t="s">
        <v>49</v>
      </c>
      <c r="Q391" s="176"/>
      <c r="R391" s="177"/>
    </row>
    <row r="392" spans="1:18" s="167" customFormat="1" ht="66" hidden="1" customHeight="1">
      <c r="B392" s="168" t="s">
        <v>99</v>
      </c>
      <c r="C392" s="169"/>
      <c r="D392" s="170" t="s">
        <v>984</v>
      </c>
      <c r="E392" s="171" t="s">
        <v>46</v>
      </c>
      <c r="F392" s="117"/>
      <c r="G392" s="118"/>
      <c r="H392" s="118"/>
      <c r="I392" s="118"/>
      <c r="J392" s="173">
        <v>45212.272268518522</v>
      </c>
      <c r="K392" s="174" t="s">
        <v>985</v>
      </c>
      <c r="L392" s="115"/>
      <c r="M392" s="115"/>
      <c r="N392" s="182" t="s">
        <v>975</v>
      </c>
      <c r="O392" s="185"/>
      <c r="P392" s="176" t="s">
        <v>49</v>
      </c>
      <c r="Q392" s="176"/>
      <c r="R392" s="177"/>
    </row>
    <row r="393" spans="1:18" s="167" customFormat="1" ht="66" hidden="1" customHeight="1">
      <c r="B393" s="168" t="s">
        <v>54</v>
      </c>
      <c r="C393" s="169"/>
      <c r="D393" s="170" t="s">
        <v>987</v>
      </c>
      <c r="E393" s="171" t="s">
        <v>46</v>
      </c>
      <c r="F393" s="117"/>
      <c r="G393" s="118"/>
      <c r="H393" s="118"/>
      <c r="I393" s="118"/>
      <c r="J393" s="173">
        <v>45212.776886574073</v>
      </c>
      <c r="K393" s="174">
        <v>1348962</v>
      </c>
      <c r="L393" s="115"/>
      <c r="M393" s="115"/>
      <c r="N393" s="182" t="s">
        <v>975</v>
      </c>
      <c r="O393" s="185"/>
      <c r="P393" s="176" t="s">
        <v>49</v>
      </c>
      <c r="Q393" s="176"/>
      <c r="R393" s="177"/>
    </row>
    <row r="394" spans="1:18" s="317" customFormat="1" ht="66" customHeight="1">
      <c r="B394" s="318" t="s">
        <v>190</v>
      </c>
      <c r="C394" s="319"/>
      <c r="D394" s="320" t="s">
        <v>988</v>
      </c>
      <c r="E394" s="321" t="s">
        <v>46</v>
      </c>
      <c r="F394" s="117"/>
      <c r="G394" s="118"/>
      <c r="H394" s="118"/>
      <c r="I394" s="118"/>
      <c r="J394" s="322">
        <v>45215.40185185185</v>
      </c>
      <c r="K394" s="323" t="s">
        <v>989</v>
      </c>
      <c r="L394" s="115"/>
      <c r="M394" s="115"/>
      <c r="N394" s="324" t="s">
        <v>990</v>
      </c>
      <c r="O394" s="325" t="s">
        <v>991</v>
      </c>
      <c r="P394" s="326" t="s">
        <v>49</v>
      </c>
      <c r="Q394" s="326"/>
      <c r="R394" s="327"/>
    </row>
    <row r="395" spans="1:18" s="167" customFormat="1" ht="66" hidden="1" customHeight="1">
      <c r="B395" s="168" t="s">
        <v>54</v>
      </c>
      <c r="C395" s="169"/>
      <c r="D395" s="170" t="s">
        <v>992</v>
      </c>
      <c r="E395" s="171" t="s">
        <v>46</v>
      </c>
      <c r="F395" s="117"/>
      <c r="G395" s="118"/>
      <c r="H395" s="118"/>
      <c r="I395" s="118"/>
      <c r="J395" s="173">
        <v>45215.816064814811</v>
      </c>
      <c r="K395" s="174" t="s">
        <v>993</v>
      </c>
      <c r="L395" s="115"/>
      <c r="M395" s="115"/>
      <c r="N395" s="182" t="s">
        <v>994</v>
      </c>
      <c r="O395" s="185"/>
      <c r="P395" s="176" t="s">
        <v>49</v>
      </c>
      <c r="Q395" s="176"/>
      <c r="R395" s="177"/>
    </row>
    <row r="396" spans="1:18" s="223" customFormat="1" ht="66" hidden="1" customHeight="1">
      <c r="B396" s="299" t="s">
        <v>178</v>
      </c>
      <c r="C396" s="301"/>
      <c r="D396" s="224" t="s">
        <v>995</v>
      </c>
      <c r="E396" s="225" t="s">
        <v>46</v>
      </c>
      <c r="F396" s="117"/>
      <c r="G396" s="118"/>
      <c r="H396" s="118"/>
      <c r="I396" s="118"/>
      <c r="J396" s="303">
        <v>45215.908252314817</v>
      </c>
      <c r="K396" s="306" t="s">
        <v>996</v>
      </c>
      <c r="L396" s="115"/>
      <c r="M396" s="115"/>
      <c r="N396" s="205" t="s">
        <v>997</v>
      </c>
      <c r="O396" s="311"/>
      <c r="P396" s="226" t="s">
        <v>49</v>
      </c>
      <c r="Q396" s="226"/>
      <c r="R396" s="315"/>
    </row>
    <row r="397" spans="1:18" s="167" customFormat="1" ht="66" hidden="1" customHeight="1">
      <c r="B397" s="298" t="s">
        <v>54</v>
      </c>
      <c r="C397" s="300"/>
      <c r="D397" s="221" t="s">
        <v>998</v>
      </c>
      <c r="E397" s="222" t="s">
        <v>46</v>
      </c>
      <c r="F397" s="117"/>
      <c r="G397" s="118"/>
      <c r="H397" s="118"/>
      <c r="I397" s="118"/>
      <c r="J397" s="302">
        <v>45216.064143518517</v>
      </c>
      <c r="K397" s="305" t="s">
        <v>999</v>
      </c>
      <c r="L397" s="115"/>
      <c r="M397" s="115"/>
      <c r="N397" s="307" t="s">
        <v>975</v>
      </c>
      <c r="O397" s="185"/>
      <c r="P397" s="198" t="s">
        <v>49</v>
      </c>
      <c r="Q397" s="198"/>
      <c r="R397" s="313"/>
    </row>
    <row r="398" spans="1:18" ht="66" hidden="1" customHeight="1">
      <c r="A398" s="167"/>
      <c r="B398" s="168" t="s">
        <v>163</v>
      </c>
      <c r="C398" s="169"/>
      <c r="D398" s="170" t="s">
        <v>1000</v>
      </c>
      <c r="E398" s="171" t="s">
        <v>46</v>
      </c>
      <c r="F398" s="117"/>
      <c r="G398" s="118"/>
      <c r="H398" s="118"/>
      <c r="I398" s="118"/>
      <c r="J398" s="173">
        <v>45216.325231481482</v>
      </c>
      <c r="K398" s="174" t="s">
        <v>1001</v>
      </c>
      <c r="L398" s="115"/>
      <c r="M398" s="115"/>
      <c r="N398" s="182" t="s">
        <v>975</v>
      </c>
      <c r="O398" s="185"/>
      <c r="P398" s="176" t="s">
        <v>49</v>
      </c>
      <c r="Q398" s="176"/>
      <c r="R398" s="177"/>
    </row>
    <row r="399" spans="1:18" s="167" customFormat="1" ht="86.1" hidden="1" customHeight="1">
      <c r="B399" s="168" t="s">
        <v>86</v>
      </c>
      <c r="C399" s="169"/>
      <c r="D399" s="170" t="s">
        <v>1002</v>
      </c>
      <c r="E399" s="171" t="s">
        <v>46</v>
      </c>
      <c r="F399" s="117"/>
      <c r="G399" s="118"/>
      <c r="H399" s="118"/>
      <c r="I399" s="118"/>
      <c r="J399" s="173">
        <v>45216.458356481482</v>
      </c>
      <c r="K399" s="174" t="s">
        <v>1003</v>
      </c>
      <c r="L399" s="115"/>
      <c r="M399" s="115"/>
      <c r="N399" s="182" t="s">
        <v>975</v>
      </c>
      <c r="O399" s="185"/>
      <c r="P399" s="176" t="s">
        <v>49</v>
      </c>
      <c r="Q399" s="176"/>
      <c r="R399" s="177"/>
    </row>
    <row r="400" spans="1:18" s="167" customFormat="1" ht="66" hidden="1" customHeight="1">
      <c r="B400" s="168" t="s">
        <v>99</v>
      </c>
      <c r="C400" s="169"/>
      <c r="D400" s="170" t="s">
        <v>1004</v>
      </c>
      <c r="E400" s="171" t="s">
        <v>46</v>
      </c>
      <c r="F400" s="117"/>
      <c r="G400" s="118"/>
      <c r="H400" s="118"/>
      <c r="I400" s="118"/>
      <c r="J400" s="173">
        <v>45216.467962962961</v>
      </c>
      <c r="K400" s="174" t="s">
        <v>1005</v>
      </c>
      <c r="L400" s="115"/>
      <c r="M400" s="115"/>
      <c r="N400" s="182" t="s">
        <v>821</v>
      </c>
      <c r="O400" s="185"/>
      <c r="P400" s="176" t="s">
        <v>49</v>
      </c>
      <c r="Q400" s="176"/>
      <c r="R400" s="177"/>
    </row>
    <row r="401" spans="1:18" s="167" customFormat="1" ht="66" hidden="1" customHeight="1">
      <c r="B401" s="168" t="s">
        <v>99</v>
      </c>
      <c r="C401" s="169"/>
      <c r="D401" s="170" t="s">
        <v>1004</v>
      </c>
      <c r="E401" s="171" t="s">
        <v>46</v>
      </c>
      <c r="F401" s="117"/>
      <c r="G401" s="118"/>
      <c r="H401" s="118"/>
      <c r="I401" s="118"/>
      <c r="J401" s="173">
        <v>45216.467962962961</v>
      </c>
      <c r="K401" s="174" t="s">
        <v>1005</v>
      </c>
      <c r="L401" s="115"/>
      <c r="M401" s="115"/>
      <c r="N401" s="182" t="s">
        <v>975</v>
      </c>
      <c r="O401" s="185"/>
      <c r="P401" s="176" t="s">
        <v>49</v>
      </c>
      <c r="Q401" s="176"/>
      <c r="R401" s="177"/>
    </row>
    <row r="402" spans="1:18" s="167" customFormat="1" ht="144" hidden="1" customHeight="1">
      <c r="B402" s="168" t="s">
        <v>610</v>
      </c>
      <c r="C402" s="169"/>
      <c r="D402" s="170" t="s">
        <v>1006</v>
      </c>
      <c r="E402" s="171" t="s">
        <v>46</v>
      </c>
      <c r="F402" s="117"/>
      <c r="G402" s="118"/>
      <c r="H402" s="118"/>
      <c r="I402" s="118"/>
      <c r="J402" s="173">
        <v>45217.122453703705</v>
      </c>
      <c r="K402" s="174" t="s">
        <v>1007</v>
      </c>
      <c r="L402" s="115"/>
      <c r="M402" s="115"/>
      <c r="N402" s="182" t="s">
        <v>1008</v>
      </c>
      <c r="O402" s="185"/>
      <c r="P402" s="176" t="s">
        <v>49</v>
      </c>
      <c r="Q402" s="176"/>
      <c r="R402" s="177"/>
    </row>
    <row r="403" spans="1:18" s="167" customFormat="1" ht="112.5" hidden="1" customHeight="1">
      <c r="B403" s="168" t="s">
        <v>214</v>
      </c>
      <c r="C403" s="169"/>
      <c r="D403" s="170" t="s">
        <v>1009</v>
      </c>
      <c r="E403" s="171" t="s">
        <v>46</v>
      </c>
      <c r="F403" s="117"/>
      <c r="G403" s="118"/>
      <c r="H403" s="118"/>
      <c r="I403" s="118"/>
      <c r="J403" s="173">
        <v>45217.124305555553</v>
      </c>
      <c r="K403" s="174" t="s">
        <v>1010</v>
      </c>
      <c r="L403" s="115"/>
      <c r="M403" s="115"/>
      <c r="N403" s="182" t="s">
        <v>1011</v>
      </c>
      <c r="O403" s="185" t="s">
        <v>1012</v>
      </c>
      <c r="P403" s="176" t="s">
        <v>49</v>
      </c>
      <c r="Q403" s="176"/>
      <c r="R403" s="177"/>
    </row>
    <row r="404" spans="1:18" s="167" customFormat="1" ht="66" hidden="1" customHeight="1">
      <c r="A404" s="1"/>
      <c r="B404" s="114" t="s">
        <v>75</v>
      </c>
      <c r="C404" s="115"/>
      <c r="D404" s="116" t="s">
        <v>1013</v>
      </c>
      <c r="E404" s="171" t="s">
        <v>46</v>
      </c>
      <c r="F404" s="117"/>
      <c r="G404" s="118"/>
      <c r="H404" s="118"/>
      <c r="I404" s="118"/>
      <c r="J404" s="119">
        <v>45217.420763888891</v>
      </c>
      <c r="K404" s="120" t="s">
        <v>1014</v>
      </c>
      <c r="L404" s="115"/>
      <c r="M404" s="115"/>
      <c r="N404" s="121" t="s">
        <v>1015</v>
      </c>
      <c r="O404" s="163"/>
      <c r="P404" s="53" t="s">
        <v>49</v>
      </c>
      <c r="Q404" s="53"/>
      <c r="R404" s="54"/>
    </row>
    <row r="405" spans="1:18" s="167" customFormat="1" ht="66" customHeight="1">
      <c r="B405" s="168" t="s">
        <v>190</v>
      </c>
      <c r="C405" s="169"/>
      <c r="D405" s="170" t="s">
        <v>1016</v>
      </c>
      <c r="E405" s="171" t="s">
        <v>46</v>
      </c>
      <c r="F405" s="117"/>
      <c r="G405" s="118"/>
      <c r="H405" s="118"/>
      <c r="I405" s="118"/>
      <c r="J405" s="173">
        <v>45218.068495370368</v>
      </c>
      <c r="K405" s="174" t="s">
        <v>1017</v>
      </c>
      <c r="L405" s="115"/>
      <c r="M405" s="115"/>
      <c r="N405" s="182" t="s">
        <v>975</v>
      </c>
      <c r="O405" s="185"/>
      <c r="P405" s="176" t="s">
        <v>49</v>
      </c>
      <c r="Q405" s="176"/>
      <c r="R405" s="177"/>
    </row>
    <row r="406" spans="1:18" s="167" customFormat="1" ht="66" hidden="1" customHeight="1">
      <c r="B406" s="168" t="s">
        <v>214</v>
      </c>
      <c r="C406" s="169"/>
      <c r="D406" s="170" t="s">
        <v>1018</v>
      </c>
      <c r="E406" s="171" t="s">
        <v>46</v>
      </c>
      <c r="F406" s="117"/>
      <c r="G406" s="118"/>
      <c r="H406" s="118"/>
      <c r="I406" s="118"/>
      <c r="J406" s="173">
        <v>45218.456608796296</v>
      </c>
      <c r="K406" s="174" t="s">
        <v>1019</v>
      </c>
      <c r="L406" s="115"/>
      <c r="M406" s="115"/>
      <c r="N406" s="182" t="s">
        <v>1020</v>
      </c>
      <c r="O406" s="185"/>
      <c r="P406" s="176" t="s">
        <v>49</v>
      </c>
      <c r="Q406" s="176"/>
      <c r="R406" s="177"/>
    </row>
    <row r="407" spans="1:18" s="167" customFormat="1" ht="66" hidden="1" customHeight="1">
      <c r="B407" s="168" t="s">
        <v>86</v>
      </c>
      <c r="C407" s="169"/>
      <c r="D407" s="170" t="s">
        <v>1021</v>
      </c>
      <c r="E407" s="171" t="s">
        <v>46</v>
      </c>
      <c r="F407" s="117"/>
      <c r="G407" s="118"/>
      <c r="H407" s="118"/>
      <c r="I407" s="118"/>
      <c r="J407" s="173">
        <v>45221.261956018519</v>
      </c>
      <c r="K407" s="174" t="s">
        <v>1022</v>
      </c>
      <c r="L407" s="115"/>
      <c r="M407" s="115"/>
      <c r="N407" s="182" t="s">
        <v>975</v>
      </c>
      <c r="O407" s="185"/>
      <c r="P407" s="176" t="s">
        <v>49</v>
      </c>
      <c r="Q407" s="176"/>
      <c r="R407" s="177"/>
    </row>
    <row r="408" spans="1:18" s="167" customFormat="1" ht="66" hidden="1" customHeight="1">
      <c r="B408" s="168" t="s">
        <v>146</v>
      </c>
      <c r="C408" s="169"/>
      <c r="D408" s="170" t="s">
        <v>1023</v>
      </c>
      <c r="E408" s="171" t="s">
        <v>46</v>
      </c>
      <c r="F408" s="117"/>
      <c r="G408" s="118"/>
      <c r="H408" s="118"/>
      <c r="I408" s="118"/>
      <c r="J408" s="173">
        <v>45222.456990740742</v>
      </c>
      <c r="K408" s="174" t="s">
        <v>1024</v>
      </c>
      <c r="L408" s="115"/>
      <c r="M408" s="115"/>
      <c r="N408" s="182" t="s">
        <v>1025</v>
      </c>
      <c r="O408" s="185"/>
      <c r="P408" s="176" t="s">
        <v>49</v>
      </c>
      <c r="Q408" s="176"/>
      <c r="R408" s="177"/>
    </row>
    <row r="409" spans="1:18" s="167" customFormat="1" ht="66" hidden="1" customHeight="1">
      <c r="B409" s="168" t="s">
        <v>690</v>
      </c>
      <c r="C409" s="169"/>
      <c r="D409" s="170" t="s">
        <v>1026</v>
      </c>
      <c r="E409" s="171" t="s">
        <v>46</v>
      </c>
      <c r="F409" s="117"/>
      <c r="G409" s="118"/>
      <c r="H409" s="118"/>
      <c r="I409" s="118"/>
      <c r="J409" s="173">
        <v>45225.093356481484</v>
      </c>
      <c r="K409" s="174" t="s">
        <v>1027</v>
      </c>
      <c r="L409" s="115"/>
      <c r="M409" s="115"/>
      <c r="N409" s="182" t="s">
        <v>1028</v>
      </c>
      <c r="O409" s="185" t="s">
        <v>1029</v>
      </c>
      <c r="P409" s="176" t="s">
        <v>49</v>
      </c>
      <c r="Q409" s="176"/>
      <c r="R409" s="177"/>
    </row>
    <row r="410" spans="1:18" s="167" customFormat="1" ht="66" hidden="1" customHeight="1">
      <c r="B410" s="168" t="s">
        <v>690</v>
      </c>
      <c r="C410" s="169"/>
      <c r="D410" s="170" t="s">
        <v>1030</v>
      </c>
      <c r="E410" s="171" t="s">
        <v>46</v>
      </c>
      <c r="F410" s="117"/>
      <c r="G410" s="118"/>
      <c r="H410" s="118"/>
      <c r="I410" s="118"/>
      <c r="J410" s="173">
        <v>45225.095810185187</v>
      </c>
      <c r="K410" s="174" t="s">
        <v>1031</v>
      </c>
      <c r="L410" s="115"/>
      <c r="M410" s="115"/>
      <c r="N410" s="182" t="s">
        <v>1032</v>
      </c>
      <c r="O410" s="185"/>
      <c r="P410" s="176" t="s">
        <v>49</v>
      </c>
      <c r="Q410" s="176"/>
      <c r="R410" s="177"/>
    </row>
    <row r="411" spans="1:18" ht="125.1" hidden="1" customHeight="1">
      <c r="A411" s="167"/>
      <c r="B411" s="168" t="s">
        <v>50</v>
      </c>
      <c r="C411" s="169"/>
      <c r="D411" s="170" t="s">
        <v>1033</v>
      </c>
      <c r="E411" s="171" t="s">
        <v>46</v>
      </c>
      <c r="F411" s="117"/>
      <c r="G411" s="118"/>
      <c r="H411" s="118"/>
      <c r="I411" s="118"/>
      <c r="J411" s="173">
        <v>45225.116585648146</v>
      </c>
      <c r="K411" s="174" t="s">
        <v>1034</v>
      </c>
      <c r="L411" s="115"/>
      <c r="M411" s="115"/>
      <c r="N411" s="182" t="s">
        <v>1035</v>
      </c>
      <c r="O411" s="185"/>
      <c r="P411" s="176" t="s">
        <v>49</v>
      </c>
      <c r="Q411" s="176"/>
      <c r="R411" s="177"/>
    </row>
    <row r="412" spans="1:18" s="167" customFormat="1" ht="66" hidden="1" customHeight="1">
      <c r="B412" s="168" t="s">
        <v>50</v>
      </c>
      <c r="C412" s="169"/>
      <c r="D412" s="170" t="s">
        <v>1036</v>
      </c>
      <c r="E412" s="171" t="s">
        <v>46</v>
      </c>
      <c r="F412" s="117"/>
      <c r="G412" s="118"/>
      <c r="H412" s="118"/>
      <c r="I412" s="118"/>
      <c r="J412" s="173">
        <v>45225.126550925925</v>
      </c>
      <c r="K412" s="174" t="s">
        <v>1037</v>
      </c>
      <c r="L412" s="115"/>
      <c r="M412" s="115"/>
      <c r="N412" s="182" t="s">
        <v>1035</v>
      </c>
      <c r="O412" s="185"/>
      <c r="P412" s="176" t="s">
        <v>49</v>
      </c>
      <c r="Q412" s="176"/>
      <c r="R412" s="177"/>
    </row>
    <row r="413" spans="1:18" ht="66" hidden="1" customHeight="1">
      <c r="A413" s="208"/>
      <c r="B413" s="209" t="s">
        <v>71</v>
      </c>
      <c r="C413" s="210"/>
      <c r="D413" s="211" t="s">
        <v>1038</v>
      </c>
      <c r="E413" s="212" t="s">
        <v>46</v>
      </c>
      <c r="F413" s="117"/>
      <c r="G413" s="118"/>
      <c r="H413" s="118"/>
      <c r="I413" s="118"/>
      <c r="J413" s="213">
        <v>45225.268391203703</v>
      </c>
      <c r="K413" s="214" t="s">
        <v>1039</v>
      </c>
      <c r="L413" s="115"/>
      <c r="M413" s="115"/>
      <c r="N413" s="215" t="s">
        <v>1040</v>
      </c>
      <c r="O413" s="216"/>
      <c r="P413" s="217" t="s">
        <v>49</v>
      </c>
      <c r="Q413" s="217"/>
      <c r="R413" s="218"/>
    </row>
    <row r="414" spans="1:18" s="167" customFormat="1" ht="66" hidden="1" customHeight="1">
      <c r="B414" s="168" t="s">
        <v>71</v>
      </c>
      <c r="C414" s="169"/>
      <c r="D414" s="170" t="s">
        <v>1041</v>
      </c>
      <c r="E414" s="171" t="s">
        <v>46</v>
      </c>
      <c r="F414" s="117"/>
      <c r="G414" s="118"/>
      <c r="H414" s="118"/>
      <c r="I414" s="118"/>
      <c r="J414" s="173">
        <v>45226.181319444448</v>
      </c>
      <c r="K414" s="174" t="s">
        <v>1042</v>
      </c>
      <c r="L414" s="115"/>
      <c r="M414" s="115"/>
      <c r="N414" s="182" t="s">
        <v>975</v>
      </c>
      <c r="O414" s="185"/>
      <c r="P414" s="176" t="s">
        <v>49</v>
      </c>
      <c r="Q414" s="176"/>
      <c r="R414" s="177"/>
    </row>
    <row r="415" spans="1:18" ht="66" hidden="1" customHeight="1">
      <c r="A415" s="167"/>
      <c r="B415" s="168" t="s">
        <v>71</v>
      </c>
      <c r="C415" s="169"/>
      <c r="D415" s="170" t="s">
        <v>1043</v>
      </c>
      <c r="E415" s="171" t="s">
        <v>46</v>
      </c>
      <c r="F415" s="117"/>
      <c r="G415" s="118"/>
      <c r="H415" s="118"/>
      <c r="I415" s="118"/>
      <c r="J415" s="173">
        <v>45228.122812499998</v>
      </c>
      <c r="K415" s="174" t="s">
        <v>1044</v>
      </c>
      <c r="L415" s="115"/>
      <c r="M415" s="115"/>
      <c r="N415" s="205" t="s">
        <v>1045</v>
      </c>
      <c r="O415" s="185"/>
      <c r="P415" s="176" t="s">
        <v>49</v>
      </c>
      <c r="Q415" s="176"/>
      <c r="R415" s="177"/>
    </row>
    <row r="416" spans="1:18" s="125" customFormat="1" ht="66" hidden="1" customHeight="1">
      <c r="A416" s="167"/>
      <c r="B416" s="168" t="s">
        <v>178</v>
      </c>
      <c r="C416" s="169"/>
      <c r="D416" s="170" t="s">
        <v>1046</v>
      </c>
      <c r="E416" s="171" t="s">
        <v>46</v>
      </c>
      <c r="F416" s="117"/>
      <c r="G416" s="118"/>
      <c r="H416" s="118"/>
      <c r="I416" s="118"/>
      <c r="J416" s="173">
        <v>45229.938773148147</v>
      </c>
      <c r="K416" s="174" t="s">
        <v>1047</v>
      </c>
      <c r="L416" s="115"/>
      <c r="M416" s="115"/>
      <c r="N416" s="205" t="s">
        <v>975</v>
      </c>
      <c r="O416" s="185"/>
      <c r="P416" s="176" t="s">
        <v>49</v>
      </c>
      <c r="Q416" s="176"/>
      <c r="R416" s="177"/>
    </row>
    <row r="417" spans="1:18" s="167" customFormat="1" ht="176.1" hidden="1" customHeight="1">
      <c r="B417" s="168" t="s">
        <v>178</v>
      </c>
      <c r="C417" s="169"/>
      <c r="D417" s="170" t="s">
        <v>1048</v>
      </c>
      <c r="E417" s="171" t="s">
        <v>46</v>
      </c>
      <c r="F417" s="117"/>
      <c r="G417" s="118"/>
      <c r="H417" s="118"/>
      <c r="I417" s="118"/>
      <c r="J417" s="173">
        <v>45229.959444444445</v>
      </c>
      <c r="K417" s="174" t="s">
        <v>1049</v>
      </c>
      <c r="L417" s="115"/>
      <c r="M417" s="115"/>
      <c r="N417" s="182" t="s">
        <v>975</v>
      </c>
      <c r="O417" s="185"/>
      <c r="P417" s="176" t="s">
        <v>49</v>
      </c>
      <c r="Q417" s="176"/>
      <c r="R417" s="177"/>
    </row>
    <row r="418" spans="1:18" s="167" customFormat="1" ht="91.5" hidden="1" customHeight="1">
      <c r="B418" s="168" t="s">
        <v>71</v>
      </c>
      <c r="C418" s="169"/>
      <c r="D418" s="170" t="s">
        <v>1050</v>
      </c>
      <c r="E418" s="171" t="s">
        <v>46</v>
      </c>
      <c r="F418" s="117"/>
      <c r="G418" s="118"/>
      <c r="H418" s="118"/>
      <c r="I418" s="118"/>
      <c r="J418" s="173">
        <v>45230.451562499999</v>
      </c>
      <c r="K418" s="174" t="s">
        <v>1051</v>
      </c>
      <c r="L418" s="115"/>
      <c r="M418" s="115"/>
      <c r="N418" s="182" t="s">
        <v>1052</v>
      </c>
      <c r="O418" s="185"/>
      <c r="P418" s="176" t="s">
        <v>49</v>
      </c>
      <c r="Q418" s="176"/>
      <c r="R418" s="177"/>
    </row>
    <row r="419" spans="1:18" ht="66" hidden="1" customHeight="1">
      <c r="A419" s="167"/>
      <c r="B419" s="168" t="s">
        <v>133</v>
      </c>
      <c r="C419" s="169"/>
      <c r="D419" s="170" t="s">
        <v>1053</v>
      </c>
      <c r="E419" s="171" t="s">
        <v>46</v>
      </c>
      <c r="F419" s="117"/>
      <c r="G419" s="118"/>
      <c r="H419" s="118"/>
      <c r="I419" s="118"/>
      <c r="J419" s="173">
        <v>45232.371516203704</v>
      </c>
      <c r="K419" s="174" t="s">
        <v>1054</v>
      </c>
      <c r="L419" s="115"/>
      <c r="M419" s="115"/>
      <c r="N419" s="182" t="s">
        <v>1055</v>
      </c>
      <c r="O419" s="185"/>
      <c r="P419" s="176" t="s">
        <v>49</v>
      </c>
      <c r="Q419" s="176"/>
      <c r="R419" s="177"/>
    </row>
    <row r="420" spans="1:18" s="167" customFormat="1" ht="45" hidden="1" customHeight="1">
      <c r="B420" s="168" t="s">
        <v>50</v>
      </c>
      <c r="C420" s="169"/>
      <c r="D420" s="170" t="s">
        <v>1056</v>
      </c>
      <c r="E420" s="171" t="s">
        <v>46</v>
      </c>
      <c r="F420" s="117"/>
      <c r="G420" s="118"/>
      <c r="H420" s="118"/>
      <c r="I420" s="118"/>
      <c r="J420" s="173">
        <v>45233.11042824074</v>
      </c>
      <c r="K420" s="174" t="s">
        <v>1057</v>
      </c>
      <c r="L420" s="115"/>
      <c r="M420" s="115"/>
      <c r="N420" s="182" t="s">
        <v>1058</v>
      </c>
      <c r="O420" s="185"/>
      <c r="P420" s="176" t="s">
        <v>49</v>
      </c>
      <c r="Q420" s="176"/>
      <c r="R420" s="177"/>
    </row>
    <row r="421" spans="1:18" ht="66" hidden="1" customHeight="1">
      <c r="A421" s="167"/>
      <c r="B421" s="168" t="s">
        <v>214</v>
      </c>
      <c r="C421" s="169"/>
      <c r="D421" s="170" t="s">
        <v>1059</v>
      </c>
      <c r="E421" s="171" t="s">
        <v>46</v>
      </c>
      <c r="F421" s="117"/>
      <c r="G421" s="118"/>
      <c r="H421" s="118"/>
      <c r="I421" s="118"/>
      <c r="J421" s="173">
        <v>45233.31287037037</v>
      </c>
      <c r="K421" s="174" t="s">
        <v>1060</v>
      </c>
      <c r="L421" s="115"/>
      <c r="M421" s="115"/>
      <c r="N421" s="205" t="s">
        <v>1061</v>
      </c>
      <c r="O421" s="185"/>
      <c r="P421" s="176" t="s">
        <v>49</v>
      </c>
      <c r="Q421" s="176"/>
      <c r="R421" s="177"/>
    </row>
    <row r="422" spans="1:18" s="167" customFormat="1" ht="66" hidden="1" customHeight="1">
      <c r="B422" s="168" t="s">
        <v>86</v>
      </c>
      <c r="C422" s="169"/>
      <c r="D422" s="170" t="s">
        <v>1062</v>
      </c>
      <c r="E422" s="171" t="s">
        <v>46</v>
      </c>
      <c r="F422" s="117"/>
      <c r="G422" s="118"/>
      <c r="H422" s="118"/>
      <c r="I422" s="118"/>
      <c r="J422" s="173">
        <v>45235.460925925923</v>
      </c>
      <c r="K422" s="174" t="s">
        <v>1063</v>
      </c>
      <c r="L422" s="115"/>
      <c r="M422" s="115"/>
      <c r="N422" s="182" t="s">
        <v>1064</v>
      </c>
      <c r="O422" s="185"/>
      <c r="P422" s="176" t="s">
        <v>49</v>
      </c>
      <c r="Q422" s="176"/>
      <c r="R422" s="177"/>
    </row>
    <row r="423" spans="1:18" ht="93" hidden="1" customHeight="1">
      <c r="A423" s="167"/>
      <c r="B423" s="168" t="s">
        <v>138</v>
      </c>
      <c r="C423" s="169"/>
      <c r="D423" s="170" t="s">
        <v>1065</v>
      </c>
      <c r="E423" s="171" t="s">
        <v>46</v>
      </c>
      <c r="F423" s="117"/>
      <c r="G423" s="118"/>
      <c r="H423" s="118"/>
      <c r="I423" s="118"/>
      <c r="J423" s="173">
        <v>45236.169374999998</v>
      </c>
      <c r="K423" s="174">
        <v>1394834</v>
      </c>
      <c r="L423" s="115"/>
      <c r="M423" s="115"/>
      <c r="N423" s="182" t="s">
        <v>1061</v>
      </c>
      <c r="O423" s="185"/>
      <c r="P423" s="176" t="s">
        <v>49</v>
      </c>
      <c r="Q423" s="176"/>
      <c r="R423" s="177"/>
    </row>
    <row r="424" spans="1:18" s="167" customFormat="1" ht="66" hidden="1" customHeight="1">
      <c r="B424" s="168" t="s">
        <v>50</v>
      </c>
      <c r="C424" s="169"/>
      <c r="D424" s="170" t="s">
        <v>1066</v>
      </c>
      <c r="E424" s="171" t="s">
        <v>46</v>
      </c>
      <c r="F424" s="117"/>
      <c r="G424" s="118"/>
      <c r="H424" s="118"/>
      <c r="I424" s="118"/>
      <c r="J424" s="173">
        <v>45236.866666666669</v>
      </c>
      <c r="K424" s="174" t="s">
        <v>1067</v>
      </c>
      <c r="L424" s="115"/>
      <c r="M424" s="115"/>
      <c r="N424" s="182" t="s">
        <v>1058</v>
      </c>
      <c r="O424" s="185"/>
      <c r="P424" s="176" t="s">
        <v>49</v>
      </c>
      <c r="Q424" s="176"/>
      <c r="R424" s="177"/>
    </row>
    <row r="425" spans="1:18" s="167" customFormat="1" ht="98.45" hidden="1" customHeight="1">
      <c r="B425" s="168" t="s">
        <v>256</v>
      </c>
      <c r="C425" s="169"/>
      <c r="D425" s="170" t="s">
        <v>1068</v>
      </c>
      <c r="E425" s="171" t="s">
        <v>46</v>
      </c>
      <c r="F425" s="117"/>
      <c r="G425" s="118"/>
      <c r="H425" s="118"/>
      <c r="I425" s="118"/>
      <c r="J425" s="173">
        <v>45239.198460648149</v>
      </c>
      <c r="K425" s="174" t="s">
        <v>1069</v>
      </c>
      <c r="L425" s="115"/>
      <c r="M425" s="115"/>
      <c r="N425" s="182" t="s">
        <v>821</v>
      </c>
      <c r="O425" s="185"/>
      <c r="P425" s="176" t="s">
        <v>49</v>
      </c>
      <c r="Q425" s="176"/>
      <c r="R425" s="177"/>
    </row>
    <row r="426" spans="1:18" s="167" customFormat="1" ht="66" hidden="1" customHeight="1">
      <c r="B426" s="168" t="s">
        <v>170</v>
      </c>
      <c r="C426" s="169"/>
      <c r="D426" s="170" t="s">
        <v>1070</v>
      </c>
      <c r="E426" s="171" t="s">
        <v>46</v>
      </c>
      <c r="F426" s="117"/>
      <c r="G426" s="118"/>
      <c r="H426" s="118"/>
      <c r="I426" s="118"/>
      <c r="J426" s="173">
        <v>45240.219872685186</v>
      </c>
      <c r="K426" s="227" t="s">
        <v>1071</v>
      </c>
      <c r="L426" s="115"/>
      <c r="M426" s="115"/>
      <c r="N426" s="205" t="s">
        <v>1072</v>
      </c>
      <c r="O426" s="200" t="s">
        <v>1073</v>
      </c>
      <c r="P426" s="176" t="s">
        <v>49</v>
      </c>
      <c r="Q426" s="176"/>
      <c r="R426" s="177"/>
    </row>
    <row r="427" spans="1:18" s="167" customFormat="1" ht="66" hidden="1" customHeight="1">
      <c r="B427" s="168" t="s">
        <v>50</v>
      </c>
      <c r="C427" s="169"/>
      <c r="D427" s="170" t="s">
        <v>1074</v>
      </c>
      <c r="E427" s="171" t="s">
        <v>46</v>
      </c>
      <c r="F427" s="117"/>
      <c r="G427" s="118"/>
      <c r="H427" s="118"/>
      <c r="I427" s="118"/>
      <c r="J427" s="173">
        <v>45240.792534722219</v>
      </c>
      <c r="K427" s="174" t="s">
        <v>1075</v>
      </c>
      <c r="L427" s="115"/>
      <c r="M427" s="115"/>
      <c r="N427" s="182" t="s">
        <v>1076</v>
      </c>
      <c r="O427" s="185"/>
      <c r="P427" s="176" t="s">
        <v>49</v>
      </c>
      <c r="Q427" s="176"/>
      <c r="R427" s="177"/>
    </row>
    <row r="428" spans="1:18" s="125" customFormat="1" ht="87" hidden="1" customHeight="1">
      <c r="A428" s="167"/>
      <c r="B428" s="168" t="s">
        <v>71</v>
      </c>
      <c r="C428" s="169"/>
      <c r="D428" s="170" t="s">
        <v>1077</v>
      </c>
      <c r="E428" s="171" t="s">
        <v>46</v>
      </c>
      <c r="F428" s="117"/>
      <c r="G428" s="118"/>
      <c r="H428" s="118"/>
      <c r="I428" s="118"/>
      <c r="J428" s="173">
        <v>45245.478194444448</v>
      </c>
      <c r="K428" s="174" t="s">
        <v>1078</v>
      </c>
      <c r="L428" s="115"/>
      <c r="M428" s="115"/>
      <c r="N428" s="182" t="s">
        <v>1079</v>
      </c>
      <c r="O428" s="185"/>
      <c r="P428" s="176" t="s">
        <v>49</v>
      </c>
      <c r="Q428" s="176"/>
      <c r="R428" s="177"/>
    </row>
    <row r="429" spans="1:18" ht="66" hidden="1" customHeight="1">
      <c r="A429" s="167"/>
      <c r="B429" s="168" t="s">
        <v>67</v>
      </c>
      <c r="C429" s="169"/>
      <c r="D429" s="170" t="s">
        <v>1080</v>
      </c>
      <c r="E429" s="171" t="s">
        <v>46</v>
      </c>
      <c r="F429" s="117"/>
      <c r="G429" s="118"/>
      <c r="H429" s="118"/>
      <c r="I429" s="118"/>
      <c r="J429" s="173">
        <v>45246.4450462963</v>
      </c>
      <c r="K429" s="174" t="s">
        <v>1081</v>
      </c>
      <c r="L429" s="115"/>
      <c r="M429" s="115"/>
      <c r="N429" s="182" t="s">
        <v>1082</v>
      </c>
      <c r="O429" s="185"/>
      <c r="P429" s="176" t="s">
        <v>49</v>
      </c>
      <c r="Q429" s="176"/>
      <c r="R429" s="177"/>
    </row>
    <row r="430" spans="1:18" ht="93.6" hidden="1" customHeight="1">
      <c r="A430" s="167"/>
      <c r="B430" s="168" t="s">
        <v>256</v>
      </c>
      <c r="C430" s="169"/>
      <c r="D430" s="170" t="s">
        <v>1083</v>
      </c>
      <c r="E430" s="171" t="s">
        <v>46</v>
      </c>
      <c r="F430" s="117"/>
      <c r="G430" s="118"/>
      <c r="H430" s="118"/>
      <c r="I430" s="118"/>
      <c r="J430" s="173">
        <v>45246.453148148146</v>
      </c>
      <c r="K430" s="174" t="s">
        <v>1084</v>
      </c>
      <c r="L430" s="115"/>
      <c r="M430" s="115"/>
      <c r="N430" s="182" t="s">
        <v>1085</v>
      </c>
      <c r="O430" s="185"/>
      <c r="P430" s="176" t="s">
        <v>49</v>
      </c>
      <c r="Q430" s="176"/>
      <c r="R430" s="177"/>
    </row>
    <row r="431" spans="1:18" s="167" customFormat="1" ht="66" hidden="1" customHeight="1">
      <c r="B431" s="168" t="s">
        <v>133</v>
      </c>
      <c r="C431" s="169"/>
      <c r="D431" s="170" t="s">
        <v>1086</v>
      </c>
      <c r="E431" s="171" t="s">
        <v>46</v>
      </c>
      <c r="F431" s="117"/>
      <c r="G431" s="118"/>
      <c r="H431" s="118"/>
      <c r="I431" s="118"/>
      <c r="J431" s="173">
        <v>45247.148865740739</v>
      </c>
      <c r="K431" s="174" t="s">
        <v>1087</v>
      </c>
      <c r="L431" s="115"/>
      <c r="M431" s="115"/>
      <c r="N431" s="182" t="s">
        <v>1088</v>
      </c>
      <c r="O431" s="185"/>
      <c r="P431" s="176" t="s">
        <v>49</v>
      </c>
      <c r="Q431" s="176"/>
      <c r="R431" s="177"/>
    </row>
    <row r="432" spans="1:18" s="167" customFormat="1" ht="66" hidden="1" customHeight="1">
      <c r="B432" s="168" t="s">
        <v>222</v>
      </c>
      <c r="C432" s="169"/>
      <c r="D432" s="170" t="s">
        <v>1089</v>
      </c>
      <c r="E432" s="171" t="s">
        <v>46</v>
      </c>
      <c r="F432" s="117"/>
      <c r="G432" s="118"/>
      <c r="H432" s="118"/>
      <c r="I432" s="118"/>
      <c r="J432" s="173">
        <v>45247.849618055552</v>
      </c>
      <c r="K432" s="174" t="s">
        <v>1090</v>
      </c>
      <c r="L432" s="115"/>
      <c r="M432" s="115"/>
      <c r="N432" s="182" t="s">
        <v>821</v>
      </c>
      <c r="O432" s="185"/>
      <c r="P432" s="176" t="s">
        <v>49</v>
      </c>
      <c r="Q432" s="176"/>
      <c r="R432" s="177"/>
    </row>
    <row r="433" spans="1:18" s="167" customFormat="1" ht="66" hidden="1" customHeight="1">
      <c r="B433" s="168" t="s">
        <v>54</v>
      </c>
      <c r="C433" s="169"/>
      <c r="D433" s="170" t="s">
        <v>1091</v>
      </c>
      <c r="E433" s="171" t="s">
        <v>46</v>
      </c>
      <c r="F433" s="117"/>
      <c r="G433" s="118"/>
      <c r="H433" s="118"/>
      <c r="I433" s="118"/>
      <c r="J433" s="173">
        <v>45250.924259259256</v>
      </c>
      <c r="K433" s="174" t="s">
        <v>1092</v>
      </c>
      <c r="L433" s="115"/>
      <c r="M433" s="115"/>
      <c r="N433" s="182" t="s">
        <v>1093</v>
      </c>
      <c r="O433" s="185"/>
      <c r="P433" s="176" t="s">
        <v>49</v>
      </c>
      <c r="Q433" s="176"/>
      <c r="R433" s="177"/>
    </row>
    <row r="434" spans="1:18" s="167" customFormat="1" ht="66" hidden="1" customHeight="1">
      <c r="B434" s="168" t="s">
        <v>163</v>
      </c>
      <c r="C434" s="169"/>
      <c r="D434" s="170" t="s">
        <v>1094</v>
      </c>
      <c r="E434" s="171" t="s">
        <v>46</v>
      </c>
      <c r="F434" s="117"/>
      <c r="G434" s="118"/>
      <c r="H434" s="118"/>
      <c r="I434" s="118"/>
      <c r="J434" s="173">
        <v>45251.374918981484</v>
      </c>
      <c r="K434" s="174" t="s">
        <v>1095</v>
      </c>
      <c r="L434" s="115"/>
      <c r="M434" s="115"/>
      <c r="N434" s="182" t="s">
        <v>1096</v>
      </c>
      <c r="O434" s="185"/>
      <c r="P434" s="176" t="s">
        <v>49</v>
      </c>
      <c r="Q434" s="176"/>
      <c r="R434" s="177"/>
    </row>
    <row r="435" spans="1:18" s="167" customFormat="1" ht="66" customHeight="1">
      <c r="B435" s="168" t="s">
        <v>190</v>
      </c>
      <c r="C435" s="169"/>
      <c r="D435" s="170" t="s">
        <v>1097</v>
      </c>
      <c r="E435" s="171" t="s">
        <v>46</v>
      </c>
      <c r="F435" s="117"/>
      <c r="G435" s="118"/>
      <c r="H435" s="118"/>
      <c r="I435" s="118"/>
      <c r="J435" s="173">
        <v>45252.321932870371</v>
      </c>
      <c r="K435" s="174" t="s">
        <v>1098</v>
      </c>
      <c r="L435" s="115"/>
      <c r="M435" s="115"/>
      <c r="N435" s="182" t="s">
        <v>1093</v>
      </c>
      <c r="O435" s="185"/>
      <c r="P435" s="176" t="s">
        <v>49</v>
      </c>
      <c r="Q435" s="176"/>
      <c r="R435" s="177"/>
    </row>
    <row r="436" spans="1:18" s="208" customFormat="1" ht="66" customHeight="1">
      <c r="A436" s="167"/>
      <c r="B436" s="168" t="s">
        <v>190</v>
      </c>
      <c r="C436" s="169"/>
      <c r="D436" s="170" t="s">
        <v>1099</v>
      </c>
      <c r="E436" s="171" t="s">
        <v>46</v>
      </c>
      <c r="F436" s="117"/>
      <c r="G436" s="118"/>
      <c r="H436" s="118"/>
      <c r="I436" s="118"/>
      <c r="J436" s="173">
        <v>45252.322893518518</v>
      </c>
      <c r="K436" s="174" t="s">
        <v>1100</v>
      </c>
      <c r="L436" s="115"/>
      <c r="M436" s="115"/>
      <c r="N436" s="182" t="s">
        <v>1101</v>
      </c>
      <c r="O436" s="185"/>
      <c r="P436" s="176" t="s">
        <v>49</v>
      </c>
      <c r="Q436" s="176"/>
      <c r="R436" s="177"/>
    </row>
    <row r="437" spans="1:18" s="167" customFormat="1" ht="66" hidden="1" customHeight="1">
      <c r="A437" s="1"/>
      <c r="B437" s="114" t="s">
        <v>156</v>
      </c>
      <c r="C437" s="115"/>
      <c r="D437" s="116" t="s">
        <v>1102</v>
      </c>
      <c r="E437" s="171" t="s">
        <v>46</v>
      </c>
      <c r="F437" s="117"/>
      <c r="G437" s="118"/>
      <c r="H437" s="118"/>
      <c r="I437" s="118"/>
      <c r="J437" s="119">
        <v>45252.67796296296</v>
      </c>
      <c r="K437" s="120" t="s">
        <v>1103</v>
      </c>
      <c r="L437" s="115"/>
      <c r="M437" s="115"/>
      <c r="N437" s="121" t="s">
        <v>1104</v>
      </c>
      <c r="O437" s="163"/>
      <c r="P437" s="176" t="s">
        <v>49</v>
      </c>
      <c r="Q437" s="53"/>
      <c r="R437" s="54"/>
    </row>
    <row r="438" spans="1:18" s="167" customFormat="1" ht="66" hidden="1" customHeight="1">
      <c r="B438" s="168" t="s">
        <v>99</v>
      </c>
      <c r="C438" s="169"/>
      <c r="D438" s="170" t="s">
        <v>1105</v>
      </c>
      <c r="E438" s="171" t="s">
        <v>46</v>
      </c>
      <c r="F438" s="117"/>
      <c r="G438" s="118"/>
      <c r="H438" s="118"/>
      <c r="I438" s="118"/>
      <c r="J438" s="173">
        <v>45254.231493055559</v>
      </c>
      <c r="K438" s="174" t="s">
        <v>1106</v>
      </c>
      <c r="L438" s="115"/>
      <c r="M438" s="115"/>
      <c r="N438" s="182" t="s">
        <v>1107</v>
      </c>
      <c r="O438" s="185"/>
      <c r="P438" s="176" t="s">
        <v>49</v>
      </c>
      <c r="Q438" s="176"/>
      <c r="R438" s="177"/>
    </row>
    <row r="439" spans="1:18" s="167" customFormat="1" ht="90" hidden="1" customHeight="1">
      <c r="B439" s="168" t="s">
        <v>50</v>
      </c>
      <c r="C439" s="169"/>
      <c r="D439" s="170" t="s">
        <v>1108</v>
      </c>
      <c r="E439" s="171" t="s">
        <v>46</v>
      </c>
      <c r="F439" s="117"/>
      <c r="G439" s="118"/>
      <c r="H439" s="118"/>
      <c r="I439" s="118"/>
      <c r="J439" s="173">
        <v>45258.631828703707</v>
      </c>
      <c r="K439" s="335" t="s">
        <v>1109</v>
      </c>
      <c r="L439" s="115"/>
      <c r="M439" s="115"/>
      <c r="N439" s="182" t="s">
        <v>1093</v>
      </c>
      <c r="O439" s="185"/>
      <c r="P439" s="176" t="s">
        <v>49</v>
      </c>
      <c r="Q439" s="176"/>
      <c r="R439" s="177"/>
    </row>
    <row r="440" spans="1:18" s="125" customFormat="1" ht="93.6" hidden="1" customHeight="1">
      <c r="A440" s="167"/>
      <c r="B440" s="168" t="s">
        <v>50</v>
      </c>
      <c r="C440" s="169"/>
      <c r="D440" s="170" t="s">
        <v>1110</v>
      </c>
      <c r="E440" s="171" t="s">
        <v>46</v>
      </c>
      <c r="F440" s="171"/>
      <c r="G440" s="172"/>
      <c r="H440" s="172"/>
      <c r="I440" s="172"/>
      <c r="J440" s="173">
        <v>45258.636493055557</v>
      </c>
      <c r="K440" s="174" t="s">
        <v>1111</v>
      </c>
      <c r="L440" s="169"/>
      <c r="M440" s="169"/>
      <c r="N440" s="182" t="s">
        <v>1112</v>
      </c>
      <c r="O440" s="185"/>
      <c r="P440" s="176" t="s">
        <v>49</v>
      </c>
      <c r="Q440" s="176"/>
      <c r="R440" s="177"/>
    </row>
    <row r="441" spans="1:18" s="125" customFormat="1" ht="117.6" hidden="1" customHeight="1">
      <c r="A441" s="167"/>
      <c r="B441" s="168" t="s">
        <v>50</v>
      </c>
      <c r="C441" s="169"/>
      <c r="D441" s="170" t="s">
        <v>1113</v>
      </c>
      <c r="E441" s="171" t="s">
        <v>46</v>
      </c>
      <c r="F441" s="117"/>
      <c r="G441" s="118"/>
      <c r="H441" s="118"/>
      <c r="I441" s="118"/>
      <c r="J441" s="173">
        <v>45258.63853009259</v>
      </c>
      <c r="K441" s="174" t="s">
        <v>1114</v>
      </c>
      <c r="L441" s="115"/>
      <c r="M441" s="115"/>
      <c r="N441" s="182" t="s">
        <v>1093</v>
      </c>
      <c r="O441" s="185"/>
      <c r="P441" s="176" t="s">
        <v>49</v>
      </c>
      <c r="Q441" s="176"/>
      <c r="R441" s="177"/>
    </row>
    <row r="442" spans="1:18" s="167" customFormat="1" ht="66" hidden="1" customHeight="1">
      <c r="B442" s="168" t="s">
        <v>50</v>
      </c>
      <c r="C442" s="169"/>
      <c r="D442" s="170" t="s">
        <v>1115</v>
      </c>
      <c r="E442" s="171" t="s">
        <v>46</v>
      </c>
      <c r="F442" s="117"/>
      <c r="G442" s="118"/>
      <c r="H442" s="118"/>
      <c r="I442" s="118"/>
      <c r="J442" s="173">
        <v>45258.642442129632</v>
      </c>
      <c r="K442" s="174" t="s">
        <v>1116</v>
      </c>
      <c r="L442" s="115"/>
      <c r="M442" s="115"/>
      <c r="N442" s="182" t="s">
        <v>1093</v>
      </c>
      <c r="O442" s="185"/>
      <c r="P442" s="176" t="s">
        <v>49</v>
      </c>
      <c r="Q442" s="176"/>
      <c r="R442" s="177"/>
    </row>
    <row r="443" spans="1:18" s="167" customFormat="1" ht="66" hidden="1" customHeight="1">
      <c r="B443" s="168" t="s">
        <v>54</v>
      </c>
      <c r="C443" s="169"/>
      <c r="D443" s="170" t="s">
        <v>1117</v>
      </c>
      <c r="E443" s="171" t="s">
        <v>46</v>
      </c>
      <c r="F443" s="117"/>
      <c r="G443" s="118"/>
      <c r="H443" s="118"/>
      <c r="I443" s="118"/>
      <c r="J443" s="173">
        <v>45258.723402777781</v>
      </c>
      <c r="K443" s="174" t="s">
        <v>1118</v>
      </c>
      <c r="L443" s="115"/>
      <c r="M443" s="115"/>
      <c r="N443" s="182" t="s">
        <v>1119</v>
      </c>
      <c r="O443" s="185"/>
      <c r="P443" s="176" t="s">
        <v>49</v>
      </c>
      <c r="Q443" s="176"/>
      <c r="R443" s="177"/>
    </row>
    <row r="444" spans="1:18" ht="66" hidden="1" customHeight="1">
      <c r="A444" s="167"/>
      <c r="B444" s="168" t="s">
        <v>160</v>
      </c>
      <c r="C444" s="169"/>
      <c r="D444" s="170" t="s">
        <v>1120</v>
      </c>
      <c r="E444" s="171" t="s">
        <v>46</v>
      </c>
      <c r="F444" s="117"/>
      <c r="G444" s="118"/>
      <c r="H444" s="118"/>
      <c r="I444" s="118"/>
      <c r="J444" s="173">
        <v>45261.061203703706</v>
      </c>
      <c r="K444" s="174" t="s">
        <v>1121</v>
      </c>
      <c r="L444" s="115"/>
      <c r="M444" s="115"/>
      <c r="N444" s="205" t="s">
        <v>1122</v>
      </c>
      <c r="O444" s="185"/>
      <c r="P444" s="176" t="s">
        <v>49</v>
      </c>
      <c r="Q444" s="176"/>
      <c r="R444" s="177"/>
    </row>
    <row r="445" spans="1:18" s="167" customFormat="1" ht="66" hidden="1" customHeight="1">
      <c r="A445" s="186"/>
      <c r="B445" s="187" t="s">
        <v>71</v>
      </c>
      <c r="C445" s="188"/>
      <c r="D445" s="189" t="s">
        <v>1123</v>
      </c>
      <c r="E445" s="190" t="s">
        <v>46</v>
      </c>
      <c r="F445" s="117"/>
      <c r="G445" s="118"/>
      <c r="H445" s="118"/>
      <c r="I445" s="118"/>
      <c r="J445" s="191">
        <v>45263.293263888889</v>
      </c>
      <c r="K445" s="192" t="s">
        <v>1124</v>
      </c>
      <c r="L445" s="115"/>
      <c r="M445" s="115"/>
      <c r="N445" s="193" t="s">
        <v>1125</v>
      </c>
      <c r="O445" s="287" t="s">
        <v>1126</v>
      </c>
      <c r="P445" s="195" t="s">
        <v>204</v>
      </c>
      <c r="Q445" s="195"/>
      <c r="R445" s="196"/>
    </row>
    <row r="446" spans="1:18" s="167" customFormat="1" ht="66" hidden="1" customHeight="1">
      <c r="A446" s="1"/>
      <c r="B446" s="114" t="s">
        <v>71</v>
      </c>
      <c r="C446" s="115"/>
      <c r="D446" s="116" t="s">
        <v>1127</v>
      </c>
      <c r="E446" s="171" t="s">
        <v>46</v>
      </c>
      <c r="F446" s="117"/>
      <c r="G446" s="118"/>
      <c r="H446" s="118"/>
      <c r="I446" s="118"/>
      <c r="J446" s="119">
        <v>45263.311307870368</v>
      </c>
      <c r="K446" s="120" t="s">
        <v>1128</v>
      </c>
      <c r="L446" s="115"/>
      <c r="M446" s="115"/>
      <c r="N446" s="121" t="s">
        <v>1129</v>
      </c>
      <c r="O446" s="163"/>
      <c r="P446" s="176" t="s">
        <v>49</v>
      </c>
      <c r="Q446" s="53"/>
      <c r="R446" s="54"/>
    </row>
    <row r="447" spans="1:18" s="167" customFormat="1" ht="66" hidden="1" customHeight="1">
      <c r="B447" s="168" t="s">
        <v>138</v>
      </c>
      <c r="C447" s="169"/>
      <c r="D447" s="170" t="s">
        <v>1130</v>
      </c>
      <c r="E447" s="171" t="s">
        <v>46</v>
      </c>
      <c r="F447" s="117"/>
      <c r="G447" s="118"/>
      <c r="H447" s="118"/>
      <c r="I447" s="118"/>
      <c r="J447" s="173">
        <v>45263.435578703706</v>
      </c>
      <c r="K447" s="174">
        <v>1458921</v>
      </c>
      <c r="L447" s="115"/>
      <c r="M447" s="115"/>
      <c r="N447" s="182" t="s">
        <v>1131</v>
      </c>
      <c r="O447" s="185"/>
      <c r="P447" s="176" t="s">
        <v>49</v>
      </c>
      <c r="Q447" s="176"/>
      <c r="R447" s="177"/>
    </row>
    <row r="448" spans="1:18" s="167" customFormat="1" ht="66" hidden="1" customHeight="1">
      <c r="A448" s="1"/>
      <c r="B448" s="114" t="s">
        <v>222</v>
      </c>
      <c r="C448" s="115"/>
      <c r="D448" s="116" t="s">
        <v>1132</v>
      </c>
      <c r="E448" s="117" t="s">
        <v>46</v>
      </c>
      <c r="F448" s="117"/>
      <c r="G448" s="118"/>
      <c r="H448" s="118"/>
      <c r="I448" s="118"/>
      <c r="J448" s="119">
        <v>45266.091597222221</v>
      </c>
      <c r="K448" s="120" t="s">
        <v>1133</v>
      </c>
      <c r="L448" s="115"/>
      <c r="M448" s="115"/>
      <c r="N448" s="121" t="s">
        <v>1134</v>
      </c>
      <c r="O448" s="184" t="s">
        <v>1135</v>
      </c>
      <c r="P448" s="122" t="s">
        <v>49</v>
      </c>
      <c r="Q448" s="122"/>
      <c r="R448" s="123"/>
    </row>
    <row r="449" spans="1:18" s="167" customFormat="1" ht="66" hidden="1" customHeight="1">
      <c r="B449" s="168" t="s">
        <v>222</v>
      </c>
      <c r="C449" s="169"/>
      <c r="D449" s="170" t="s">
        <v>1136</v>
      </c>
      <c r="E449" s="171" t="s">
        <v>46</v>
      </c>
      <c r="F449" s="117"/>
      <c r="G449" s="118"/>
      <c r="H449" s="118"/>
      <c r="I449" s="118"/>
      <c r="J449" s="173">
        <v>45266.09269675926</v>
      </c>
      <c r="K449" s="174" t="s">
        <v>1137</v>
      </c>
      <c r="L449" s="115"/>
      <c r="M449" s="115"/>
      <c r="N449" s="182" t="s">
        <v>1138</v>
      </c>
      <c r="O449" s="185"/>
      <c r="P449" s="176" t="s">
        <v>49</v>
      </c>
      <c r="Q449" s="176"/>
      <c r="R449" s="177"/>
    </row>
    <row r="450" spans="1:18" s="167" customFormat="1" ht="66" hidden="1" customHeight="1">
      <c r="B450" s="168" t="s">
        <v>99</v>
      </c>
      <c r="C450" s="169"/>
      <c r="D450" s="170" t="s">
        <v>1139</v>
      </c>
      <c r="E450" s="171" t="s">
        <v>46</v>
      </c>
      <c r="F450" s="117"/>
      <c r="G450" s="118"/>
      <c r="H450" s="118"/>
      <c r="I450" s="118"/>
      <c r="J450" s="173">
        <v>45267.258761574078</v>
      </c>
      <c r="K450" s="174" t="s">
        <v>1140</v>
      </c>
      <c r="L450" s="115"/>
      <c r="M450" s="115"/>
      <c r="N450" s="182" t="s">
        <v>1141</v>
      </c>
      <c r="O450" s="185"/>
      <c r="P450" s="176" t="s">
        <v>49</v>
      </c>
      <c r="Q450" s="176"/>
      <c r="R450" s="177"/>
    </row>
    <row r="451" spans="1:18" ht="66" hidden="1" customHeight="1">
      <c r="A451" s="167"/>
      <c r="B451" s="168" t="s">
        <v>174</v>
      </c>
      <c r="C451" s="169"/>
      <c r="D451" s="170" t="s">
        <v>1142</v>
      </c>
      <c r="E451" s="171" t="s">
        <v>46</v>
      </c>
      <c r="F451" s="117"/>
      <c r="G451" s="118"/>
      <c r="H451" s="118"/>
      <c r="I451" s="118"/>
      <c r="J451" s="173">
        <v>45269.899050925924</v>
      </c>
      <c r="K451" s="174" t="s">
        <v>1143</v>
      </c>
      <c r="L451" s="115"/>
      <c r="M451" s="115"/>
      <c r="N451" s="182" t="s">
        <v>1144</v>
      </c>
      <c r="O451" s="185"/>
      <c r="P451" s="176" t="s">
        <v>49</v>
      </c>
      <c r="Q451" s="176"/>
      <c r="R451" s="177"/>
    </row>
    <row r="452" spans="1:18" ht="30.95" hidden="1" customHeight="1">
      <c r="A452" s="167"/>
      <c r="B452" s="168" t="s">
        <v>163</v>
      </c>
      <c r="C452" s="169"/>
      <c r="D452" s="170" t="s">
        <v>1145</v>
      </c>
      <c r="E452" s="171" t="s">
        <v>46</v>
      </c>
      <c r="F452" s="117"/>
      <c r="G452" s="118"/>
      <c r="H452" s="118"/>
      <c r="I452" s="118"/>
      <c r="J452" s="173">
        <v>45270.331053240741</v>
      </c>
      <c r="K452" s="174" t="s">
        <v>1146</v>
      </c>
      <c r="L452" s="115"/>
      <c r="M452" s="115"/>
      <c r="N452" s="182" t="s">
        <v>1147</v>
      </c>
      <c r="O452" s="185"/>
      <c r="P452" s="176" t="s">
        <v>49</v>
      </c>
      <c r="Q452" s="176"/>
      <c r="R452" s="177"/>
    </row>
    <row r="453" spans="1:18" ht="42.6" hidden="1" customHeight="1">
      <c r="A453" s="167"/>
      <c r="B453" s="168" t="s">
        <v>163</v>
      </c>
      <c r="C453" s="169"/>
      <c r="D453" s="170" t="s">
        <v>1148</v>
      </c>
      <c r="E453" s="171" t="s">
        <v>46</v>
      </c>
      <c r="F453" s="117"/>
      <c r="G453" s="118"/>
      <c r="H453" s="118"/>
      <c r="I453" s="118"/>
      <c r="J453" s="173">
        <v>45270.396284722221</v>
      </c>
      <c r="K453" s="174" t="s">
        <v>1149</v>
      </c>
      <c r="L453" s="115"/>
      <c r="M453" s="115"/>
      <c r="N453" s="182" t="s">
        <v>1150</v>
      </c>
      <c r="O453" s="185"/>
      <c r="P453" s="176" t="s">
        <v>49</v>
      </c>
      <c r="Q453" s="176"/>
      <c r="R453" s="177"/>
    </row>
    <row r="454" spans="1:18" s="167" customFormat="1" ht="92.45" hidden="1" customHeight="1">
      <c r="B454" s="168" t="s">
        <v>163</v>
      </c>
      <c r="C454" s="169"/>
      <c r="D454" s="170" t="s">
        <v>1151</v>
      </c>
      <c r="E454" s="171" t="s">
        <v>46</v>
      </c>
      <c r="F454" s="117"/>
      <c r="G454" s="118"/>
      <c r="H454" s="118"/>
      <c r="I454" s="118"/>
      <c r="J454" s="173">
        <v>45270.396851851852</v>
      </c>
      <c r="K454" s="174" t="s">
        <v>1152</v>
      </c>
      <c r="L454" s="115"/>
      <c r="M454" s="115"/>
      <c r="N454" s="182" t="s">
        <v>1150</v>
      </c>
      <c r="O454" s="185"/>
      <c r="P454" s="176" t="s">
        <v>49</v>
      </c>
      <c r="Q454" s="176"/>
      <c r="R454" s="177"/>
    </row>
    <row r="455" spans="1:18" s="167" customFormat="1" ht="66" hidden="1" customHeight="1">
      <c r="B455" s="168" t="s">
        <v>163</v>
      </c>
      <c r="C455" s="169"/>
      <c r="D455" s="170" t="s">
        <v>1153</v>
      </c>
      <c r="E455" s="171" t="s">
        <v>46</v>
      </c>
      <c r="F455" s="117"/>
      <c r="G455" s="118"/>
      <c r="H455" s="118"/>
      <c r="I455" s="118"/>
      <c r="J455" s="173">
        <v>45270.397430555553</v>
      </c>
      <c r="K455" s="174" t="s">
        <v>1154</v>
      </c>
      <c r="L455" s="115"/>
      <c r="M455" s="115"/>
      <c r="N455" s="182" t="s">
        <v>1155</v>
      </c>
      <c r="O455" s="185"/>
      <c r="P455" s="176" t="s">
        <v>49</v>
      </c>
      <c r="Q455" s="176"/>
      <c r="R455" s="177"/>
    </row>
    <row r="456" spans="1:18" s="167" customFormat="1" ht="66" hidden="1" customHeight="1">
      <c r="A456" s="1"/>
      <c r="B456" s="114" t="s">
        <v>163</v>
      </c>
      <c r="C456" s="115"/>
      <c r="D456" s="116" t="s">
        <v>1156</v>
      </c>
      <c r="E456" s="171" t="s">
        <v>46</v>
      </c>
      <c r="F456" s="117"/>
      <c r="G456" s="118"/>
      <c r="H456" s="118"/>
      <c r="I456" s="118"/>
      <c r="J456" s="119">
        <v>45270.397916666669</v>
      </c>
      <c r="K456" s="120" t="s">
        <v>1157</v>
      </c>
      <c r="L456" s="115"/>
      <c r="M456" s="115"/>
      <c r="N456" s="121" t="s">
        <v>1158</v>
      </c>
      <c r="O456" s="163"/>
      <c r="P456" s="176" t="s">
        <v>49</v>
      </c>
      <c r="Q456" s="53"/>
      <c r="R456" s="54"/>
    </row>
    <row r="457" spans="1:18" s="125" customFormat="1" ht="66" hidden="1" customHeight="1">
      <c r="A457" s="167"/>
      <c r="B457" s="168" t="s">
        <v>54</v>
      </c>
      <c r="C457" s="169"/>
      <c r="D457" s="170" t="s">
        <v>1159</v>
      </c>
      <c r="E457" s="171" t="s">
        <v>46</v>
      </c>
      <c r="F457" s="117"/>
      <c r="G457" s="118"/>
      <c r="H457" s="118"/>
      <c r="I457" s="118"/>
      <c r="J457" s="173">
        <v>45271.94736111111</v>
      </c>
      <c r="K457" s="174" t="s">
        <v>1160</v>
      </c>
      <c r="L457" s="115"/>
      <c r="M457" s="115"/>
      <c r="N457" s="182" t="s">
        <v>1141</v>
      </c>
      <c r="O457" s="185"/>
      <c r="P457" s="176" t="s">
        <v>49</v>
      </c>
      <c r="Q457" s="176"/>
      <c r="R457" s="177"/>
    </row>
    <row r="458" spans="1:18" s="167" customFormat="1" ht="66" hidden="1" customHeight="1">
      <c r="B458" s="168" t="s">
        <v>156</v>
      </c>
      <c r="C458" s="169"/>
      <c r="D458" s="170" t="s">
        <v>1161</v>
      </c>
      <c r="E458" s="171" t="s">
        <v>46</v>
      </c>
      <c r="F458" s="117"/>
      <c r="G458" s="118"/>
      <c r="H458" s="118"/>
      <c r="I458" s="118"/>
      <c r="J458" s="173">
        <v>45271.951793981483</v>
      </c>
      <c r="K458" s="174" t="s">
        <v>1162</v>
      </c>
      <c r="L458" s="115"/>
      <c r="M458" s="115"/>
      <c r="N458" s="182" t="s">
        <v>1163</v>
      </c>
      <c r="O458" s="185"/>
      <c r="P458" s="176" t="s">
        <v>49</v>
      </c>
      <c r="Q458" s="176"/>
      <c r="R458" s="177"/>
    </row>
    <row r="459" spans="1:18" s="167" customFormat="1" ht="66" hidden="1" customHeight="1">
      <c r="B459" s="168" t="s">
        <v>160</v>
      </c>
      <c r="C459" s="169"/>
      <c r="D459" s="170" t="s">
        <v>1164</v>
      </c>
      <c r="E459" s="171" t="s">
        <v>46</v>
      </c>
      <c r="F459" s="117"/>
      <c r="G459" s="118"/>
      <c r="H459" s="118"/>
      <c r="I459" s="118"/>
      <c r="J459" s="173">
        <v>45273.0705787037</v>
      </c>
      <c r="K459" s="174" t="s">
        <v>1165</v>
      </c>
      <c r="L459" s="115"/>
      <c r="M459" s="115"/>
      <c r="N459" s="182" t="s">
        <v>1166</v>
      </c>
      <c r="O459" s="185"/>
      <c r="P459" s="176" t="s">
        <v>49</v>
      </c>
      <c r="Q459" s="176"/>
      <c r="R459" s="177"/>
    </row>
    <row r="460" spans="1:18" s="167" customFormat="1" ht="66" hidden="1" customHeight="1">
      <c r="B460" s="168" t="s">
        <v>160</v>
      </c>
      <c r="C460" s="169"/>
      <c r="D460" s="170" t="s">
        <v>1167</v>
      </c>
      <c r="E460" s="171" t="s">
        <v>46</v>
      </c>
      <c r="F460" s="117"/>
      <c r="G460" s="118"/>
      <c r="H460" s="118"/>
      <c r="I460" s="118"/>
      <c r="J460" s="173">
        <v>45273.956180555557</v>
      </c>
      <c r="K460" s="174" t="s">
        <v>1168</v>
      </c>
      <c r="L460" s="115"/>
      <c r="M460" s="115"/>
      <c r="N460" s="182" t="s">
        <v>1169</v>
      </c>
      <c r="O460" s="185"/>
      <c r="P460" s="176" t="s">
        <v>49</v>
      </c>
      <c r="Q460" s="176"/>
      <c r="R460" s="177"/>
    </row>
    <row r="461" spans="1:18" s="167" customFormat="1" ht="105.95" hidden="1" customHeight="1">
      <c r="B461" s="168" t="s">
        <v>133</v>
      </c>
      <c r="C461" s="169"/>
      <c r="D461" s="170" t="s">
        <v>1170</v>
      </c>
      <c r="E461" s="171" t="s">
        <v>46</v>
      </c>
      <c r="F461" s="117"/>
      <c r="G461" s="118"/>
      <c r="H461" s="118"/>
      <c r="I461" s="118"/>
      <c r="J461" s="173">
        <v>45275.267361111109</v>
      </c>
      <c r="K461" s="174" t="s">
        <v>1171</v>
      </c>
      <c r="L461" s="115"/>
      <c r="M461" s="115"/>
      <c r="N461" s="182" t="s">
        <v>1172</v>
      </c>
      <c r="O461" s="185"/>
      <c r="P461" s="176" t="s">
        <v>49</v>
      </c>
      <c r="Q461" s="176"/>
      <c r="R461" s="177"/>
    </row>
    <row r="462" spans="1:18" s="167" customFormat="1" ht="66" hidden="1" customHeight="1">
      <c r="B462" s="168" t="s">
        <v>129</v>
      </c>
      <c r="C462" s="169"/>
      <c r="D462" s="170" t="s">
        <v>1173</v>
      </c>
      <c r="E462" s="171" t="s">
        <v>46</v>
      </c>
      <c r="F462" s="117"/>
      <c r="G462" s="118"/>
      <c r="H462" s="118"/>
      <c r="I462" s="118"/>
      <c r="J462" s="173">
        <v>45275.460949074077</v>
      </c>
      <c r="K462" s="174" t="s">
        <v>1174</v>
      </c>
      <c r="L462" s="115"/>
      <c r="M462" s="115"/>
      <c r="N462" s="182" t="s">
        <v>1141</v>
      </c>
      <c r="O462" s="185"/>
      <c r="P462" s="176" t="s">
        <v>49</v>
      </c>
      <c r="Q462" s="176"/>
      <c r="R462" s="177"/>
    </row>
    <row r="463" spans="1:18" s="186" customFormat="1" ht="66" hidden="1" customHeight="1">
      <c r="A463" s="167"/>
      <c r="B463" s="168" t="s">
        <v>129</v>
      </c>
      <c r="C463" s="169"/>
      <c r="D463" s="170" t="s">
        <v>1175</v>
      </c>
      <c r="E463" s="171" t="s">
        <v>46</v>
      </c>
      <c r="F463" s="117"/>
      <c r="G463" s="118"/>
      <c r="H463" s="118"/>
      <c r="I463" s="118"/>
      <c r="J463" s="173">
        <v>45275.462048611109</v>
      </c>
      <c r="K463" s="174" t="s">
        <v>1176</v>
      </c>
      <c r="L463" s="115"/>
      <c r="M463" s="115"/>
      <c r="N463" s="182" t="s">
        <v>1177</v>
      </c>
      <c r="O463" s="185"/>
      <c r="P463" s="176" t="s">
        <v>49</v>
      </c>
      <c r="Q463" s="176"/>
      <c r="R463" s="177"/>
    </row>
    <row r="464" spans="1:18" s="167" customFormat="1" ht="66" hidden="1" customHeight="1">
      <c r="B464" s="168" t="s">
        <v>129</v>
      </c>
      <c r="C464" s="169"/>
      <c r="D464" s="170" t="s">
        <v>1178</v>
      </c>
      <c r="E464" s="171" t="s">
        <v>46</v>
      </c>
      <c r="F464" s="117"/>
      <c r="G464" s="118"/>
      <c r="H464" s="118"/>
      <c r="I464" s="118"/>
      <c r="J464" s="173">
        <v>45275.463923611111</v>
      </c>
      <c r="K464" s="174" t="s">
        <v>1179</v>
      </c>
      <c r="L464" s="115"/>
      <c r="M464" s="115"/>
      <c r="N464" s="182" t="s">
        <v>1141</v>
      </c>
      <c r="O464" s="185"/>
      <c r="P464" s="176" t="s">
        <v>49</v>
      </c>
      <c r="Q464" s="176"/>
      <c r="R464" s="177"/>
    </row>
    <row r="465" spans="1:18" s="167" customFormat="1" ht="66" hidden="1" customHeight="1">
      <c r="B465" s="168" t="s">
        <v>54</v>
      </c>
      <c r="C465" s="169"/>
      <c r="D465" s="170" t="s">
        <v>1180</v>
      </c>
      <c r="E465" s="171" t="s">
        <v>46</v>
      </c>
      <c r="F465" s="117"/>
      <c r="G465" s="118"/>
      <c r="H465" s="118"/>
      <c r="I465" s="118"/>
      <c r="J465" s="173">
        <v>45275.594594907408</v>
      </c>
      <c r="K465" s="174" t="s">
        <v>1181</v>
      </c>
      <c r="L465" s="115"/>
      <c r="M465" s="115"/>
      <c r="N465" s="182" t="s">
        <v>1182</v>
      </c>
      <c r="O465" s="185"/>
      <c r="P465" s="176" t="s">
        <v>49</v>
      </c>
      <c r="Q465" s="176"/>
      <c r="R465" s="177"/>
    </row>
    <row r="466" spans="1:18" s="125" customFormat="1" ht="66" hidden="1" customHeight="1">
      <c r="A466" s="167"/>
      <c r="B466" s="168" t="s">
        <v>163</v>
      </c>
      <c r="C466" s="169"/>
      <c r="D466" s="170" t="s">
        <v>1183</v>
      </c>
      <c r="E466" s="171" t="s">
        <v>46</v>
      </c>
      <c r="F466" s="117"/>
      <c r="G466" s="118"/>
      <c r="H466" s="118"/>
      <c r="I466" s="118"/>
      <c r="J466" s="173">
        <v>45277.390879629631</v>
      </c>
      <c r="K466" s="235" t="s">
        <v>1184</v>
      </c>
      <c r="L466" s="115"/>
      <c r="M466" s="115"/>
      <c r="N466" s="182" t="s">
        <v>1150</v>
      </c>
      <c r="O466" s="185"/>
      <c r="P466" s="176" t="s">
        <v>49</v>
      </c>
      <c r="Q466" s="176"/>
      <c r="R466" s="177"/>
    </row>
    <row r="467" spans="1:18" ht="66" hidden="1" customHeight="1">
      <c r="A467" s="167"/>
      <c r="B467" s="168" t="s">
        <v>156</v>
      </c>
      <c r="C467" s="169"/>
      <c r="D467" s="170" t="s">
        <v>1185</v>
      </c>
      <c r="E467" s="171" t="s">
        <v>46</v>
      </c>
      <c r="F467" s="117"/>
      <c r="G467" s="118"/>
      <c r="H467" s="118"/>
      <c r="I467" s="118"/>
      <c r="J467" s="173">
        <v>45278.834479166668</v>
      </c>
      <c r="K467" s="174" t="s">
        <v>1186</v>
      </c>
      <c r="L467" s="115"/>
      <c r="M467" s="115"/>
      <c r="N467" s="182" t="s">
        <v>1187</v>
      </c>
      <c r="O467" s="185"/>
      <c r="P467" s="176" t="s">
        <v>49</v>
      </c>
      <c r="Q467" s="176"/>
      <c r="R467" s="177"/>
    </row>
    <row r="468" spans="1:18" s="167" customFormat="1" ht="66" hidden="1" customHeight="1">
      <c r="B468" s="168" t="s">
        <v>156</v>
      </c>
      <c r="C468" s="169"/>
      <c r="D468" s="170" t="s">
        <v>1188</v>
      </c>
      <c r="E468" s="171" t="s">
        <v>46</v>
      </c>
      <c r="F468" s="117"/>
      <c r="G468" s="118"/>
      <c r="H468" s="118"/>
      <c r="I468" s="118"/>
      <c r="J468" s="173">
        <v>45279.031805555554</v>
      </c>
      <c r="K468" s="174" t="s">
        <v>1189</v>
      </c>
      <c r="L468" s="115"/>
      <c r="M468" s="115"/>
      <c r="N468" s="182" t="s">
        <v>1187</v>
      </c>
      <c r="O468" s="185"/>
      <c r="P468" s="176" t="s">
        <v>49</v>
      </c>
      <c r="Q468" s="176"/>
      <c r="R468" s="177"/>
    </row>
    <row r="469" spans="1:18" s="167" customFormat="1" ht="66" hidden="1" customHeight="1">
      <c r="B469" s="168" t="s">
        <v>63</v>
      </c>
      <c r="C469" s="169"/>
      <c r="D469" s="170" t="s">
        <v>1190</v>
      </c>
      <c r="E469" s="171" t="s">
        <v>46</v>
      </c>
      <c r="F469" s="117"/>
      <c r="G469" s="118"/>
      <c r="H469" s="118"/>
      <c r="I469" s="118"/>
      <c r="J469" s="173">
        <v>45279.392430555556</v>
      </c>
      <c r="K469" s="174" t="s">
        <v>1191</v>
      </c>
      <c r="L469" s="115"/>
      <c r="M469" s="115"/>
      <c r="N469" s="182" t="s">
        <v>1187</v>
      </c>
      <c r="O469" s="185"/>
      <c r="P469" s="176" t="s">
        <v>49</v>
      </c>
      <c r="Q469" s="176"/>
      <c r="R469" s="177"/>
    </row>
    <row r="470" spans="1:18" ht="66" hidden="1" customHeight="1">
      <c r="A470" s="167"/>
      <c r="B470" s="168" t="s">
        <v>174</v>
      </c>
      <c r="C470" s="169"/>
      <c r="D470" s="170" t="s">
        <v>1192</v>
      </c>
      <c r="E470" s="171" t="s">
        <v>46</v>
      </c>
      <c r="F470" s="117"/>
      <c r="G470" s="118"/>
      <c r="H470" s="118"/>
      <c r="I470" s="118"/>
      <c r="J470" s="173">
        <v>45280.158587962964</v>
      </c>
      <c r="K470" s="174" t="s">
        <v>1193</v>
      </c>
      <c r="L470" s="115"/>
      <c r="M470" s="115"/>
      <c r="N470" s="205" t="s">
        <v>1194</v>
      </c>
      <c r="O470" s="185"/>
      <c r="P470" s="176" t="s">
        <v>49</v>
      </c>
      <c r="Q470" s="176"/>
      <c r="R470" s="177"/>
    </row>
    <row r="471" spans="1:18" s="167" customFormat="1" ht="66" hidden="1" customHeight="1">
      <c r="B471" s="168" t="s">
        <v>71</v>
      </c>
      <c r="C471" s="169"/>
      <c r="D471" s="207" t="s">
        <v>1195</v>
      </c>
      <c r="E471" s="171" t="s">
        <v>46</v>
      </c>
      <c r="F471" s="117"/>
      <c r="G471" s="118"/>
      <c r="H471" s="118"/>
      <c r="I471" s="118"/>
      <c r="J471" s="173">
        <v>45281.298067129632</v>
      </c>
      <c r="K471" s="174" t="s">
        <v>1196</v>
      </c>
      <c r="L471" s="115"/>
      <c r="M471" s="115"/>
      <c r="N471" s="205" t="s">
        <v>1197</v>
      </c>
      <c r="O471" s="185"/>
      <c r="P471" s="176" t="s">
        <v>49</v>
      </c>
      <c r="Q471" s="176"/>
      <c r="R471" s="177"/>
    </row>
    <row r="472" spans="1:18" s="167" customFormat="1" ht="66" hidden="1" customHeight="1">
      <c r="B472" s="168" t="s">
        <v>71</v>
      </c>
      <c r="C472" s="169"/>
      <c r="D472" s="170" t="s">
        <v>1198</v>
      </c>
      <c r="E472" s="171" t="s">
        <v>46</v>
      </c>
      <c r="F472" s="117"/>
      <c r="G472" s="118"/>
      <c r="H472" s="118"/>
      <c r="I472" s="118"/>
      <c r="J472" s="173">
        <v>45281.299189814818</v>
      </c>
      <c r="K472" s="335" t="s">
        <v>1199</v>
      </c>
      <c r="L472" s="115"/>
      <c r="M472" s="115"/>
      <c r="N472" s="182" t="s">
        <v>1187</v>
      </c>
      <c r="O472" s="185"/>
      <c r="P472" s="176" t="s">
        <v>49</v>
      </c>
      <c r="Q472" s="176"/>
      <c r="R472" s="177"/>
    </row>
    <row r="473" spans="1:18" s="167" customFormat="1" ht="66" hidden="1" customHeight="1">
      <c r="B473" s="168" t="s">
        <v>160</v>
      </c>
      <c r="C473" s="169"/>
      <c r="D473" s="170" t="s">
        <v>1200</v>
      </c>
      <c r="E473" s="171" t="s">
        <v>46</v>
      </c>
      <c r="F473" s="117"/>
      <c r="G473" s="118"/>
      <c r="H473" s="118"/>
      <c r="I473" s="118"/>
      <c r="J473" s="173">
        <v>45281.654699074075</v>
      </c>
      <c r="K473" s="174" t="s">
        <v>1201</v>
      </c>
      <c r="L473" s="115"/>
      <c r="M473" s="115"/>
      <c r="N473" s="182" t="s">
        <v>1187</v>
      </c>
      <c r="O473" s="185"/>
      <c r="P473" s="176" t="s">
        <v>49</v>
      </c>
      <c r="Q473" s="176"/>
      <c r="R473" s="177"/>
    </row>
    <row r="474" spans="1:18" s="167" customFormat="1" ht="66" hidden="1" customHeight="1">
      <c r="A474" s="186"/>
      <c r="B474" s="187" t="s">
        <v>170</v>
      </c>
      <c r="C474" s="188"/>
      <c r="D474" s="189" t="s">
        <v>1202</v>
      </c>
      <c r="E474" s="190" t="s">
        <v>46</v>
      </c>
      <c r="F474" s="117"/>
      <c r="G474" s="118"/>
      <c r="H474" s="118"/>
      <c r="I474" s="118"/>
      <c r="J474" s="191">
        <v>45284.348692129628</v>
      </c>
      <c r="K474" s="192">
        <v>1507288</v>
      </c>
      <c r="L474" s="115"/>
      <c r="M474" s="115"/>
      <c r="N474" s="239" t="s">
        <v>1203</v>
      </c>
      <c r="O474" s="194"/>
      <c r="P474" s="195" t="s">
        <v>49</v>
      </c>
      <c r="Q474" s="195"/>
      <c r="R474" s="196"/>
    </row>
    <row r="475" spans="1:18" s="167" customFormat="1" ht="66" hidden="1" customHeight="1">
      <c r="B475" s="168" t="s">
        <v>75</v>
      </c>
      <c r="C475" s="169"/>
      <c r="D475" s="170" t="s">
        <v>1204</v>
      </c>
      <c r="E475" s="171" t="s">
        <v>46</v>
      </c>
      <c r="F475" s="117"/>
      <c r="G475" s="118"/>
      <c r="H475" s="118"/>
      <c r="I475" s="118"/>
      <c r="J475" s="173">
        <v>45287.337106481478</v>
      </c>
      <c r="K475" s="174" t="s">
        <v>1205</v>
      </c>
      <c r="L475" s="115"/>
      <c r="M475" s="115"/>
      <c r="N475" s="182" t="s">
        <v>1206</v>
      </c>
      <c r="O475" s="185" t="s">
        <v>1207</v>
      </c>
      <c r="P475" s="176" t="s">
        <v>49</v>
      </c>
      <c r="Q475" s="176"/>
      <c r="R475" s="177"/>
    </row>
    <row r="476" spans="1:18" s="167" customFormat="1" ht="66" hidden="1" customHeight="1">
      <c r="B476" s="168" t="s">
        <v>170</v>
      </c>
      <c r="C476" s="169"/>
      <c r="D476" s="170" t="s">
        <v>1208</v>
      </c>
      <c r="E476" s="171" t="s">
        <v>46</v>
      </c>
      <c r="F476" s="117"/>
      <c r="G476" s="118"/>
      <c r="H476" s="118"/>
      <c r="I476" s="118"/>
      <c r="J476" s="173">
        <v>45288.312488425923</v>
      </c>
      <c r="K476" s="174" t="s">
        <v>1209</v>
      </c>
      <c r="L476" s="115"/>
      <c r="M476" s="115"/>
      <c r="N476" s="182" t="s">
        <v>1210</v>
      </c>
      <c r="O476" s="185"/>
      <c r="P476" s="176" t="s">
        <v>49</v>
      </c>
      <c r="Q476" s="176"/>
      <c r="R476" s="177"/>
    </row>
    <row r="477" spans="1:18" ht="66" hidden="1" customHeight="1">
      <c r="A477" s="167"/>
      <c r="B477" s="168" t="s">
        <v>413</v>
      </c>
      <c r="C477" s="169"/>
      <c r="D477" s="170" t="s">
        <v>1211</v>
      </c>
      <c r="E477" s="171" t="s">
        <v>46</v>
      </c>
      <c r="F477" s="117"/>
      <c r="G477" s="118"/>
      <c r="H477" s="118"/>
      <c r="I477" s="118"/>
      <c r="J477" s="173">
        <v>45289.06046296296</v>
      </c>
      <c r="K477" s="174" t="s">
        <v>1212</v>
      </c>
      <c r="L477" s="115"/>
      <c r="M477" s="115"/>
      <c r="N477" s="182" t="s">
        <v>1187</v>
      </c>
      <c r="O477" s="185"/>
      <c r="P477" s="176" t="s">
        <v>49</v>
      </c>
      <c r="Q477" s="176"/>
      <c r="R477" s="177"/>
    </row>
    <row r="478" spans="1:18" s="125" customFormat="1" ht="66" hidden="1" customHeight="1">
      <c r="A478" s="167"/>
      <c r="B478" s="168" t="s">
        <v>79</v>
      </c>
      <c r="C478" s="169"/>
      <c r="D478" s="170" t="s">
        <v>1213</v>
      </c>
      <c r="E478" s="171" t="s">
        <v>46</v>
      </c>
      <c r="F478" s="117"/>
      <c r="G478" s="118"/>
      <c r="H478" s="118"/>
      <c r="I478" s="118"/>
      <c r="J478" s="173">
        <v>45300</v>
      </c>
      <c r="K478" s="369" t="s">
        <v>1214</v>
      </c>
      <c r="L478" s="115"/>
      <c r="M478" s="115"/>
      <c r="N478" s="182" t="s">
        <v>1215</v>
      </c>
      <c r="O478" s="185"/>
      <c r="P478" s="176" t="s">
        <v>49</v>
      </c>
      <c r="Q478" s="176"/>
      <c r="R478" s="177"/>
    </row>
    <row r="479" spans="1:18" ht="66" hidden="1" customHeight="1">
      <c r="A479" s="167"/>
      <c r="B479" s="168" t="s">
        <v>58</v>
      </c>
      <c r="C479" s="169"/>
      <c r="D479" s="170" t="s">
        <v>1216</v>
      </c>
      <c r="E479" s="171" t="s">
        <v>46</v>
      </c>
      <c r="F479" s="117"/>
      <c r="G479" s="118"/>
      <c r="H479" s="118"/>
      <c r="I479" s="118"/>
      <c r="J479" s="173">
        <v>45300</v>
      </c>
      <c r="K479" s="364" t="s">
        <v>1217</v>
      </c>
      <c r="L479" s="115"/>
      <c r="M479" s="115"/>
      <c r="N479" s="182" t="s">
        <v>1218</v>
      </c>
      <c r="O479" s="185"/>
      <c r="P479" s="176" t="s">
        <v>49</v>
      </c>
      <c r="Q479" s="176"/>
      <c r="R479" s="177"/>
    </row>
    <row r="480" spans="1:18" s="167" customFormat="1" ht="66" hidden="1" customHeight="1">
      <c r="B480" s="168" t="s">
        <v>222</v>
      </c>
      <c r="C480" s="169"/>
      <c r="D480" s="170" t="s">
        <v>1219</v>
      </c>
      <c r="E480" s="171" t="s">
        <v>46</v>
      </c>
      <c r="F480" s="117"/>
      <c r="G480" s="118"/>
      <c r="H480" s="118"/>
      <c r="I480" s="118"/>
      <c r="J480" s="173">
        <v>45300.823599537034</v>
      </c>
      <c r="K480" s="305" t="s">
        <v>1220</v>
      </c>
      <c r="L480" s="115"/>
      <c r="M480" s="115"/>
      <c r="N480" s="182" t="s">
        <v>1221</v>
      </c>
      <c r="O480" s="185"/>
      <c r="P480" s="176" t="s">
        <v>49</v>
      </c>
      <c r="Q480" s="176"/>
      <c r="R480" s="177"/>
    </row>
    <row r="481" spans="1:18" s="167" customFormat="1" ht="66" hidden="1" customHeight="1">
      <c r="A481" s="186"/>
      <c r="B481" s="187" t="s">
        <v>63</v>
      </c>
      <c r="C481" s="188"/>
      <c r="D481" s="189" t="s">
        <v>1222</v>
      </c>
      <c r="E481" s="190" t="s">
        <v>46</v>
      </c>
      <c r="F481" s="190"/>
      <c r="G481" s="238"/>
      <c r="H481" s="238"/>
      <c r="I481" s="238"/>
      <c r="J481" s="191">
        <v>45301</v>
      </c>
      <c r="K481" s="192">
        <v>1540549</v>
      </c>
      <c r="L481" s="188"/>
      <c r="M481" s="188"/>
      <c r="N481" s="193" t="s">
        <v>978</v>
      </c>
      <c r="O481" s="194" t="s">
        <v>825</v>
      </c>
      <c r="P481" s="195" t="s">
        <v>204</v>
      </c>
      <c r="Q481" s="195"/>
      <c r="R481" s="196"/>
    </row>
    <row r="482" spans="1:18" s="167" customFormat="1" ht="66" hidden="1" customHeight="1">
      <c r="B482" s="168" t="s">
        <v>63</v>
      </c>
      <c r="C482" s="169"/>
      <c r="D482" s="170" t="s">
        <v>1223</v>
      </c>
      <c r="E482" s="171" t="s">
        <v>46</v>
      </c>
      <c r="F482" s="117"/>
      <c r="G482" s="118"/>
      <c r="H482" s="118"/>
      <c r="I482" s="118"/>
      <c r="J482" s="173">
        <v>45301</v>
      </c>
      <c r="K482" s="369" t="s">
        <v>1224</v>
      </c>
      <c r="L482" s="115"/>
      <c r="M482" s="115"/>
      <c r="N482" s="182" t="s">
        <v>1225</v>
      </c>
      <c r="O482" s="185"/>
      <c r="P482" s="176" t="s">
        <v>49</v>
      </c>
      <c r="Q482" s="176"/>
      <c r="R482" s="177"/>
    </row>
    <row r="483" spans="1:18" s="167" customFormat="1" ht="66" hidden="1" customHeight="1">
      <c r="B483" s="168" t="s">
        <v>58</v>
      </c>
      <c r="C483" s="169"/>
      <c r="D483" s="170" t="s">
        <v>1226</v>
      </c>
      <c r="E483" s="171" t="s">
        <v>46</v>
      </c>
      <c r="F483" s="117"/>
      <c r="G483" s="118"/>
      <c r="H483" s="118"/>
      <c r="I483" s="118"/>
      <c r="J483" s="173">
        <v>45301</v>
      </c>
      <c r="K483" s="364" t="s">
        <v>1227</v>
      </c>
      <c r="L483" s="115"/>
      <c r="M483" s="115"/>
      <c r="N483" s="182" t="s">
        <v>1225</v>
      </c>
      <c r="O483" s="185"/>
      <c r="P483" s="176" t="s">
        <v>49</v>
      </c>
      <c r="Q483" s="176"/>
      <c r="R483" s="177"/>
    </row>
    <row r="484" spans="1:18" s="125" customFormat="1" ht="66" hidden="1" customHeight="1">
      <c r="A484" s="167"/>
      <c r="B484" s="168" t="s">
        <v>138</v>
      </c>
      <c r="C484" s="169"/>
      <c r="D484" s="170" t="s">
        <v>1228</v>
      </c>
      <c r="E484" s="171" t="s">
        <v>46</v>
      </c>
      <c r="F484" s="117"/>
      <c r="G484" s="118"/>
      <c r="H484" s="118"/>
      <c r="I484" s="118"/>
      <c r="J484" s="173">
        <v>45303.243692129632</v>
      </c>
      <c r="K484" s="305" t="s">
        <v>1229</v>
      </c>
      <c r="L484" s="115"/>
      <c r="M484" s="115"/>
      <c r="N484" s="182" t="s">
        <v>1230</v>
      </c>
      <c r="O484" s="185"/>
      <c r="P484" s="176" t="s">
        <v>49</v>
      </c>
      <c r="Q484" s="176"/>
      <c r="R484" s="177"/>
    </row>
    <row r="485" spans="1:18" s="167" customFormat="1" ht="66" hidden="1" customHeight="1">
      <c r="B485" s="168" t="s">
        <v>54</v>
      </c>
      <c r="C485" s="169"/>
      <c r="D485" s="170" t="s">
        <v>1231</v>
      </c>
      <c r="E485" s="171" t="s">
        <v>46</v>
      </c>
      <c r="F485" s="117"/>
      <c r="G485" s="118"/>
      <c r="H485" s="118"/>
      <c r="I485" s="118"/>
      <c r="J485" s="173">
        <v>45306</v>
      </c>
      <c r="K485" s="174" t="s">
        <v>1232</v>
      </c>
      <c r="L485" s="115"/>
      <c r="M485" s="115"/>
      <c r="N485" s="205" t="s">
        <v>1230</v>
      </c>
      <c r="O485" s="185"/>
      <c r="P485" s="176" t="s">
        <v>49</v>
      </c>
      <c r="Q485" s="176"/>
      <c r="R485" s="177"/>
    </row>
    <row r="486" spans="1:18" s="167" customFormat="1" ht="66" hidden="1" customHeight="1">
      <c r="B486" s="168" t="s">
        <v>54</v>
      </c>
      <c r="C486" s="169"/>
      <c r="D486" s="170" t="s">
        <v>1233</v>
      </c>
      <c r="E486" s="171" t="s">
        <v>46</v>
      </c>
      <c r="F486" s="117"/>
      <c r="G486" s="118"/>
      <c r="H486" s="118"/>
      <c r="I486" s="118"/>
      <c r="J486" s="173">
        <v>45306</v>
      </c>
      <c r="K486" s="174" t="s">
        <v>1234</v>
      </c>
      <c r="L486" s="115"/>
      <c r="M486" s="115"/>
      <c r="N486" s="205" t="s">
        <v>1235</v>
      </c>
      <c r="O486" s="185"/>
      <c r="P486" s="176" t="s">
        <v>49</v>
      </c>
      <c r="Q486" s="176"/>
      <c r="R486" s="177"/>
    </row>
    <row r="487" spans="1:18" s="167" customFormat="1" ht="66" hidden="1" customHeight="1">
      <c r="B487" s="168" t="s">
        <v>690</v>
      </c>
      <c r="C487" s="169"/>
      <c r="D487" s="170" t="s">
        <v>1236</v>
      </c>
      <c r="E487" s="171" t="s">
        <v>46</v>
      </c>
      <c r="F487" s="117"/>
      <c r="G487" s="118"/>
      <c r="H487" s="118"/>
      <c r="I487" s="118"/>
      <c r="J487" s="173">
        <v>45306</v>
      </c>
      <c r="K487" s="174" t="s">
        <v>1237</v>
      </c>
      <c r="L487" s="115"/>
      <c r="M487" s="115"/>
      <c r="N487" s="182" t="s">
        <v>1238</v>
      </c>
      <c r="O487" s="200" t="s">
        <v>1239</v>
      </c>
      <c r="P487" s="176" t="s">
        <v>49</v>
      </c>
      <c r="Q487" s="176"/>
      <c r="R487" s="177"/>
    </row>
    <row r="488" spans="1:18" s="167" customFormat="1" ht="66" hidden="1" customHeight="1">
      <c r="B488" s="168" t="s">
        <v>163</v>
      </c>
      <c r="C488" s="169"/>
      <c r="D488" s="170" t="s">
        <v>1240</v>
      </c>
      <c r="E488" s="171" t="s">
        <v>46</v>
      </c>
      <c r="F488" s="117"/>
      <c r="G488" s="118"/>
      <c r="H488" s="118"/>
      <c r="I488" s="118"/>
      <c r="J488" s="173">
        <v>45306</v>
      </c>
      <c r="K488" s="174" t="s">
        <v>1241</v>
      </c>
      <c r="L488" s="115"/>
      <c r="M488" s="115"/>
      <c r="N488" s="182" t="s">
        <v>1225</v>
      </c>
      <c r="O488" s="185"/>
      <c r="P488" s="176" t="s">
        <v>49</v>
      </c>
      <c r="Q488" s="176"/>
      <c r="R488" s="177"/>
    </row>
    <row r="489" spans="1:18" s="167" customFormat="1" ht="66" hidden="1" customHeight="1">
      <c r="A489" s="1"/>
      <c r="B489" s="114" t="s">
        <v>163</v>
      </c>
      <c r="C489" s="115"/>
      <c r="D489" s="333" t="s">
        <v>1242</v>
      </c>
      <c r="E489" s="171" t="s">
        <v>46</v>
      </c>
      <c r="F489" s="117"/>
      <c r="G489" s="118"/>
      <c r="H489" s="118"/>
      <c r="I489" s="118"/>
      <c r="J489" s="119">
        <v>45306</v>
      </c>
      <c r="K489" s="120" t="s">
        <v>1243</v>
      </c>
      <c r="L489" s="115"/>
      <c r="M489" s="115"/>
      <c r="N489" s="121" t="s">
        <v>1244</v>
      </c>
      <c r="O489" s="163"/>
      <c r="P489" s="176" t="s">
        <v>49</v>
      </c>
      <c r="Q489" s="53"/>
      <c r="R489" s="54"/>
    </row>
    <row r="490" spans="1:18" s="167" customFormat="1" ht="66" hidden="1" customHeight="1">
      <c r="B490" s="168" t="s">
        <v>99</v>
      </c>
      <c r="C490" s="169"/>
      <c r="D490" s="170" t="s">
        <v>1245</v>
      </c>
      <c r="E490" s="171" t="s">
        <v>46</v>
      </c>
      <c r="F490" s="117"/>
      <c r="G490" s="118"/>
      <c r="H490" s="118"/>
      <c r="I490" s="118"/>
      <c r="J490" s="173">
        <v>45308</v>
      </c>
      <c r="K490" s="174" t="s">
        <v>1246</v>
      </c>
      <c r="L490" s="115"/>
      <c r="M490" s="115"/>
      <c r="N490" s="182" t="s">
        <v>1247</v>
      </c>
      <c r="O490" s="185"/>
      <c r="P490" s="176" t="s">
        <v>49</v>
      </c>
      <c r="Q490" s="176"/>
      <c r="R490" s="177"/>
    </row>
    <row r="491" spans="1:18" ht="66" hidden="1" customHeight="1">
      <c r="A491" s="167"/>
      <c r="B491" s="168" t="s">
        <v>933</v>
      </c>
      <c r="C491" s="169"/>
      <c r="D491" s="170" t="s">
        <v>1248</v>
      </c>
      <c r="E491" s="171" t="s">
        <v>46</v>
      </c>
      <c r="F491" s="117"/>
      <c r="G491" s="118"/>
      <c r="H491" s="118"/>
      <c r="I491" s="118"/>
      <c r="J491" s="173">
        <v>45308</v>
      </c>
      <c r="K491" s="174" t="s">
        <v>1249</v>
      </c>
      <c r="L491" s="115"/>
      <c r="M491" s="115"/>
      <c r="N491" s="182" t="s">
        <v>1225</v>
      </c>
      <c r="O491" s="185"/>
      <c r="P491" s="176" t="s">
        <v>49</v>
      </c>
      <c r="Q491" s="176"/>
      <c r="R491" s="177"/>
    </row>
    <row r="492" spans="1:18" s="167" customFormat="1" ht="66" hidden="1" customHeight="1">
      <c r="B492" s="168" t="s">
        <v>1250</v>
      </c>
      <c r="C492" s="169"/>
      <c r="D492" s="170" t="s">
        <v>1251</v>
      </c>
      <c r="E492" s="171" t="s">
        <v>46</v>
      </c>
      <c r="F492" s="117"/>
      <c r="G492" s="118"/>
      <c r="H492" s="118"/>
      <c r="I492" s="118"/>
      <c r="J492" s="173">
        <v>45309</v>
      </c>
      <c r="K492" s="174" t="s">
        <v>1252</v>
      </c>
      <c r="L492" s="115"/>
      <c r="M492" s="115"/>
      <c r="N492" s="205" t="s">
        <v>1253</v>
      </c>
      <c r="O492" s="185"/>
      <c r="P492" s="176" t="s">
        <v>49</v>
      </c>
      <c r="Q492" s="176"/>
      <c r="R492" s="177"/>
    </row>
    <row r="493" spans="1:18" s="125" customFormat="1" ht="66" hidden="1" customHeight="1">
      <c r="A493" s="167"/>
      <c r="B493" s="168" t="s">
        <v>933</v>
      </c>
      <c r="C493" s="169"/>
      <c r="D493" s="170" t="s">
        <v>1254</v>
      </c>
      <c r="E493" s="171" t="s">
        <v>46</v>
      </c>
      <c r="F493" s="117"/>
      <c r="G493" s="118"/>
      <c r="H493" s="118"/>
      <c r="I493" s="118"/>
      <c r="J493" s="173">
        <v>45309</v>
      </c>
      <c r="K493" s="174" t="s">
        <v>1255</v>
      </c>
      <c r="L493" s="115"/>
      <c r="M493" s="115"/>
      <c r="N493" s="182" t="s">
        <v>1256</v>
      </c>
      <c r="O493" s="185"/>
      <c r="P493" s="176" t="s">
        <v>49</v>
      </c>
      <c r="Q493" s="176"/>
      <c r="R493" s="177"/>
    </row>
    <row r="494" spans="1:18" s="167" customFormat="1" ht="66" hidden="1" customHeight="1">
      <c r="B494" s="168" t="s">
        <v>54</v>
      </c>
      <c r="C494" s="169"/>
      <c r="D494" s="170" t="s">
        <v>1257</v>
      </c>
      <c r="E494" s="171" t="s">
        <v>46</v>
      </c>
      <c r="F494" s="117"/>
      <c r="G494" s="118"/>
      <c r="H494" s="118"/>
      <c r="I494" s="118"/>
      <c r="J494" s="173">
        <v>45310</v>
      </c>
      <c r="K494" s="174" t="s">
        <v>1258</v>
      </c>
      <c r="L494" s="115"/>
      <c r="M494" s="115"/>
      <c r="N494" s="182" t="s">
        <v>1259</v>
      </c>
      <c r="O494" s="185"/>
      <c r="P494" s="176" t="s">
        <v>49</v>
      </c>
      <c r="Q494" s="176"/>
      <c r="R494" s="177"/>
    </row>
    <row r="495" spans="1:18" s="167" customFormat="1" ht="126" hidden="1" customHeight="1">
      <c r="B495" s="168" t="s">
        <v>690</v>
      </c>
      <c r="C495" s="169"/>
      <c r="D495" s="170" t="s">
        <v>1260</v>
      </c>
      <c r="E495" s="171" t="s">
        <v>46</v>
      </c>
      <c r="F495" s="117"/>
      <c r="G495" s="118"/>
      <c r="H495" s="118"/>
      <c r="I495" s="118"/>
      <c r="J495" s="173">
        <v>45313</v>
      </c>
      <c r="K495" s="174" t="s">
        <v>1261</v>
      </c>
      <c r="L495" s="115"/>
      <c r="M495" s="115"/>
      <c r="N495" s="182" t="s">
        <v>1259</v>
      </c>
      <c r="O495" s="185"/>
      <c r="P495" s="176" t="s">
        <v>49</v>
      </c>
      <c r="Q495" s="176"/>
      <c r="R495" s="177"/>
    </row>
    <row r="496" spans="1:18" s="167" customFormat="1" ht="144" hidden="1">
      <c r="A496" s="186" t="s">
        <v>1262</v>
      </c>
      <c r="B496" s="187" t="s">
        <v>86</v>
      </c>
      <c r="C496" s="188"/>
      <c r="D496" s="189" t="s">
        <v>1263</v>
      </c>
      <c r="E496" s="190" t="s">
        <v>46</v>
      </c>
      <c r="F496" s="117"/>
      <c r="G496" s="118"/>
      <c r="H496" s="118"/>
      <c r="I496" s="118"/>
      <c r="J496" s="191">
        <v>45315</v>
      </c>
      <c r="K496" s="192" t="s">
        <v>1264</v>
      </c>
      <c r="L496" s="115"/>
      <c r="M496" s="115"/>
      <c r="N496" s="193" t="s">
        <v>1265</v>
      </c>
      <c r="O496" s="194"/>
      <c r="P496" s="195" t="s">
        <v>204</v>
      </c>
      <c r="Q496" s="195"/>
      <c r="R496" s="196"/>
    </row>
    <row r="497" spans="1:18" ht="66" hidden="1" customHeight="1">
      <c r="A497" s="167"/>
      <c r="B497" s="168" t="s">
        <v>933</v>
      </c>
      <c r="C497" s="169"/>
      <c r="D497" s="170" t="s">
        <v>1266</v>
      </c>
      <c r="E497" s="171" t="s">
        <v>46</v>
      </c>
      <c r="F497" s="117"/>
      <c r="G497" s="118"/>
      <c r="H497" s="118"/>
      <c r="I497" s="118"/>
      <c r="J497" s="173">
        <v>45317</v>
      </c>
      <c r="K497" s="174" t="s">
        <v>1267</v>
      </c>
      <c r="L497" s="115"/>
      <c r="M497" s="115"/>
      <c r="N497" s="182" t="s">
        <v>1259</v>
      </c>
      <c r="O497" s="185"/>
      <c r="P497" s="176" t="s">
        <v>49</v>
      </c>
      <c r="Q497" s="176"/>
      <c r="R497" s="177"/>
    </row>
    <row r="498" spans="1:18" s="167" customFormat="1" ht="66" hidden="1" customHeight="1">
      <c r="B498" s="168" t="s">
        <v>214</v>
      </c>
      <c r="C498" s="169"/>
      <c r="D498" s="170" t="s">
        <v>1268</v>
      </c>
      <c r="E498" s="171" t="s">
        <v>46</v>
      </c>
      <c r="F498" s="117"/>
      <c r="G498" s="118"/>
      <c r="H498" s="118"/>
      <c r="I498" s="118"/>
      <c r="J498" s="173">
        <v>45319</v>
      </c>
      <c r="K498" s="174" t="s">
        <v>1269</v>
      </c>
      <c r="L498" s="115"/>
      <c r="M498" s="115"/>
      <c r="N498" s="182" t="s">
        <v>1270</v>
      </c>
      <c r="O498" s="185" t="s">
        <v>1271</v>
      </c>
      <c r="P498" s="176" t="s">
        <v>49</v>
      </c>
      <c r="Q498" s="176"/>
      <c r="R498" s="177"/>
    </row>
    <row r="499" spans="1:18" s="125" customFormat="1" ht="39.950000000000003" hidden="1" customHeight="1">
      <c r="A499" s="167"/>
      <c r="B499" s="168" t="s">
        <v>256</v>
      </c>
      <c r="C499" s="169"/>
      <c r="D499" s="170" t="s">
        <v>1272</v>
      </c>
      <c r="E499" s="171" t="s">
        <v>46</v>
      </c>
      <c r="F499" s="117"/>
      <c r="G499" s="118"/>
      <c r="H499" s="118"/>
      <c r="I499" s="118"/>
      <c r="J499" s="173">
        <v>45320</v>
      </c>
      <c r="K499" s="174" t="s">
        <v>1273</v>
      </c>
      <c r="L499" s="115"/>
      <c r="M499" s="115"/>
      <c r="N499" s="182" t="s">
        <v>1259</v>
      </c>
      <c r="O499" s="185"/>
      <c r="P499" s="176" t="s">
        <v>49</v>
      </c>
      <c r="Q499" s="176"/>
      <c r="R499" s="177"/>
    </row>
    <row r="500" spans="1:18" ht="66" hidden="1" customHeight="1">
      <c r="A500" s="167"/>
      <c r="B500" s="168" t="s">
        <v>214</v>
      </c>
      <c r="C500" s="169"/>
      <c r="D500" s="170" t="s">
        <v>1274</v>
      </c>
      <c r="E500" s="171" t="s">
        <v>46</v>
      </c>
      <c r="F500" s="117"/>
      <c r="G500" s="118"/>
      <c r="H500" s="118"/>
      <c r="I500" s="118"/>
      <c r="J500" s="173">
        <v>45320</v>
      </c>
      <c r="K500" s="174" t="s">
        <v>1275</v>
      </c>
      <c r="L500" s="115"/>
      <c r="M500" s="115"/>
      <c r="N500" s="182" t="s">
        <v>1276</v>
      </c>
      <c r="O500" s="185"/>
      <c r="P500" s="176" t="s">
        <v>49</v>
      </c>
      <c r="Q500" s="176"/>
      <c r="R500" s="177"/>
    </row>
    <row r="501" spans="1:18" s="125" customFormat="1" ht="102.6" hidden="1" customHeight="1">
      <c r="A501" s="167"/>
      <c r="B501" s="168" t="s">
        <v>71</v>
      </c>
      <c r="C501" s="169"/>
      <c r="D501" s="170" t="s">
        <v>1277</v>
      </c>
      <c r="E501" s="171" t="s">
        <v>46</v>
      </c>
      <c r="F501" s="117"/>
      <c r="G501" s="118"/>
      <c r="H501" s="118"/>
      <c r="I501" s="118"/>
      <c r="J501" s="173">
        <v>45322</v>
      </c>
      <c r="K501" s="174" t="s">
        <v>1278</v>
      </c>
      <c r="L501" s="115"/>
      <c r="M501" s="115"/>
      <c r="N501" s="182" t="s">
        <v>1259</v>
      </c>
      <c r="O501" s="185"/>
      <c r="P501" s="176" t="s">
        <v>49</v>
      </c>
      <c r="Q501" s="176"/>
      <c r="R501" s="177"/>
    </row>
    <row r="502" spans="1:18" s="125" customFormat="1" ht="66" hidden="1" customHeight="1">
      <c r="A502" s="167"/>
      <c r="B502" s="168" t="s">
        <v>54</v>
      </c>
      <c r="C502" s="169"/>
      <c r="D502" s="170" t="s">
        <v>1279</v>
      </c>
      <c r="E502" s="171" t="s">
        <v>46</v>
      </c>
      <c r="F502" s="117"/>
      <c r="G502" s="118"/>
      <c r="H502" s="118"/>
      <c r="I502" s="118"/>
      <c r="J502" s="173">
        <v>45322</v>
      </c>
      <c r="K502" s="174" t="s">
        <v>1280</v>
      </c>
      <c r="L502" s="115"/>
      <c r="M502" s="115"/>
      <c r="N502" s="182" t="s">
        <v>1281</v>
      </c>
      <c r="O502" s="185"/>
      <c r="P502" s="176" t="s">
        <v>49</v>
      </c>
      <c r="Q502" s="176"/>
      <c r="R502" s="177"/>
    </row>
    <row r="503" spans="1:18" s="125" customFormat="1" ht="66" hidden="1" customHeight="1">
      <c r="A503" s="167"/>
      <c r="B503" s="168" t="s">
        <v>71</v>
      </c>
      <c r="C503" s="169"/>
      <c r="D503" s="170" t="s">
        <v>1282</v>
      </c>
      <c r="E503" s="171" t="s">
        <v>46</v>
      </c>
      <c r="F503" s="117"/>
      <c r="G503" s="118"/>
      <c r="H503" s="118"/>
      <c r="I503" s="118"/>
      <c r="J503" s="173">
        <v>45323</v>
      </c>
      <c r="K503" s="174">
        <v>1600515</v>
      </c>
      <c r="L503" s="115"/>
      <c r="M503" s="115"/>
      <c r="N503" s="182" t="s">
        <v>1259</v>
      </c>
      <c r="O503" s="185"/>
      <c r="P503" s="176" t="s">
        <v>49</v>
      </c>
      <c r="Q503" s="176"/>
      <c r="R503" s="177"/>
    </row>
    <row r="504" spans="1:18" ht="66" hidden="1" customHeight="1">
      <c r="A504" s="167"/>
      <c r="B504" s="168" t="s">
        <v>75</v>
      </c>
      <c r="C504" s="169"/>
      <c r="D504" s="170" t="s">
        <v>1283</v>
      </c>
      <c r="E504" s="171" t="s">
        <v>46</v>
      </c>
      <c r="F504" s="171"/>
      <c r="G504" s="171"/>
      <c r="H504" s="171"/>
      <c r="I504" s="171"/>
      <c r="J504" s="173">
        <v>45324</v>
      </c>
      <c r="K504" s="174">
        <v>1759402</v>
      </c>
      <c r="L504" s="115"/>
      <c r="M504" s="115"/>
      <c r="N504" s="182" t="s">
        <v>1284</v>
      </c>
      <c r="O504" s="185"/>
      <c r="P504" s="176" t="s">
        <v>49</v>
      </c>
      <c r="Q504" s="176"/>
      <c r="R504" s="177"/>
    </row>
    <row r="505" spans="1:18" s="167" customFormat="1" ht="66" hidden="1" customHeight="1">
      <c r="B505" s="168" t="s">
        <v>610</v>
      </c>
      <c r="C505" s="169"/>
      <c r="D505" s="170" t="s">
        <v>1285</v>
      </c>
      <c r="E505" s="171" t="s">
        <v>46</v>
      </c>
      <c r="F505" s="117"/>
      <c r="G505" s="118"/>
      <c r="H505" s="118"/>
      <c r="I505" s="118"/>
      <c r="J505" s="173">
        <v>45324</v>
      </c>
      <c r="K505" s="174" t="s">
        <v>1286</v>
      </c>
      <c r="L505" s="115"/>
      <c r="M505" s="115"/>
      <c r="N505" s="182" t="s">
        <v>1287</v>
      </c>
      <c r="O505" s="185"/>
      <c r="P505" s="176" t="s">
        <v>49</v>
      </c>
      <c r="Q505" s="176"/>
      <c r="R505" s="177"/>
    </row>
    <row r="506" spans="1:18" s="167" customFormat="1" ht="66" hidden="1" customHeight="1">
      <c r="B506" s="168" t="s">
        <v>163</v>
      </c>
      <c r="C506" s="169"/>
      <c r="D506" s="170" t="s">
        <v>1288</v>
      </c>
      <c r="E506" s="171" t="s">
        <v>46</v>
      </c>
      <c r="F506" s="117"/>
      <c r="G506" s="118"/>
      <c r="H506" s="118"/>
      <c r="I506" s="118"/>
      <c r="J506" s="173">
        <v>45325</v>
      </c>
      <c r="K506" s="174">
        <v>1599747</v>
      </c>
      <c r="L506" s="115"/>
      <c r="M506" s="115"/>
      <c r="N506" s="182" t="s">
        <v>1289</v>
      </c>
      <c r="O506" s="185"/>
      <c r="P506" s="176" t="s">
        <v>49</v>
      </c>
      <c r="Q506" s="176"/>
      <c r="R506" s="177"/>
    </row>
    <row r="507" spans="1:18" s="167" customFormat="1" ht="66" hidden="1" customHeight="1">
      <c r="B507" s="168" t="s">
        <v>75</v>
      </c>
      <c r="C507" s="169"/>
      <c r="D507" s="170" t="s">
        <v>1290</v>
      </c>
      <c r="E507" s="171" t="s">
        <v>46</v>
      </c>
      <c r="F507" s="117"/>
      <c r="G507" s="118"/>
      <c r="H507" s="118"/>
      <c r="I507" s="118"/>
      <c r="J507" s="173">
        <v>45325</v>
      </c>
      <c r="K507" s="174">
        <v>1600255</v>
      </c>
      <c r="L507" s="115"/>
      <c r="M507" s="115"/>
      <c r="N507" s="182" t="s">
        <v>1291</v>
      </c>
      <c r="O507" s="185"/>
      <c r="P507" s="176" t="s">
        <v>49</v>
      </c>
      <c r="Q507" s="176"/>
      <c r="R507" s="177"/>
    </row>
    <row r="508" spans="1:18" ht="66" hidden="1" customHeight="1">
      <c r="A508" s="167"/>
      <c r="B508" s="168" t="s">
        <v>163</v>
      </c>
      <c r="C508" s="169"/>
      <c r="D508" s="170" t="s">
        <v>1292</v>
      </c>
      <c r="E508" s="171" t="s">
        <v>46</v>
      </c>
      <c r="F508" s="117"/>
      <c r="G508" s="118"/>
      <c r="H508" s="118"/>
      <c r="I508" s="118"/>
      <c r="J508" s="173">
        <v>45325</v>
      </c>
      <c r="K508" s="174" t="s">
        <v>1293</v>
      </c>
      <c r="L508" s="115"/>
      <c r="M508" s="115"/>
      <c r="N508" s="182" t="s">
        <v>1289</v>
      </c>
      <c r="O508" s="185"/>
      <c r="P508" s="176" t="s">
        <v>49</v>
      </c>
      <c r="Q508" s="176"/>
      <c r="R508" s="177"/>
    </row>
    <row r="509" spans="1:18" s="167" customFormat="1" ht="66" hidden="1" customHeight="1">
      <c r="B509" s="168" t="s">
        <v>54</v>
      </c>
      <c r="C509" s="169"/>
      <c r="D509" s="170" t="s">
        <v>1294</v>
      </c>
      <c r="E509" s="171" t="s">
        <v>46</v>
      </c>
      <c r="F509" s="117"/>
      <c r="G509" s="118"/>
      <c r="H509" s="118"/>
      <c r="I509" s="118"/>
      <c r="J509" s="173">
        <v>45326</v>
      </c>
      <c r="K509" s="174" t="s">
        <v>1295</v>
      </c>
      <c r="L509" s="115"/>
      <c r="M509" s="115"/>
      <c r="N509" s="205" t="s">
        <v>1296</v>
      </c>
      <c r="O509" s="185"/>
      <c r="P509" s="176" t="s">
        <v>49</v>
      </c>
      <c r="Q509" s="176"/>
      <c r="R509" s="177"/>
    </row>
    <row r="510" spans="1:18" s="125" customFormat="1" ht="66" hidden="1" customHeight="1">
      <c r="A510" s="167"/>
      <c r="B510" s="168" t="s">
        <v>170</v>
      </c>
      <c r="C510" s="169"/>
      <c r="D510" s="170" t="s">
        <v>1297</v>
      </c>
      <c r="E510" s="171" t="s">
        <v>46</v>
      </c>
      <c r="F510" s="117"/>
      <c r="G510" s="118"/>
      <c r="H510" s="118"/>
      <c r="I510" s="118"/>
      <c r="J510" s="173">
        <v>45327</v>
      </c>
      <c r="K510" s="174">
        <v>1610194</v>
      </c>
      <c r="L510" s="115"/>
      <c r="M510" s="115"/>
      <c r="N510" s="182" t="s">
        <v>1298</v>
      </c>
      <c r="O510" s="185"/>
      <c r="P510" s="176" t="s">
        <v>49</v>
      </c>
      <c r="Q510" s="176"/>
      <c r="R510" s="177"/>
    </row>
    <row r="511" spans="1:18" s="186" customFormat="1" ht="66" hidden="1" customHeight="1">
      <c r="A511" s="167"/>
      <c r="B511" s="168" t="s">
        <v>54</v>
      </c>
      <c r="C511" s="169"/>
      <c r="D511" s="170" t="s">
        <v>1299</v>
      </c>
      <c r="E511" s="171" t="s">
        <v>46</v>
      </c>
      <c r="F511" s="117"/>
      <c r="G511" s="118"/>
      <c r="H511" s="118"/>
      <c r="I511" s="118"/>
      <c r="J511" s="173">
        <v>45328</v>
      </c>
      <c r="K511" s="174">
        <v>1688340</v>
      </c>
      <c r="L511" s="115"/>
      <c r="M511" s="115"/>
      <c r="N511" s="182" t="s">
        <v>1300</v>
      </c>
      <c r="O511" s="185"/>
      <c r="P511" s="176" t="s">
        <v>49</v>
      </c>
      <c r="Q511" s="176"/>
      <c r="R511" s="177"/>
    </row>
    <row r="512" spans="1:18" ht="66" hidden="1" customHeight="1">
      <c r="A512" s="167"/>
      <c r="B512" s="168" t="s">
        <v>163</v>
      </c>
      <c r="C512" s="169"/>
      <c r="D512" s="170" t="s">
        <v>1301</v>
      </c>
      <c r="E512" s="171" t="s">
        <v>46</v>
      </c>
      <c r="F512" s="117"/>
      <c r="G512" s="118"/>
      <c r="H512" s="118"/>
      <c r="I512" s="118"/>
      <c r="J512" s="173">
        <v>45329</v>
      </c>
      <c r="K512" s="174">
        <v>1616117</v>
      </c>
      <c r="L512" s="115"/>
      <c r="M512" s="115"/>
      <c r="N512" s="182" t="s">
        <v>1289</v>
      </c>
      <c r="O512" s="185"/>
      <c r="P512" s="176" t="s">
        <v>49</v>
      </c>
      <c r="Q512" s="176"/>
      <c r="R512" s="177"/>
    </row>
    <row r="513" spans="1:18" s="125" customFormat="1" ht="66" hidden="1" customHeight="1">
      <c r="A513" s="167"/>
      <c r="B513" s="168" t="s">
        <v>146</v>
      </c>
      <c r="C513" s="169"/>
      <c r="D513" s="170" t="s">
        <v>1302</v>
      </c>
      <c r="E513" s="171" t="s">
        <v>46</v>
      </c>
      <c r="F513" s="117"/>
      <c r="G513" s="118"/>
      <c r="H513" s="118"/>
      <c r="I513" s="118"/>
      <c r="J513" s="173">
        <v>45336</v>
      </c>
      <c r="K513" s="207">
        <v>1633650</v>
      </c>
      <c r="L513" s="115"/>
      <c r="M513" s="115"/>
      <c r="N513" s="182" t="s">
        <v>1303</v>
      </c>
      <c r="O513" s="185"/>
      <c r="P513" s="176" t="s">
        <v>49</v>
      </c>
      <c r="Q513" s="176"/>
      <c r="R513" s="177"/>
    </row>
    <row r="514" spans="1:18" s="125" customFormat="1" ht="66" hidden="1" customHeight="1">
      <c r="A514" s="167"/>
      <c r="B514" s="168" t="s">
        <v>163</v>
      </c>
      <c r="C514" s="169"/>
      <c r="D514" s="170" t="s">
        <v>1304</v>
      </c>
      <c r="E514" s="171" t="s">
        <v>46</v>
      </c>
      <c r="F514" s="117"/>
      <c r="G514" s="118"/>
      <c r="H514" s="118"/>
      <c r="I514" s="118"/>
      <c r="J514" s="173">
        <v>45337</v>
      </c>
      <c r="K514" s="174">
        <v>1621094</v>
      </c>
      <c r="L514" s="115"/>
      <c r="M514" s="115"/>
      <c r="N514" s="182" t="s">
        <v>1289</v>
      </c>
      <c r="O514" s="185"/>
      <c r="P514" s="176" t="s">
        <v>49</v>
      </c>
      <c r="Q514" s="176"/>
      <c r="R514" s="177"/>
    </row>
    <row r="515" spans="1:18" ht="66" hidden="1" customHeight="1">
      <c r="A515" s="167"/>
      <c r="B515" s="168" t="s">
        <v>163</v>
      </c>
      <c r="C515" s="169"/>
      <c r="D515" s="170" t="s">
        <v>1305</v>
      </c>
      <c r="E515" s="171" t="s">
        <v>46</v>
      </c>
      <c r="F515" s="117"/>
      <c r="G515" s="118"/>
      <c r="H515" s="118"/>
      <c r="I515" s="118"/>
      <c r="J515" s="173">
        <v>45337</v>
      </c>
      <c r="K515" s="174">
        <v>1636497</v>
      </c>
      <c r="L515" s="115"/>
      <c r="M515" s="115"/>
      <c r="N515" s="182" t="s">
        <v>1306</v>
      </c>
      <c r="O515" s="185"/>
      <c r="P515" s="176" t="s">
        <v>49</v>
      </c>
      <c r="Q515" s="176"/>
      <c r="R515" s="177"/>
    </row>
    <row r="516" spans="1:18" s="167" customFormat="1" ht="66" hidden="1" customHeight="1">
      <c r="A516" s="1"/>
      <c r="B516" s="114" t="s">
        <v>86</v>
      </c>
      <c r="C516" s="115"/>
      <c r="D516" s="116" t="s">
        <v>1307</v>
      </c>
      <c r="E516" s="117" t="s">
        <v>46</v>
      </c>
      <c r="F516" s="117"/>
      <c r="G516" s="118"/>
      <c r="H516" s="118"/>
      <c r="I516" s="118"/>
      <c r="J516" s="119">
        <v>45337</v>
      </c>
      <c r="K516" s="120">
        <v>1637192</v>
      </c>
      <c r="L516" s="115"/>
      <c r="M516" s="115"/>
      <c r="N516" s="121" t="s">
        <v>1308</v>
      </c>
      <c r="O516" s="184"/>
      <c r="P516" s="122" t="s">
        <v>49</v>
      </c>
      <c r="Q516" s="122"/>
      <c r="R516" s="123"/>
    </row>
    <row r="517" spans="1:18" s="167" customFormat="1" ht="66" hidden="1" customHeight="1">
      <c r="A517" s="186"/>
      <c r="B517" s="187" t="s">
        <v>71</v>
      </c>
      <c r="C517" s="188"/>
      <c r="D517" s="189" t="s">
        <v>1309</v>
      </c>
      <c r="E517" s="190" t="s">
        <v>46</v>
      </c>
      <c r="F517" s="117"/>
      <c r="G517" s="118"/>
      <c r="H517" s="118"/>
      <c r="I517" s="118"/>
      <c r="J517" s="191">
        <v>45343</v>
      </c>
      <c r="K517" s="192">
        <v>1650960</v>
      </c>
      <c r="L517" s="115"/>
      <c r="M517" s="115"/>
      <c r="N517" s="193" t="s">
        <v>1310</v>
      </c>
      <c r="O517" s="194"/>
      <c r="P517" s="195" t="s">
        <v>49</v>
      </c>
      <c r="Q517" s="195"/>
      <c r="R517" s="196"/>
    </row>
    <row r="518" spans="1:18" ht="66" hidden="1" customHeight="1">
      <c r="A518" s="167"/>
      <c r="B518" s="168" t="s">
        <v>156</v>
      </c>
      <c r="C518" s="169"/>
      <c r="D518" s="170" t="s">
        <v>1311</v>
      </c>
      <c r="E518" s="171" t="s">
        <v>46</v>
      </c>
      <c r="F518" s="117"/>
      <c r="G518" s="118"/>
      <c r="H518" s="118"/>
      <c r="I518" s="118"/>
      <c r="J518" s="173">
        <v>45343</v>
      </c>
      <c r="K518" s="174">
        <v>1651757</v>
      </c>
      <c r="L518" s="115"/>
      <c r="M518" s="115"/>
      <c r="N518" s="182" t="s">
        <v>1306</v>
      </c>
      <c r="O518" s="185"/>
      <c r="P518" s="176" t="s">
        <v>49</v>
      </c>
      <c r="Q518" s="176"/>
      <c r="R518" s="177"/>
    </row>
    <row r="519" spans="1:18" s="125" customFormat="1" ht="66" hidden="1" customHeight="1">
      <c r="A519" s="1"/>
      <c r="B519" s="114" t="s">
        <v>133</v>
      </c>
      <c r="C519" s="115"/>
      <c r="D519" s="116" t="s">
        <v>1312</v>
      </c>
      <c r="E519" s="117" t="s">
        <v>46</v>
      </c>
      <c r="F519" s="117"/>
      <c r="G519" s="118"/>
      <c r="H519" s="118"/>
      <c r="I519" s="118"/>
      <c r="J519" s="119">
        <v>45348</v>
      </c>
      <c r="K519" s="120">
        <v>1664083</v>
      </c>
      <c r="L519" s="115"/>
      <c r="M519" s="115"/>
      <c r="N519" s="121" t="s">
        <v>1306</v>
      </c>
      <c r="O519" s="184"/>
      <c r="P519" s="122" t="s">
        <v>49</v>
      </c>
      <c r="Q519" s="122"/>
      <c r="R519" s="123"/>
    </row>
    <row r="520" spans="1:18" s="167" customFormat="1" ht="66" hidden="1" customHeight="1">
      <c r="A520" s="186"/>
      <c r="B520" s="187" t="s">
        <v>71</v>
      </c>
      <c r="C520" s="188"/>
      <c r="D520" s="189" t="s">
        <v>1313</v>
      </c>
      <c r="E520" s="190" t="s">
        <v>46</v>
      </c>
      <c r="F520" s="117"/>
      <c r="G520" s="118"/>
      <c r="H520" s="118"/>
      <c r="I520" s="118"/>
      <c r="J520" s="191">
        <v>45349</v>
      </c>
      <c r="K520" s="192">
        <v>1666799</v>
      </c>
      <c r="L520" s="115"/>
      <c r="M520" s="115"/>
      <c r="N520" s="193" t="s">
        <v>1314</v>
      </c>
      <c r="O520" s="194"/>
      <c r="P520" s="195" t="s">
        <v>204</v>
      </c>
      <c r="Q520" s="195"/>
      <c r="R520" s="196"/>
    </row>
    <row r="521" spans="1:18" s="167" customFormat="1" ht="66" hidden="1" customHeight="1">
      <c r="B521" s="168" t="s">
        <v>222</v>
      </c>
      <c r="C521" s="169"/>
      <c r="D521" s="170" t="s">
        <v>1315</v>
      </c>
      <c r="E521" s="171" t="s">
        <v>46</v>
      </c>
      <c r="F521" s="117"/>
      <c r="G521" s="118"/>
      <c r="H521" s="118"/>
      <c r="I521" s="118"/>
      <c r="J521" s="173">
        <v>45350</v>
      </c>
      <c r="K521" s="174">
        <v>1656615</v>
      </c>
      <c r="L521" s="115"/>
      <c r="M521" s="115"/>
      <c r="N521" s="182" t="s">
        <v>1316</v>
      </c>
      <c r="O521" s="185"/>
      <c r="P521" s="176" t="s">
        <v>49</v>
      </c>
      <c r="Q521" s="176"/>
      <c r="R521" s="177"/>
    </row>
    <row r="522" spans="1:18" s="125" customFormat="1" ht="66" hidden="1" customHeight="1">
      <c r="A522" s="167"/>
      <c r="B522" s="168" t="s">
        <v>156</v>
      </c>
      <c r="C522" s="169"/>
      <c r="D522" s="170" t="s">
        <v>1317</v>
      </c>
      <c r="E522" s="171" t="s">
        <v>46</v>
      </c>
      <c r="F522" s="117"/>
      <c r="G522" s="118"/>
      <c r="H522" s="118"/>
      <c r="I522" s="118"/>
      <c r="J522" s="173">
        <v>45350</v>
      </c>
      <c r="K522" s="174">
        <v>1669345</v>
      </c>
      <c r="L522" s="115"/>
      <c r="M522" s="115"/>
      <c r="N522" s="182" t="s">
        <v>1318</v>
      </c>
      <c r="O522" s="200" t="s">
        <v>1319</v>
      </c>
      <c r="P522" s="176" t="s">
        <v>49</v>
      </c>
      <c r="Q522" s="176"/>
      <c r="R522" s="177"/>
    </row>
    <row r="523" spans="1:18" s="125" customFormat="1" ht="66" hidden="1" customHeight="1">
      <c r="A523" s="1"/>
      <c r="B523" s="114" t="s">
        <v>610</v>
      </c>
      <c r="C523" s="115"/>
      <c r="D523" s="116" t="s">
        <v>1320</v>
      </c>
      <c r="E523" s="117" t="s">
        <v>46</v>
      </c>
      <c r="F523" s="117"/>
      <c r="G523" s="118"/>
      <c r="H523" s="118"/>
      <c r="I523" s="118"/>
      <c r="J523" s="119">
        <v>45350</v>
      </c>
      <c r="K523" s="120">
        <v>1669916</v>
      </c>
      <c r="L523" s="115"/>
      <c r="M523" s="115"/>
      <c r="N523" s="121" t="s">
        <v>1321</v>
      </c>
      <c r="O523" s="184"/>
      <c r="P523" s="122" t="s">
        <v>49</v>
      </c>
      <c r="Q523" s="122"/>
      <c r="R523" s="123"/>
    </row>
    <row r="524" spans="1:18" s="167" customFormat="1" ht="66" hidden="1" customHeight="1">
      <c r="A524" s="240"/>
      <c r="B524" s="241" t="s">
        <v>174</v>
      </c>
      <c r="C524" s="242"/>
      <c r="D524" s="243" t="s">
        <v>1322</v>
      </c>
      <c r="E524" s="244" t="s">
        <v>46</v>
      </c>
      <c r="F524" s="117"/>
      <c r="G524" s="118"/>
      <c r="H524" s="118"/>
      <c r="I524" s="118"/>
      <c r="J524" s="245">
        <v>45350</v>
      </c>
      <c r="K524" s="246">
        <v>1669919</v>
      </c>
      <c r="L524" s="115"/>
      <c r="M524" s="115"/>
      <c r="N524" s="247" t="s">
        <v>1323</v>
      </c>
      <c r="O524" s="248"/>
      <c r="P524" s="249" t="s">
        <v>49</v>
      </c>
      <c r="Q524" s="249"/>
      <c r="R524" s="250"/>
    </row>
    <row r="525" spans="1:18" ht="66" hidden="1" customHeight="1">
      <c r="A525" s="167"/>
      <c r="B525" s="168" t="s">
        <v>174</v>
      </c>
      <c r="C525" s="169"/>
      <c r="D525" s="170" t="s">
        <v>1324</v>
      </c>
      <c r="E525" s="171" t="s">
        <v>46</v>
      </c>
      <c r="F525" s="117"/>
      <c r="G525" s="118"/>
      <c r="H525" s="118"/>
      <c r="I525" s="118"/>
      <c r="J525" s="173">
        <v>45350</v>
      </c>
      <c r="K525" s="174">
        <v>1669945</v>
      </c>
      <c r="L525" s="115"/>
      <c r="M525" s="115"/>
      <c r="N525" s="205" t="s">
        <v>1325</v>
      </c>
      <c r="O525" s="185"/>
      <c r="P525" s="176" t="s">
        <v>49</v>
      </c>
      <c r="Q525" s="176"/>
      <c r="R525" s="177"/>
    </row>
    <row r="526" spans="1:18" s="186" customFormat="1" ht="66" hidden="1" customHeight="1">
      <c r="A526" s="167"/>
      <c r="B526" s="168" t="s">
        <v>256</v>
      </c>
      <c r="C526" s="169"/>
      <c r="D526" s="170" t="s">
        <v>1326</v>
      </c>
      <c r="E526" s="171" t="s">
        <v>46</v>
      </c>
      <c r="F526" s="117"/>
      <c r="G526" s="118"/>
      <c r="H526" s="118"/>
      <c r="I526" s="118"/>
      <c r="J526" s="173">
        <v>45352</v>
      </c>
      <c r="K526" s="174">
        <v>1675044</v>
      </c>
      <c r="L526" s="115"/>
      <c r="M526" s="115"/>
      <c r="N526" s="182" t="s">
        <v>1327</v>
      </c>
      <c r="O526" s="185"/>
      <c r="P526" s="176" t="s">
        <v>49</v>
      </c>
      <c r="Q526" s="176"/>
      <c r="R526" s="177"/>
    </row>
    <row r="527" spans="1:18" s="125" customFormat="1" ht="66" hidden="1" customHeight="1">
      <c r="A527" s="167"/>
      <c r="B527" s="168" t="s">
        <v>174</v>
      </c>
      <c r="C527" s="169"/>
      <c r="D527" s="170" t="s">
        <v>1328</v>
      </c>
      <c r="E527" s="171" t="s">
        <v>46</v>
      </c>
      <c r="F527" s="117"/>
      <c r="G527" s="118"/>
      <c r="H527" s="118"/>
      <c r="I527" s="118"/>
      <c r="J527" s="173">
        <v>45355</v>
      </c>
      <c r="K527" s="174">
        <v>1682686</v>
      </c>
      <c r="L527" s="115"/>
      <c r="M527" s="115"/>
      <c r="N527" s="182" t="s">
        <v>1329</v>
      </c>
      <c r="O527" s="185"/>
      <c r="P527" s="176" t="s">
        <v>49</v>
      </c>
      <c r="Q527" s="176"/>
      <c r="R527" s="177"/>
    </row>
    <row r="528" spans="1:18" s="167" customFormat="1" ht="66" hidden="1" customHeight="1">
      <c r="B528" s="168" t="s">
        <v>933</v>
      </c>
      <c r="C528" s="169"/>
      <c r="D528" s="170" t="s">
        <v>1330</v>
      </c>
      <c r="E528" s="171" t="s">
        <v>46</v>
      </c>
      <c r="F528" s="117"/>
      <c r="G528" s="118"/>
      <c r="H528" s="118"/>
      <c r="I528" s="118"/>
      <c r="J528" s="173">
        <v>45355</v>
      </c>
      <c r="K528" s="174">
        <v>1682852</v>
      </c>
      <c r="L528" s="115"/>
      <c r="M528" s="115"/>
      <c r="N528" s="182" t="s">
        <v>1329</v>
      </c>
      <c r="O528" s="185"/>
      <c r="P528" s="176" t="s">
        <v>49</v>
      </c>
      <c r="Q528" s="176"/>
      <c r="R528" s="177"/>
    </row>
    <row r="529" spans="1:18" s="167" customFormat="1" ht="66" hidden="1" customHeight="1">
      <c r="B529" s="168" t="s">
        <v>99</v>
      </c>
      <c r="C529" s="169"/>
      <c r="D529" s="170" t="s">
        <v>1331</v>
      </c>
      <c r="E529" s="171" t="s">
        <v>46</v>
      </c>
      <c r="F529" s="117"/>
      <c r="G529" s="118"/>
      <c r="H529" s="118"/>
      <c r="I529" s="118"/>
      <c r="J529" s="173">
        <v>45356</v>
      </c>
      <c r="K529" s="174">
        <v>1685317</v>
      </c>
      <c r="L529" s="115"/>
      <c r="M529" s="115"/>
      <c r="N529" s="205" t="s">
        <v>1332</v>
      </c>
      <c r="O529" s="185"/>
      <c r="P529" s="176" t="s">
        <v>49</v>
      </c>
      <c r="Q529" s="176"/>
      <c r="R529" s="177"/>
    </row>
    <row r="530" spans="1:18" s="167" customFormat="1" ht="66" hidden="1" customHeight="1">
      <c r="B530" s="168" t="s">
        <v>156</v>
      </c>
      <c r="C530" s="169"/>
      <c r="D530" s="170" t="s">
        <v>1333</v>
      </c>
      <c r="E530" s="171" t="s">
        <v>46</v>
      </c>
      <c r="F530" s="117"/>
      <c r="G530" s="118"/>
      <c r="H530" s="118"/>
      <c r="I530" s="118"/>
      <c r="J530" s="173">
        <v>45356</v>
      </c>
      <c r="K530" s="174">
        <v>1685470</v>
      </c>
      <c r="L530" s="115"/>
      <c r="M530" s="115"/>
      <c r="N530" s="182" t="s">
        <v>1329</v>
      </c>
      <c r="O530" s="185"/>
      <c r="P530" s="176" t="s">
        <v>49</v>
      </c>
      <c r="Q530" s="176"/>
      <c r="R530" s="177"/>
    </row>
    <row r="531" spans="1:18" s="167" customFormat="1" ht="66" hidden="1" customHeight="1">
      <c r="A531" s="1"/>
      <c r="B531" s="114" t="s">
        <v>610</v>
      </c>
      <c r="C531" s="115"/>
      <c r="D531" s="116" t="s">
        <v>1334</v>
      </c>
      <c r="E531" s="117" t="s">
        <v>46</v>
      </c>
      <c r="F531" s="117"/>
      <c r="G531" s="118"/>
      <c r="H531" s="118"/>
      <c r="I531" s="118"/>
      <c r="J531" s="119">
        <v>45356</v>
      </c>
      <c r="K531" s="120">
        <v>1685564</v>
      </c>
      <c r="L531" s="115"/>
      <c r="M531" s="115"/>
      <c r="N531" s="121" t="s">
        <v>1335</v>
      </c>
      <c r="O531" s="184"/>
      <c r="P531" s="122" t="s">
        <v>49</v>
      </c>
      <c r="Q531" s="122"/>
      <c r="R531" s="123"/>
    </row>
    <row r="532" spans="1:18" s="167" customFormat="1" ht="66" hidden="1" customHeight="1">
      <c r="B532" s="168" t="s">
        <v>146</v>
      </c>
      <c r="C532" s="169"/>
      <c r="D532" s="170" t="s">
        <v>1336</v>
      </c>
      <c r="E532" s="171" t="s">
        <v>46</v>
      </c>
      <c r="F532" s="117"/>
      <c r="G532" s="118"/>
      <c r="H532" s="118"/>
      <c r="I532" s="118"/>
      <c r="J532" s="173">
        <v>45356</v>
      </c>
      <c r="K532" s="335">
        <v>1685906</v>
      </c>
      <c r="L532" s="115"/>
      <c r="M532" s="115"/>
      <c r="N532" s="182" t="s">
        <v>1337</v>
      </c>
      <c r="O532" s="185"/>
      <c r="P532" s="176" t="s">
        <v>49</v>
      </c>
      <c r="Q532" s="176"/>
      <c r="R532" s="177"/>
    </row>
    <row r="533" spans="1:18" s="167" customFormat="1" ht="66" hidden="1" customHeight="1">
      <c r="B533" s="168" t="s">
        <v>214</v>
      </c>
      <c r="C533" s="169"/>
      <c r="D533" s="170" t="s">
        <v>1338</v>
      </c>
      <c r="E533" s="171" t="s">
        <v>46</v>
      </c>
      <c r="F533" s="117"/>
      <c r="G533" s="118"/>
      <c r="H533" s="118"/>
      <c r="I533" s="118"/>
      <c r="J533" s="173">
        <v>45357</v>
      </c>
      <c r="K533" s="174">
        <v>1688263</v>
      </c>
      <c r="L533" s="115"/>
      <c r="M533" s="115"/>
      <c r="N533" s="182" t="s">
        <v>1339</v>
      </c>
      <c r="O533" s="185"/>
      <c r="P533" s="176" t="s">
        <v>49</v>
      </c>
      <c r="Q533" s="176"/>
      <c r="R533" s="177"/>
    </row>
    <row r="534" spans="1:18" s="167" customFormat="1" ht="66" hidden="1" customHeight="1">
      <c r="B534" s="168" t="s">
        <v>146</v>
      </c>
      <c r="C534" s="169"/>
      <c r="D534" s="170" t="s">
        <v>1340</v>
      </c>
      <c r="E534" s="171" t="s">
        <v>46</v>
      </c>
      <c r="F534" s="117"/>
      <c r="G534" s="118"/>
      <c r="H534" s="118"/>
      <c r="I534" s="118"/>
      <c r="J534" s="173">
        <v>45357</v>
      </c>
      <c r="K534" s="174">
        <v>1688339</v>
      </c>
      <c r="L534" s="115"/>
      <c r="M534" s="115"/>
      <c r="N534" s="182" t="s">
        <v>1341</v>
      </c>
      <c r="O534" s="185"/>
      <c r="P534" s="176" t="s">
        <v>49</v>
      </c>
      <c r="Q534" s="176"/>
      <c r="R534" s="177"/>
    </row>
    <row r="535" spans="1:18" s="167" customFormat="1" ht="66" hidden="1" customHeight="1">
      <c r="B535" s="168" t="s">
        <v>156</v>
      </c>
      <c r="C535" s="169"/>
      <c r="D535" s="170" t="s">
        <v>1342</v>
      </c>
      <c r="E535" s="171" t="s">
        <v>46</v>
      </c>
      <c r="F535" s="117"/>
      <c r="G535" s="118"/>
      <c r="H535" s="118"/>
      <c r="I535" s="118"/>
      <c r="J535" s="173">
        <v>45357</v>
      </c>
      <c r="K535" s="174">
        <v>1688565</v>
      </c>
      <c r="L535" s="115"/>
      <c r="M535" s="115"/>
      <c r="N535" s="182" t="s">
        <v>1329</v>
      </c>
      <c r="O535" s="185"/>
      <c r="P535" s="176" t="s">
        <v>49</v>
      </c>
      <c r="Q535" s="176"/>
      <c r="R535" s="177"/>
    </row>
    <row r="536" spans="1:18" s="167" customFormat="1" ht="66" hidden="1" customHeight="1">
      <c r="B536" s="168" t="s">
        <v>163</v>
      </c>
      <c r="C536" s="169"/>
      <c r="D536" s="170" t="s">
        <v>1343</v>
      </c>
      <c r="E536" s="171" t="s">
        <v>46</v>
      </c>
      <c r="F536" s="117"/>
      <c r="G536" s="118"/>
      <c r="H536" s="118"/>
      <c r="I536" s="118"/>
      <c r="J536" s="173">
        <v>45358</v>
      </c>
      <c r="K536" s="174">
        <v>1690840</v>
      </c>
      <c r="L536" s="115"/>
      <c r="M536" s="115"/>
      <c r="N536" s="182" t="s">
        <v>1344</v>
      </c>
      <c r="O536" s="185"/>
      <c r="P536" s="176" t="s">
        <v>49</v>
      </c>
      <c r="Q536" s="176"/>
      <c r="R536" s="177"/>
    </row>
    <row r="537" spans="1:18" s="167" customFormat="1" ht="66" hidden="1" customHeight="1">
      <c r="B537" s="168" t="s">
        <v>71</v>
      </c>
      <c r="C537" s="169"/>
      <c r="D537" s="170" t="s">
        <v>1345</v>
      </c>
      <c r="E537" s="171" t="s">
        <v>46</v>
      </c>
      <c r="F537" s="117"/>
      <c r="G537" s="118"/>
      <c r="H537" s="118"/>
      <c r="I537" s="118"/>
      <c r="J537" s="173">
        <v>45358</v>
      </c>
      <c r="K537" s="174">
        <v>1691105</v>
      </c>
      <c r="L537" s="115"/>
      <c r="M537" s="115"/>
      <c r="N537" s="182" t="s">
        <v>1329</v>
      </c>
      <c r="O537" s="185"/>
      <c r="P537" s="176" t="s">
        <v>49</v>
      </c>
      <c r="Q537" s="176"/>
      <c r="R537" s="177"/>
    </row>
    <row r="538" spans="1:18" s="167" customFormat="1" ht="66" hidden="1" customHeight="1">
      <c r="B538" s="168" t="s">
        <v>933</v>
      </c>
      <c r="C538" s="169"/>
      <c r="D538" s="170" t="s">
        <v>1346</v>
      </c>
      <c r="E538" s="171" t="s">
        <v>46</v>
      </c>
      <c r="F538" s="112"/>
      <c r="G538" s="113"/>
      <c r="H538" s="113"/>
      <c r="I538" s="113"/>
      <c r="J538" s="173">
        <v>45362</v>
      </c>
      <c r="K538" s="174">
        <v>1700766</v>
      </c>
      <c r="L538" s="111"/>
      <c r="M538" s="111"/>
      <c r="N538" s="182" t="s">
        <v>1329</v>
      </c>
      <c r="O538" s="185"/>
      <c r="P538" s="176" t="s">
        <v>49</v>
      </c>
      <c r="Q538" s="176"/>
      <c r="R538" s="177"/>
    </row>
    <row r="539" spans="1:18" s="186" customFormat="1" ht="66" hidden="1" customHeight="1">
      <c r="A539" s="167"/>
      <c r="B539" s="168" t="s">
        <v>933</v>
      </c>
      <c r="C539" s="169"/>
      <c r="D539" s="170" t="s">
        <v>1347</v>
      </c>
      <c r="E539" s="171" t="s">
        <v>46</v>
      </c>
      <c r="F539" s="190"/>
      <c r="G539" s="238"/>
      <c r="H539" s="238"/>
      <c r="I539" s="238"/>
      <c r="J539" s="173">
        <v>45362</v>
      </c>
      <c r="K539" s="174">
        <v>1700833</v>
      </c>
      <c r="L539" s="188"/>
      <c r="M539" s="188"/>
      <c r="N539" s="182" t="s">
        <v>1348</v>
      </c>
      <c r="O539" s="185"/>
      <c r="P539" s="176" t="s">
        <v>49</v>
      </c>
      <c r="Q539" s="176"/>
      <c r="R539" s="177"/>
    </row>
    <row r="540" spans="1:18" s="167" customFormat="1" ht="66" hidden="1" customHeight="1">
      <c r="B540" s="168" t="s">
        <v>1349</v>
      </c>
      <c r="C540" s="169"/>
      <c r="D540" s="170" t="s">
        <v>1350</v>
      </c>
      <c r="E540" s="171" t="s">
        <v>46</v>
      </c>
      <c r="F540" s="117"/>
      <c r="G540" s="118"/>
      <c r="H540" s="118"/>
      <c r="I540" s="118"/>
      <c r="J540" s="173">
        <v>45364</v>
      </c>
      <c r="K540" s="174">
        <v>1703842</v>
      </c>
      <c r="L540" s="115"/>
      <c r="M540" s="115"/>
      <c r="N540" s="182" t="s">
        <v>1300</v>
      </c>
      <c r="O540" s="185"/>
      <c r="P540" s="176" t="s">
        <v>49</v>
      </c>
      <c r="Q540" s="176"/>
      <c r="R540" s="177"/>
    </row>
    <row r="541" spans="1:18" s="240" customFormat="1" ht="66" hidden="1" customHeight="1">
      <c r="A541" s="167"/>
      <c r="B541" s="168" t="s">
        <v>156</v>
      </c>
      <c r="C541" s="169"/>
      <c r="D541" s="170" t="s">
        <v>1351</v>
      </c>
      <c r="E541" s="171" t="s">
        <v>46</v>
      </c>
      <c r="F541" s="117"/>
      <c r="G541" s="118"/>
      <c r="H541" s="118"/>
      <c r="I541" s="118"/>
      <c r="J541" s="173">
        <v>45364</v>
      </c>
      <c r="K541" s="174">
        <v>1706203</v>
      </c>
      <c r="L541" s="115"/>
      <c r="M541" s="115"/>
      <c r="N541" s="182" t="s">
        <v>1339</v>
      </c>
      <c r="O541" s="185"/>
      <c r="P541" s="176" t="s">
        <v>49</v>
      </c>
      <c r="Q541" s="176"/>
      <c r="R541" s="177"/>
    </row>
    <row r="542" spans="1:18" s="167" customFormat="1" ht="66" hidden="1" customHeight="1">
      <c r="B542" s="168" t="s">
        <v>1349</v>
      </c>
      <c r="C542" s="169"/>
      <c r="D542" s="170" t="s">
        <v>1352</v>
      </c>
      <c r="E542" s="171" t="s">
        <v>46</v>
      </c>
      <c r="F542" s="117"/>
      <c r="G542" s="118"/>
      <c r="H542" s="118"/>
      <c r="I542" s="118"/>
      <c r="J542" s="173">
        <v>45364</v>
      </c>
      <c r="K542" s="174">
        <v>1706245</v>
      </c>
      <c r="L542" s="115"/>
      <c r="M542" s="115"/>
      <c r="N542" s="182" t="s">
        <v>1300</v>
      </c>
      <c r="O542" s="185"/>
      <c r="P542" s="176" t="s">
        <v>49</v>
      </c>
      <c r="Q542" s="176"/>
      <c r="R542" s="177"/>
    </row>
    <row r="543" spans="1:18" ht="66" hidden="1" customHeight="1">
      <c r="A543" s="167"/>
      <c r="B543" s="168" t="s">
        <v>214</v>
      </c>
      <c r="C543" s="169"/>
      <c r="D543" s="170" t="s">
        <v>1353</v>
      </c>
      <c r="E543" s="171" t="s">
        <v>46</v>
      </c>
      <c r="F543" s="117"/>
      <c r="G543" s="118"/>
      <c r="H543" s="118"/>
      <c r="I543" s="118"/>
      <c r="J543" s="173">
        <v>45364</v>
      </c>
      <c r="K543" s="174">
        <v>1706390</v>
      </c>
      <c r="L543" s="115"/>
      <c r="M543" s="115"/>
      <c r="N543" s="182" t="s">
        <v>1354</v>
      </c>
      <c r="O543" s="185"/>
      <c r="P543" s="176" t="s">
        <v>49</v>
      </c>
      <c r="Q543" s="176"/>
      <c r="R543" s="177"/>
    </row>
    <row r="544" spans="1:18" ht="66" hidden="1" customHeight="1">
      <c r="A544" s="167"/>
      <c r="B544" s="168" t="s">
        <v>91</v>
      </c>
      <c r="C544" s="169"/>
      <c r="D544" s="170" t="s">
        <v>1355</v>
      </c>
      <c r="E544" s="171" t="s">
        <v>46</v>
      </c>
      <c r="F544" s="117"/>
      <c r="G544" s="118"/>
      <c r="H544" s="118"/>
      <c r="I544" s="118"/>
      <c r="J544" s="173">
        <v>45366</v>
      </c>
      <c r="K544" s="174">
        <v>1711797</v>
      </c>
      <c r="L544" s="115"/>
      <c r="M544" s="115"/>
      <c r="N544" s="182" t="s">
        <v>1356</v>
      </c>
      <c r="O544" s="185"/>
      <c r="P544" s="176" t="s">
        <v>49</v>
      </c>
      <c r="Q544" s="176"/>
      <c r="R544" s="177"/>
    </row>
    <row r="545" spans="1:18" s="167" customFormat="1" ht="66" hidden="1" customHeight="1">
      <c r="B545" s="168" t="s">
        <v>54</v>
      </c>
      <c r="C545" s="169"/>
      <c r="D545" s="170" t="s">
        <v>1357</v>
      </c>
      <c r="E545" s="171" t="s">
        <v>46</v>
      </c>
      <c r="F545" s="274"/>
      <c r="G545" s="274"/>
      <c r="H545" s="274"/>
      <c r="I545" s="274"/>
      <c r="J545" s="173">
        <v>45366</v>
      </c>
      <c r="K545" s="174">
        <v>1723572</v>
      </c>
      <c r="L545" s="169"/>
      <c r="M545" s="169"/>
      <c r="N545" s="182" t="s">
        <v>1339</v>
      </c>
      <c r="O545" s="185"/>
      <c r="P545" s="176" t="s">
        <v>49</v>
      </c>
      <c r="Q545" s="176"/>
      <c r="R545" s="177"/>
    </row>
    <row r="546" spans="1:18" s="167" customFormat="1" ht="66" hidden="1" customHeight="1">
      <c r="B546" s="168" t="s">
        <v>156</v>
      </c>
      <c r="C546" s="169"/>
      <c r="D546" s="170" t="s">
        <v>1358</v>
      </c>
      <c r="E546" s="171" t="s">
        <v>46</v>
      </c>
      <c r="F546" s="171"/>
      <c r="G546" s="171"/>
      <c r="H546" s="171"/>
      <c r="I546" s="171"/>
      <c r="J546" s="173">
        <v>45367</v>
      </c>
      <c r="K546" s="174">
        <v>1800694</v>
      </c>
      <c r="L546" s="115"/>
      <c r="M546" s="115"/>
      <c r="N546" s="182" t="s">
        <v>1359</v>
      </c>
      <c r="O546" s="185"/>
      <c r="P546" s="176" t="s">
        <v>49</v>
      </c>
      <c r="Q546" s="176"/>
      <c r="R546" s="177"/>
    </row>
    <row r="547" spans="1:18" s="167" customFormat="1" ht="66" hidden="1" customHeight="1">
      <c r="B547" s="168" t="s">
        <v>163</v>
      </c>
      <c r="C547" s="169"/>
      <c r="D547" s="170" t="s">
        <v>1360</v>
      </c>
      <c r="E547" s="171" t="s">
        <v>46</v>
      </c>
      <c r="F547" s="112" t="s">
        <v>46</v>
      </c>
      <c r="G547" s="112" t="s">
        <v>46</v>
      </c>
      <c r="H547" s="112" t="s">
        <v>46</v>
      </c>
      <c r="I547" s="112" t="s">
        <v>46</v>
      </c>
      <c r="J547" s="173">
        <v>45370</v>
      </c>
      <c r="K547" s="174">
        <v>1720854</v>
      </c>
      <c r="L547" s="111"/>
      <c r="M547" s="111"/>
      <c r="N547" s="182" t="s">
        <v>1300</v>
      </c>
      <c r="O547" s="185"/>
      <c r="P547" s="176" t="s">
        <v>49</v>
      </c>
      <c r="Q547" s="176"/>
      <c r="R547" s="177"/>
    </row>
    <row r="548" spans="1:18" s="167" customFormat="1" ht="66" hidden="1" customHeight="1">
      <c r="B548" s="168" t="s">
        <v>86</v>
      </c>
      <c r="C548" s="169"/>
      <c r="D548" s="170" t="s">
        <v>1361</v>
      </c>
      <c r="E548" s="171" t="s">
        <v>46</v>
      </c>
      <c r="F548" s="117"/>
      <c r="G548" s="118"/>
      <c r="H548" s="118"/>
      <c r="I548" s="118"/>
      <c r="J548" s="173">
        <v>45371</v>
      </c>
      <c r="K548" s="174">
        <v>1720753</v>
      </c>
      <c r="L548" s="115"/>
      <c r="M548" s="115"/>
      <c r="N548" s="182" t="s">
        <v>1356</v>
      </c>
      <c r="O548" s="185"/>
      <c r="P548" s="176" t="s">
        <v>49</v>
      </c>
      <c r="Q548" s="176"/>
      <c r="R548" s="177"/>
    </row>
    <row r="549" spans="1:18" s="167" customFormat="1" ht="66" hidden="1" customHeight="1">
      <c r="B549" s="168" t="s">
        <v>156</v>
      </c>
      <c r="C549" s="169"/>
      <c r="D549" s="170" t="s">
        <v>1362</v>
      </c>
      <c r="E549" s="171" t="s">
        <v>46</v>
      </c>
      <c r="F549" s="112"/>
      <c r="G549" s="113"/>
      <c r="H549" s="113"/>
      <c r="I549" s="113"/>
      <c r="J549" s="173">
        <v>45371</v>
      </c>
      <c r="K549" s="174">
        <v>1723447</v>
      </c>
      <c r="L549" s="111"/>
      <c r="M549" s="111"/>
      <c r="N549" s="182" t="s">
        <v>1363</v>
      </c>
      <c r="O549" s="185"/>
      <c r="P549" s="176" t="s">
        <v>49</v>
      </c>
      <c r="Q549" s="176"/>
      <c r="R549" s="177"/>
    </row>
    <row r="550" spans="1:18" s="167" customFormat="1" ht="66" hidden="1" customHeight="1">
      <c r="B550" s="168" t="s">
        <v>156</v>
      </c>
      <c r="C550" s="169"/>
      <c r="D550" s="170" t="s">
        <v>1364</v>
      </c>
      <c r="E550" s="171" t="s">
        <v>46</v>
      </c>
      <c r="F550" s="112"/>
      <c r="G550" s="113"/>
      <c r="H550" s="113"/>
      <c r="I550" s="113"/>
      <c r="J550" s="173">
        <v>45373</v>
      </c>
      <c r="K550" s="174">
        <v>1729306</v>
      </c>
      <c r="L550" s="111"/>
      <c r="M550" s="111"/>
      <c r="N550" s="182" t="s">
        <v>1300</v>
      </c>
      <c r="O550" s="185"/>
      <c r="P550" s="176" t="s">
        <v>49</v>
      </c>
      <c r="Q550" s="176"/>
      <c r="R550" s="177"/>
    </row>
    <row r="551" spans="1:18" s="167" customFormat="1" ht="66" hidden="1" customHeight="1">
      <c r="B551" s="168" t="s">
        <v>933</v>
      </c>
      <c r="C551" s="169"/>
      <c r="D551" s="170" t="s">
        <v>1365</v>
      </c>
      <c r="E551" s="171" t="s">
        <v>46</v>
      </c>
      <c r="F551" s="117"/>
      <c r="G551" s="118"/>
      <c r="H551" s="118"/>
      <c r="I551" s="118"/>
      <c r="J551" s="173">
        <v>45377</v>
      </c>
      <c r="K551" s="174">
        <v>1739731</v>
      </c>
      <c r="L551" s="115"/>
      <c r="M551" s="115"/>
      <c r="N551" s="182" t="s">
        <v>1366</v>
      </c>
      <c r="O551" s="185"/>
      <c r="P551" s="176" t="s">
        <v>49</v>
      </c>
      <c r="Q551" s="176"/>
      <c r="R551" s="177"/>
    </row>
    <row r="552" spans="1:18" s="167" customFormat="1" ht="66" hidden="1" customHeight="1">
      <c r="B552" s="168" t="s">
        <v>54</v>
      </c>
      <c r="C552" s="169"/>
      <c r="D552" s="170" t="s">
        <v>1367</v>
      </c>
      <c r="E552" s="171" t="s">
        <v>46</v>
      </c>
      <c r="F552" s="171"/>
      <c r="G552" s="172"/>
      <c r="H552" s="172"/>
      <c r="I552" s="172"/>
      <c r="J552" s="173">
        <v>45377</v>
      </c>
      <c r="K552" s="174">
        <v>1740187</v>
      </c>
      <c r="L552" s="169"/>
      <c r="M552" s="169"/>
      <c r="N552" s="182" t="s">
        <v>1368</v>
      </c>
      <c r="O552" s="185"/>
      <c r="P552" s="176" t="s">
        <v>49</v>
      </c>
      <c r="Q552" s="176"/>
      <c r="R552" s="177"/>
    </row>
    <row r="553" spans="1:18" s="167" customFormat="1" ht="66" hidden="1" customHeight="1">
      <c r="A553" s="186"/>
      <c r="B553" s="187" t="s">
        <v>71</v>
      </c>
      <c r="C553" s="188"/>
      <c r="D553" s="189" t="s">
        <v>1369</v>
      </c>
      <c r="E553" s="190" t="s">
        <v>46</v>
      </c>
      <c r="F553" s="190"/>
      <c r="G553" s="190"/>
      <c r="H553" s="190"/>
      <c r="I553" s="190"/>
      <c r="J553" s="191">
        <v>45377</v>
      </c>
      <c r="K553" s="192">
        <v>1740253</v>
      </c>
      <c r="L553" s="188"/>
      <c r="M553" s="188"/>
      <c r="N553" s="193" t="s">
        <v>1370</v>
      </c>
      <c r="O553" s="194"/>
      <c r="P553" s="195" t="s">
        <v>204</v>
      </c>
      <c r="Q553" s="195"/>
      <c r="R553" s="196"/>
    </row>
    <row r="554" spans="1:18" s="125" customFormat="1" ht="66" hidden="1" customHeight="1">
      <c r="A554" s="167"/>
      <c r="B554" s="168" t="s">
        <v>71</v>
      </c>
      <c r="C554" s="169"/>
      <c r="D554" s="170" t="s">
        <v>1371</v>
      </c>
      <c r="E554" s="171" t="s">
        <v>46</v>
      </c>
      <c r="F554" s="117"/>
      <c r="G554" s="118"/>
      <c r="H554" s="118"/>
      <c r="I554" s="118"/>
      <c r="J554" s="173">
        <v>45377</v>
      </c>
      <c r="K554" s="174">
        <v>1740337</v>
      </c>
      <c r="L554" s="115"/>
      <c r="M554" s="115"/>
      <c r="N554" s="182" t="s">
        <v>1372</v>
      </c>
      <c r="O554" s="185"/>
      <c r="P554" s="176" t="s">
        <v>49</v>
      </c>
      <c r="Q554" s="176"/>
      <c r="R554" s="177"/>
    </row>
    <row r="555" spans="1:18" ht="66" hidden="1" customHeight="1">
      <c r="B555" s="114" t="s">
        <v>71</v>
      </c>
      <c r="C555" s="115"/>
      <c r="D555" s="116" t="s">
        <v>1373</v>
      </c>
      <c r="E555" s="117" t="s">
        <v>46</v>
      </c>
      <c r="F555" s="117"/>
      <c r="G555" s="118"/>
      <c r="H555" s="118"/>
      <c r="I555" s="118"/>
      <c r="J555" s="119">
        <v>45377</v>
      </c>
      <c r="K555" s="120">
        <v>1740357</v>
      </c>
      <c r="L555" s="115"/>
      <c r="M555" s="115"/>
      <c r="N555" s="121" t="s">
        <v>1374</v>
      </c>
      <c r="O555" s="184"/>
      <c r="P555" s="122" t="s">
        <v>49</v>
      </c>
      <c r="Q555" s="122"/>
      <c r="R555" s="123"/>
    </row>
    <row r="556" spans="1:18" s="167" customFormat="1" ht="66" hidden="1" customHeight="1">
      <c r="B556" s="168" t="s">
        <v>71</v>
      </c>
      <c r="C556" s="169"/>
      <c r="D556" s="170" t="s">
        <v>1375</v>
      </c>
      <c r="E556" s="171" t="s">
        <v>46</v>
      </c>
      <c r="F556" s="112"/>
      <c r="G556" s="113"/>
      <c r="H556" s="113"/>
      <c r="I556" s="113"/>
      <c r="J556" s="173">
        <v>45377</v>
      </c>
      <c r="K556" s="174">
        <v>1740358</v>
      </c>
      <c r="L556" s="111"/>
      <c r="M556" s="111"/>
      <c r="N556" s="182" t="s">
        <v>1376</v>
      </c>
      <c r="O556" s="185"/>
      <c r="P556" s="176" t="s">
        <v>49</v>
      </c>
      <c r="Q556" s="176"/>
      <c r="R556" s="177"/>
    </row>
    <row r="557" spans="1:18" s="167" customFormat="1" ht="66" hidden="1" customHeight="1">
      <c r="B557" s="168" t="s">
        <v>71</v>
      </c>
      <c r="C557" s="169"/>
      <c r="D557" s="170" t="s">
        <v>1377</v>
      </c>
      <c r="E557" s="171" t="s">
        <v>46</v>
      </c>
      <c r="F557" s="112"/>
      <c r="G557" s="113"/>
      <c r="H557" s="113"/>
      <c r="I557" s="113"/>
      <c r="J557" s="173">
        <v>45377</v>
      </c>
      <c r="K557" s="174">
        <v>1740443</v>
      </c>
      <c r="L557" s="111"/>
      <c r="M557" s="111"/>
      <c r="N557" s="182" t="s">
        <v>1376</v>
      </c>
      <c r="O557" s="185"/>
      <c r="P557" s="176" t="s">
        <v>49</v>
      </c>
      <c r="Q557" s="176"/>
      <c r="R557" s="177"/>
    </row>
    <row r="558" spans="1:18" s="167" customFormat="1" ht="66" hidden="1" customHeight="1">
      <c r="B558" s="168" t="s">
        <v>79</v>
      </c>
      <c r="C558" s="169"/>
      <c r="D558" s="170" t="s">
        <v>1378</v>
      </c>
      <c r="E558" s="171" t="s">
        <v>46</v>
      </c>
      <c r="F558" s="171"/>
      <c r="G558" s="171"/>
      <c r="H558" s="171"/>
      <c r="I558" s="171"/>
      <c r="J558" s="173">
        <v>45378</v>
      </c>
      <c r="K558" s="174">
        <v>1742724</v>
      </c>
      <c r="L558" s="115"/>
      <c r="M558" s="115"/>
      <c r="N558" s="182" t="s">
        <v>1379</v>
      </c>
      <c r="O558" s="200" t="s">
        <v>1380</v>
      </c>
      <c r="P558" s="176" t="s">
        <v>49</v>
      </c>
      <c r="Q558" s="176"/>
      <c r="R558" s="177"/>
    </row>
    <row r="559" spans="1:18" s="167" customFormat="1" ht="66" hidden="1" customHeight="1">
      <c r="B559" s="168" t="s">
        <v>222</v>
      </c>
      <c r="C559" s="169"/>
      <c r="D559" s="170" t="s">
        <v>1381</v>
      </c>
      <c r="E559" s="171" t="s">
        <v>46</v>
      </c>
      <c r="F559" s="112"/>
      <c r="G559" s="112"/>
      <c r="H559" s="112"/>
      <c r="I559" s="112"/>
      <c r="J559" s="173">
        <v>45378</v>
      </c>
      <c r="K559" s="174">
        <v>1743048</v>
      </c>
      <c r="L559" s="111"/>
      <c r="M559" s="111"/>
      <c r="N559" s="182" t="s">
        <v>1376</v>
      </c>
      <c r="O559" s="185"/>
      <c r="P559" s="176" t="s">
        <v>49</v>
      </c>
      <c r="Q559" s="176"/>
      <c r="R559" s="177"/>
    </row>
    <row r="560" spans="1:18" s="167" customFormat="1" ht="66" hidden="1" customHeight="1">
      <c r="B560" s="168" t="s">
        <v>79</v>
      </c>
      <c r="C560" s="169"/>
      <c r="D560" s="170" t="s">
        <v>1382</v>
      </c>
      <c r="E560" s="171" t="s">
        <v>46</v>
      </c>
      <c r="F560" s="171"/>
      <c r="G560" s="171"/>
      <c r="H560" s="171"/>
      <c r="I560" s="171"/>
      <c r="J560" s="173">
        <v>45378</v>
      </c>
      <c r="K560" s="174">
        <v>1756216</v>
      </c>
      <c r="L560" s="115"/>
      <c r="M560" s="115"/>
      <c r="N560" s="182" t="s">
        <v>1383</v>
      </c>
      <c r="O560" s="185" t="s">
        <v>1384</v>
      </c>
      <c r="P560" s="176" t="s">
        <v>49</v>
      </c>
      <c r="Q560" s="176"/>
      <c r="R560" s="177"/>
    </row>
    <row r="561" spans="1:18" s="167" customFormat="1" ht="66" hidden="1" customHeight="1">
      <c r="B561" s="168" t="s">
        <v>129</v>
      </c>
      <c r="C561" s="169"/>
      <c r="D561" s="170" t="s">
        <v>1385</v>
      </c>
      <c r="E561" s="171" t="s">
        <v>46</v>
      </c>
      <c r="F561" s="112"/>
      <c r="G561" s="112"/>
      <c r="H561" s="112"/>
      <c r="I561" s="112"/>
      <c r="J561" s="173">
        <v>45379</v>
      </c>
      <c r="K561" s="174">
        <v>1743183</v>
      </c>
      <c r="L561" s="111"/>
      <c r="M561" s="111"/>
      <c r="N561" s="182" t="s">
        <v>1376</v>
      </c>
      <c r="O561" s="185"/>
      <c r="P561" s="176" t="s">
        <v>49</v>
      </c>
      <c r="Q561" s="176"/>
      <c r="R561" s="177"/>
    </row>
    <row r="562" spans="1:18" s="186" customFormat="1" ht="66" hidden="1" customHeight="1">
      <c r="A562" s="1"/>
      <c r="B562" s="114" t="s">
        <v>71</v>
      </c>
      <c r="C562" s="115"/>
      <c r="D562" s="116" t="s">
        <v>1386</v>
      </c>
      <c r="E562" s="117" t="s">
        <v>46</v>
      </c>
      <c r="F562" s="112"/>
      <c r="G562" s="113"/>
      <c r="H562" s="113"/>
      <c r="I562" s="113"/>
      <c r="J562" s="119">
        <v>45384</v>
      </c>
      <c r="K562" s="120">
        <v>1759231</v>
      </c>
      <c r="L562" s="111"/>
      <c r="M562" s="111"/>
      <c r="N562" s="121" t="s">
        <v>1387</v>
      </c>
      <c r="O562" s="184" t="s">
        <v>1388</v>
      </c>
      <c r="P562" s="122" t="s">
        <v>49</v>
      </c>
      <c r="Q562" s="122"/>
      <c r="R562" s="123"/>
    </row>
    <row r="563" spans="1:18" s="167" customFormat="1" ht="66" hidden="1" customHeight="1">
      <c r="B563" s="168" t="s">
        <v>71</v>
      </c>
      <c r="C563" s="169"/>
      <c r="D563" s="170" t="s">
        <v>1389</v>
      </c>
      <c r="E563" s="171" t="s">
        <v>46</v>
      </c>
      <c r="F563" s="112"/>
      <c r="G563" s="113"/>
      <c r="H563" s="113"/>
      <c r="I563" s="113"/>
      <c r="J563" s="173">
        <v>45384</v>
      </c>
      <c r="K563" s="174">
        <v>1759261</v>
      </c>
      <c r="L563" s="111"/>
      <c r="M563" s="111"/>
      <c r="N563" s="182" t="s">
        <v>1376</v>
      </c>
      <c r="O563" s="185"/>
      <c r="P563" s="176" t="s">
        <v>49</v>
      </c>
      <c r="Q563" s="176"/>
      <c r="R563" s="177"/>
    </row>
    <row r="564" spans="1:18" s="125" customFormat="1" ht="66" hidden="1" customHeight="1">
      <c r="A564" s="167"/>
      <c r="B564" s="168" t="s">
        <v>79</v>
      </c>
      <c r="C564" s="169"/>
      <c r="D564" s="170" t="s">
        <v>1390</v>
      </c>
      <c r="E564" s="171" t="s">
        <v>46</v>
      </c>
      <c r="F564" s="112"/>
      <c r="G564" s="112"/>
      <c r="H564" s="112"/>
      <c r="I564" s="112"/>
      <c r="J564" s="173">
        <v>45384</v>
      </c>
      <c r="K564" s="369">
        <v>1759344</v>
      </c>
      <c r="L564" s="111"/>
      <c r="M564" s="111"/>
      <c r="N564" s="182" t="s">
        <v>1391</v>
      </c>
      <c r="O564" s="185"/>
      <c r="P564" s="176" t="s">
        <v>49</v>
      </c>
      <c r="Q564" s="176"/>
      <c r="R564" s="177"/>
    </row>
    <row r="565" spans="1:18" s="186" customFormat="1" ht="66" hidden="1" customHeight="1">
      <c r="A565" s="167"/>
      <c r="B565" s="168" t="s">
        <v>58</v>
      </c>
      <c r="C565" s="169"/>
      <c r="D565" s="170" t="s">
        <v>1392</v>
      </c>
      <c r="E565" s="171" t="s">
        <v>46</v>
      </c>
      <c r="F565" s="112"/>
      <c r="G565" s="113"/>
      <c r="H565" s="113"/>
      <c r="I565" s="113"/>
      <c r="J565" s="173">
        <v>45384</v>
      </c>
      <c r="K565" s="364">
        <v>1759442</v>
      </c>
      <c r="L565" s="111"/>
      <c r="M565" s="111"/>
      <c r="N565" s="182" t="s">
        <v>1376</v>
      </c>
      <c r="O565" s="185"/>
      <c r="P565" s="176" t="s">
        <v>49</v>
      </c>
      <c r="Q565" s="176"/>
      <c r="R565" s="177"/>
    </row>
    <row r="566" spans="1:18" s="167" customFormat="1" ht="66" hidden="1" customHeight="1">
      <c r="A566" s="1"/>
      <c r="B566" s="114" t="s">
        <v>71</v>
      </c>
      <c r="C566" s="115"/>
      <c r="D566" s="116" t="s">
        <v>1393</v>
      </c>
      <c r="E566" s="117" t="s">
        <v>46</v>
      </c>
      <c r="J566" s="119">
        <v>45386</v>
      </c>
      <c r="K566" s="372">
        <v>1764797</v>
      </c>
      <c r="L566" s="169"/>
      <c r="M566" s="169"/>
      <c r="N566" s="121" t="s">
        <v>1394</v>
      </c>
      <c r="O566" s="184"/>
      <c r="P566" s="122" t="s">
        <v>49</v>
      </c>
      <c r="Q566" s="122"/>
      <c r="R566" s="123"/>
    </row>
    <row r="567" spans="1:18" s="167" customFormat="1" ht="66" hidden="1" customHeight="1">
      <c r="B567" s="168" t="s">
        <v>146</v>
      </c>
      <c r="C567" s="169"/>
      <c r="D567" s="170" t="s">
        <v>1395</v>
      </c>
      <c r="E567" s="171" t="s">
        <v>46</v>
      </c>
      <c r="F567" s="112"/>
      <c r="G567" s="113"/>
      <c r="H567" s="113"/>
      <c r="I567" s="113"/>
      <c r="J567" s="173">
        <v>45386</v>
      </c>
      <c r="K567" s="174">
        <v>1764821</v>
      </c>
      <c r="L567" s="111"/>
      <c r="M567" s="111"/>
      <c r="N567" s="182" t="s">
        <v>1376</v>
      </c>
      <c r="O567" s="185"/>
      <c r="P567" s="176" t="s">
        <v>49</v>
      </c>
      <c r="Q567" s="176"/>
      <c r="R567" s="177"/>
    </row>
    <row r="568" spans="1:18" s="167" customFormat="1" ht="66" hidden="1" customHeight="1">
      <c r="B568" s="168" t="s">
        <v>146</v>
      </c>
      <c r="C568" s="169"/>
      <c r="D568" s="170" t="s">
        <v>1396</v>
      </c>
      <c r="E568" s="171" t="s">
        <v>46</v>
      </c>
      <c r="F568" s="112"/>
      <c r="G568" s="113"/>
      <c r="H568" s="113"/>
      <c r="I568" s="113"/>
      <c r="J568" s="173">
        <v>45387</v>
      </c>
      <c r="K568" s="174">
        <v>1767858</v>
      </c>
      <c r="L568" s="111"/>
      <c r="M568" s="111"/>
      <c r="N568" s="182" t="s">
        <v>1376</v>
      </c>
      <c r="O568" s="185"/>
      <c r="P568" s="176" t="s">
        <v>49</v>
      </c>
      <c r="Q568" s="176"/>
      <c r="R568" s="177"/>
    </row>
    <row r="569" spans="1:18" s="167" customFormat="1" ht="66" hidden="1" customHeight="1">
      <c r="B569" s="168" t="s">
        <v>99</v>
      </c>
      <c r="C569" s="169"/>
      <c r="D569" s="170" t="s">
        <v>1397</v>
      </c>
      <c r="E569" s="171" t="s">
        <v>46</v>
      </c>
      <c r="F569" s="171"/>
      <c r="G569" s="171"/>
      <c r="H569" s="171"/>
      <c r="I569" s="171"/>
      <c r="J569" s="173">
        <v>45390</v>
      </c>
      <c r="K569" s="174">
        <v>1775710</v>
      </c>
      <c r="L569" s="115"/>
      <c r="M569" s="115"/>
      <c r="N569" s="182" t="s">
        <v>1359</v>
      </c>
      <c r="O569" s="185"/>
      <c r="P569" s="176" t="s">
        <v>49</v>
      </c>
      <c r="Q569" s="176"/>
      <c r="R569" s="177"/>
    </row>
    <row r="570" spans="1:18" s="167" customFormat="1" ht="66" hidden="1" customHeight="1">
      <c r="B570" s="168" t="s">
        <v>54</v>
      </c>
      <c r="C570" s="169"/>
      <c r="D570" s="170" t="s">
        <v>1398</v>
      </c>
      <c r="E570" s="171" t="s">
        <v>46</v>
      </c>
      <c r="F570" s="112"/>
      <c r="G570" s="113"/>
      <c r="H570" s="113"/>
      <c r="I570" s="113"/>
      <c r="J570" s="173">
        <v>45391</v>
      </c>
      <c r="K570" s="174">
        <v>1779145</v>
      </c>
      <c r="L570" s="111"/>
      <c r="M570" s="111"/>
      <c r="N570" s="182" t="s">
        <v>1376</v>
      </c>
      <c r="O570" s="185"/>
      <c r="P570" s="176" t="s">
        <v>49</v>
      </c>
      <c r="Q570" s="176"/>
      <c r="R570" s="177"/>
    </row>
    <row r="571" spans="1:18" s="167" customFormat="1" ht="66" hidden="1" customHeight="1">
      <c r="A571" s="1"/>
      <c r="B571" s="114" t="s">
        <v>71</v>
      </c>
      <c r="C571" s="115"/>
      <c r="D571" s="116" t="s">
        <v>1399</v>
      </c>
      <c r="E571" s="117" t="s">
        <v>46</v>
      </c>
      <c r="F571" s="171" t="s">
        <v>46</v>
      </c>
      <c r="G571" s="171" t="s">
        <v>46</v>
      </c>
      <c r="H571" s="171" t="s">
        <v>46</v>
      </c>
      <c r="I571" s="171" t="s">
        <v>46</v>
      </c>
      <c r="J571" s="119">
        <v>45392</v>
      </c>
      <c r="K571" s="120">
        <v>1781192</v>
      </c>
      <c r="L571" s="115"/>
      <c r="M571" s="115"/>
      <c r="N571" s="121" t="s">
        <v>1400</v>
      </c>
      <c r="O571" s="184"/>
      <c r="P571" s="122" t="s">
        <v>49</v>
      </c>
      <c r="Q571" s="122"/>
      <c r="R571" s="123"/>
    </row>
    <row r="572" spans="1:18" s="167" customFormat="1" ht="66" hidden="1" customHeight="1">
      <c r="B572" s="168" t="s">
        <v>129</v>
      </c>
      <c r="C572" s="169"/>
      <c r="D572" s="170" t="s">
        <v>1401</v>
      </c>
      <c r="E572" s="171" t="s">
        <v>46</v>
      </c>
      <c r="F572" s="112"/>
      <c r="G572" s="112"/>
      <c r="H572" s="112"/>
      <c r="I572" s="112"/>
      <c r="J572" s="173">
        <v>45393</v>
      </c>
      <c r="K572" s="174">
        <v>1784299</v>
      </c>
      <c r="L572" s="111"/>
      <c r="M572" s="111"/>
      <c r="N572" s="182" t="s">
        <v>1376</v>
      </c>
      <c r="O572" s="185"/>
      <c r="P572" s="176" t="s">
        <v>49</v>
      </c>
      <c r="Q572" s="176"/>
      <c r="R572" s="177"/>
    </row>
    <row r="573" spans="1:18" s="167" customFormat="1" ht="66" hidden="1" customHeight="1">
      <c r="A573" s="1"/>
      <c r="B573" s="114" t="s">
        <v>129</v>
      </c>
      <c r="C573" s="115"/>
      <c r="D573" s="116" t="s">
        <v>1402</v>
      </c>
      <c r="E573" s="117" t="s">
        <v>46</v>
      </c>
      <c r="F573" s="171"/>
      <c r="G573" s="171"/>
      <c r="H573" s="171"/>
      <c r="I573" s="171"/>
      <c r="J573" s="119">
        <v>45394</v>
      </c>
      <c r="K573" s="120">
        <v>1784359</v>
      </c>
      <c r="L573" s="169"/>
      <c r="M573" s="169"/>
      <c r="N573" s="121" t="s">
        <v>1403</v>
      </c>
      <c r="O573" s="184"/>
      <c r="P573" s="122" t="s">
        <v>49</v>
      </c>
      <c r="Q573" s="122"/>
      <c r="R573" s="123"/>
    </row>
    <row r="574" spans="1:18" s="125" customFormat="1" ht="66" hidden="1" customHeight="1">
      <c r="A574" s="167"/>
      <c r="B574" s="168" t="s">
        <v>99</v>
      </c>
      <c r="C574" s="169"/>
      <c r="D574" s="170" t="s">
        <v>1404</v>
      </c>
      <c r="E574" s="171" t="s">
        <v>46</v>
      </c>
      <c r="F574" s="171"/>
      <c r="G574" s="171"/>
      <c r="H574" s="171"/>
      <c r="I574" s="171"/>
      <c r="J574" s="173">
        <v>45397</v>
      </c>
      <c r="K574" s="174">
        <v>1795924</v>
      </c>
      <c r="L574" s="115"/>
      <c r="M574" s="115"/>
      <c r="N574" s="182" t="s">
        <v>1372</v>
      </c>
      <c r="O574" s="185"/>
      <c r="P574" s="176" t="s">
        <v>49</v>
      </c>
      <c r="Q574" s="176"/>
      <c r="R574" s="177"/>
    </row>
    <row r="575" spans="1:18" s="167" customFormat="1" ht="66" hidden="1" customHeight="1">
      <c r="B575" s="168" t="s">
        <v>99</v>
      </c>
      <c r="C575" s="169"/>
      <c r="D575" s="170" t="s">
        <v>1405</v>
      </c>
      <c r="E575" s="171" t="s">
        <v>46</v>
      </c>
      <c r="F575" s="171"/>
      <c r="G575" s="171"/>
      <c r="H575" s="171"/>
      <c r="I575" s="171"/>
      <c r="J575" s="173">
        <v>45397</v>
      </c>
      <c r="K575" s="174">
        <v>1795925</v>
      </c>
      <c r="L575" s="115"/>
      <c r="M575" s="115"/>
      <c r="N575" s="182" t="s">
        <v>1359</v>
      </c>
      <c r="O575" s="185"/>
      <c r="P575" s="176" t="s">
        <v>49</v>
      </c>
      <c r="Q575" s="176"/>
      <c r="R575" s="177"/>
    </row>
    <row r="576" spans="1:18" ht="66" customHeight="1">
      <c r="B576" s="114" t="s">
        <v>190</v>
      </c>
      <c r="C576" s="115"/>
      <c r="D576" s="116" t="s">
        <v>1406</v>
      </c>
      <c r="E576" s="117" t="s">
        <v>46</v>
      </c>
      <c r="F576" s="171"/>
      <c r="G576" s="171"/>
      <c r="H576" s="171"/>
      <c r="I576" s="171"/>
      <c r="J576" s="119">
        <v>45398</v>
      </c>
      <c r="K576" s="120">
        <v>1797863</v>
      </c>
      <c r="L576" s="115"/>
      <c r="M576" s="115"/>
      <c r="N576" s="121" t="s">
        <v>1407</v>
      </c>
      <c r="O576" s="184"/>
      <c r="P576" s="122" t="s">
        <v>49</v>
      </c>
      <c r="Q576" s="122"/>
      <c r="R576" s="123"/>
    </row>
    <row r="577" spans="1:18" s="167" customFormat="1" ht="66" hidden="1" customHeight="1">
      <c r="B577" s="168" t="s">
        <v>54</v>
      </c>
      <c r="C577" s="169"/>
      <c r="D577" s="170" t="s">
        <v>1408</v>
      </c>
      <c r="E577" s="171" t="s">
        <v>46</v>
      </c>
      <c r="F577" s="117"/>
      <c r="G577" s="118"/>
      <c r="H577" s="118"/>
      <c r="I577" s="118"/>
      <c r="J577" s="173">
        <v>45400</v>
      </c>
      <c r="K577" s="174">
        <v>1803503</v>
      </c>
      <c r="L577" s="115"/>
      <c r="M577" s="115"/>
      <c r="N577" s="182" t="s">
        <v>1409</v>
      </c>
      <c r="O577" s="185"/>
      <c r="P577" s="176" t="s">
        <v>49</v>
      </c>
      <c r="Q577" s="176"/>
      <c r="R577" s="177"/>
    </row>
    <row r="578" spans="1:18" s="167" customFormat="1" ht="66" hidden="1" customHeight="1">
      <c r="A578" s="1"/>
      <c r="B578" s="114" t="s">
        <v>222</v>
      </c>
      <c r="C578" s="115"/>
      <c r="D578" s="116" t="s">
        <v>1410</v>
      </c>
      <c r="E578" s="117" t="s">
        <v>46</v>
      </c>
      <c r="F578" s="171"/>
      <c r="G578" s="171"/>
      <c r="H578" s="171"/>
      <c r="I578" s="171"/>
      <c r="J578" s="119">
        <v>45405</v>
      </c>
      <c r="K578" s="120">
        <v>1817462</v>
      </c>
      <c r="L578" s="169"/>
      <c r="M578" s="169"/>
      <c r="N578" s="121" t="s">
        <v>1411</v>
      </c>
      <c r="O578" s="184"/>
      <c r="P578" s="122" t="s">
        <v>49</v>
      </c>
      <c r="Q578" s="122"/>
      <c r="R578" s="123"/>
    </row>
    <row r="579" spans="1:18" ht="66" hidden="1" customHeight="1">
      <c r="B579" s="114" t="s">
        <v>146</v>
      </c>
      <c r="C579" s="115"/>
      <c r="D579" s="116" t="s">
        <v>1412</v>
      </c>
      <c r="E579" s="117" t="s">
        <v>46</v>
      </c>
      <c r="F579" s="171"/>
      <c r="G579" s="171"/>
      <c r="H579" s="171"/>
      <c r="I579" s="171"/>
      <c r="J579" s="119">
        <v>45405</v>
      </c>
      <c r="K579" s="120">
        <v>1817481</v>
      </c>
      <c r="L579" s="115"/>
      <c r="M579" s="115"/>
      <c r="N579" s="121" t="s">
        <v>1411</v>
      </c>
      <c r="O579" s="184"/>
      <c r="P579" s="122" t="s">
        <v>49</v>
      </c>
      <c r="Q579" s="122"/>
      <c r="R579" s="123"/>
    </row>
    <row r="580" spans="1:18" s="167" customFormat="1" ht="66" hidden="1" customHeight="1">
      <c r="A580" s="1"/>
      <c r="B580" s="114" t="s">
        <v>610</v>
      </c>
      <c r="C580" s="115"/>
      <c r="D580" s="116" t="s">
        <v>1413</v>
      </c>
      <c r="E580" s="117" t="s">
        <v>46</v>
      </c>
      <c r="F580" s="171"/>
      <c r="G580" s="171"/>
      <c r="H580" s="171"/>
      <c r="I580" s="171"/>
      <c r="J580" s="119">
        <v>45405</v>
      </c>
      <c r="K580" s="368">
        <v>1817482</v>
      </c>
      <c r="L580" s="169"/>
      <c r="M580" s="169"/>
      <c r="N580" s="121" t="s">
        <v>1414</v>
      </c>
      <c r="O580" s="184"/>
      <c r="P580" s="122" t="s">
        <v>49</v>
      </c>
      <c r="Q580" s="122"/>
      <c r="R580" s="123"/>
    </row>
    <row r="581" spans="1:18" ht="66" hidden="1" customHeight="1">
      <c r="B581" s="114" t="s">
        <v>58</v>
      </c>
      <c r="C581" s="115"/>
      <c r="D581" s="116" t="s">
        <v>1415</v>
      </c>
      <c r="E581" s="117" t="s">
        <v>46</v>
      </c>
      <c r="F581" s="273"/>
      <c r="G581" s="273"/>
      <c r="H581" s="273"/>
      <c r="I581" s="273"/>
      <c r="J581" s="119">
        <v>45406</v>
      </c>
      <c r="K581" s="365">
        <v>1819891</v>
      </c>
      <c r="L581" s="115"/>
      <c r="M581" s="115"/>
      <c r="N581" s="121" t="s">
        <v>1416</v>
      </c>
      <c r="O581" s="184"/>
      <c r="P581" s="122" t="s">
        <v>49</v>
      </c>
      <c r="Q581" s="122"/>
      <c r="R581" s="123"/>
    </row>
    <row r="582" spans="1:18" ht="66" hidden="1" customHeight="1">
      <c r="A582" s="167"/>
      <c r="B582" s="168" t="s">
        <v>63</v>
      </c>
      <c r="C582" s="169"/>
      <c r="D582" s="170" t="s">
        <v>1417</v>
      </c>
      <c r="E582" s="171" t="s">
        <v>46</v>
      </c>
      <c r="F582" s="171"/>
      <c r="G582" s="171"/>
      <c r="H582" s="171"/>
      <c r="I582" s="171"/>
      <c r="J582" s="173">
        <v>45407</v>
      </c>
      <c r="K582" s="305">
        <v>1822046</v>
      </c>
      <c r="L582" s="115"/>
      <c r="M582" s="115"/>
      <c r="N582" s="182" t="s">
        <v>1418</v>
      </c>
      <c r="O582" s="185"/>
      <c r="P582" s="176" t="s">
        <v>49</v>
      </c>
      <c r="Q582" s="176"/>
      <c r="R582" s="177"/>
    </row>
    <row r="583" spans="1:18" s="167" customFormat="1" ht="66" hidden="1" customHeight="1">
      <c r="A583" s="1"/>
      <c r="B583" s="114" t="s">
        <v>91</v>
      </c>
      <c r="C583" s="115"/>
      <c r="D583" s="116" t="s">
        <v>1419</v>
      </c>
      <c r="E583" s="117" t="s">
        <v>46</v>
      </c>
      <c r="F583" s="171"/>
      <c r="G583" s="171"/>
      <c r="H583" s="171"/>
      <c r="I583" s="171"/>
      <c r="J583" s="119">
        <v>45407</v>
      </c>
      <c r="K583" s="120">
        <v>1822629</v>
      </c>
      <c r="L583" s="115"/>
      <c r="M583" s="115"/>
      <c r="N583" s="121" t="s">
        <v>1420</v>
      </c>
      <c r="O583" s="184" t="s">
        <v>1421</v>
      </c>
      <c r="P583" s="122" t="s">
        <v>49</v>
      </c>
      <c r="Q583" s="122"/>
      <c r="R583" s="123"/>
    </row>
    <row r="584" spans="1:18" s="125" customFormat="1" ht="66" hidden="1" customHeight="1">
      <c r="A584" s="1"/>
      <c r="B584" s="114" t="s">
        <v>138</v>
      </c>
      <c r="C584" s="115"/>
      <c r="D584" s="116" t="s">
        <v>1422</v>
      </c>
      <c r="E584" s="117" t="s">
        <v>46</v>
      </c>
      <c r="F584" s="171"/>
      <c r="G584" s="171"/>
      <c r="H584" s="171"/>
      <c r="I584" s="171"/>
      <c r="J584" s="119">
        <v>45412</v>
      </c>
      <c r="K584" s="120">
        <v>1835478</v>
      </c>
      <c r="L584" s="115"/>
      <c r="M584" s="115"/>
      <c r="N584" s="121" t="s">
        <v>1423</v>
      </c>
      <c r="O584" s="184" t="s">
        <v>1424</v>
      </c>
      <c r="P584" s="122" t="s">
        <v>49</v>
      </c>
      <c r="Q584" s="122"/>
      <c r="R584" s="123"/>
    </row>
    <row r="585" spans="1:18" s="167" customFormat="1" ht="66" hidden="1" customHeight="1">
      <c r="A585" s="1"/>
      <c r="B585" s="114" t="s">
        <v>156</v>
      </c>
      <c r="C585" s="115"/>
      <c r="D585" s="116" t="s">
        <v>1425</v>
      </c>
      <c r="E585" s="117" t="s">
        <v>46</v>
      </c>
      <c r="F585" s="171"/>
      <c r="G585" s="171"/>
      <c r="H585" s="171"/>
      <c r="I585" s="171"/>
      <c r="J585" s="119">
        <v>45412</v>
      </c>
      <c r="K585" s="120">
        <v>1835625</v>
      </c>
      <c r="L585" s="115"/>
      <c r="M585" s="115"/>
      <c r="N585" s="121" t="s">
        <v>1426</v>
      </c>
      <c r="O585" s="184"/>
      <c r="P585" s="122" t="s">
        <v>49</v>
      </c>
      <c r="Q585" s="122"/>
      <c r="R585" s="123"/>
    </row>
    <row r="586" spans="1:18" s="167" customFormat="1" ht="66" hidden="1" customHeight="1">
      <c r="B586" s="168" t="s">
        <v>156</v>
      </c>
      <c r="C586" s="169"/>
      <c r="D586" s="170" t="s">
        <v>1427</v>
      </c>
      <c r="E586" s="171" t="s">
        <v>46</v>
      </c>
      <c r="F586" s="112"/>
      <c r="G586" s="112"/>
      <c r="H586" s="112"/>
      <c r="I586" s="112"/>
      <c r="J586" s="173">
        <v>45412</v>
      </c>
      <c r="K586" s="174">
        <v>1835711</v>
      </c>
      <c r="L586" s="111"/>
      <c r="M586" s="111"/>
      <c r="N586" s="182" t="s">
        <v>1428</v>
      </c>
      <c r="O586" s="185"/>
      <c r="P586" s="176" t="s">
        <v>49</v>
      </c>
      <c r="Q586" s="176"/>
      <c r="R586" s="177"/>
    </row>
    <row r="587" spans="1:18" s="167" customFormat="1" ht="66" hidden="1" customHeight="1">
      <c r="A587" s="1"/>
      <c r="B587" s="114" t="s">
        <v>160</v>
      </c>
      <c r="C587" s="115"/>
      <c r="D587" s="116" t="s">
        <v>1429</v>
      </c>
      <c r="E587" s="117" t="s">
        <v>46</v>
      </c>
      <c r="F587" s="171"/>
      <c r="G587" s="171"/>
      <c r="H587" s="171"/>
      <c r="I587" s="171"/>
      <c r="J587" s="119">
        <v>45412</v>
      </c>
      <c r="K587" s="120">
        <v>1836400</v>
      </c>
      <c r="L587" s="115"/>
      <c r="M587" s="115"/>
      <c r="N587" s="121" t="s">
        <v>1430</v>
      </c>
      <c r="O587" s="184"/>
      <c r="P587" s="122" t="s">
        <v>49</v>
      </c>
      <c r="Q587" s="122"/>
      <c r="R587" s="123"/>
    </row>
    <row r="588" spans="1:18" s="167" customFormat="1" ht="66" hidden="1" customHeight="1">
      <c r="A588" s="1"/>
      <c r="B588" s="114" t="s">
        <v>54</v>
      </c>
      <c r="C588" s="115"/>
      <c r="D588" s="116" t="s">
        <v>1431</v>
      </c>
      <c r="E588" s="117" t="s">
        <v>46</v>
      </c>
      <c r="F588" s="171"/>
      <c r="G588" s="171"/>
      <c r="H588" s="171"/>
      <c r="I588" s="171"/>
      <c r="J588" s="119">
        <v>45418</v>
      </c>
      <c r="K588" s="120">
        <v>1852341</v>
      </c>
      <c r="L588" s="115"/>
      <c r="M588" s="115"/>
      <c r="N588" s="121" t="s">
        <v>1432</v>
      </c>
      <c r="O588" s="184"/>
      <c r="P588" s="122" t="s">
        <v>49</v>
      </c>
      <c r="Q588" s="122"/>
      <c r="R588" s="123"/>
    </row>
    <row r="589" spans="1:18" s="167" customFormat="1" ht="66" hidden="1" customHeight="1">
      <c r="B589" s="168" t="s">
        <v>54</v>
      </c>
      <c r="C589" s="169"/>
      <c r="D589" s="170" t="s">
        <v>1433</v>
      </c>
      <c r="E589" s="171" t="s">
        <v>46</v>
      </c>
      <c r="F589" s="171"/>
      <c r="G589" s="171"/>
      <c r="H589" s="171"/>
      <c r="I589" s="171"/>
      <c r="J589" s="173">
        <v>45419</v>
      </c>
      <c r="K589" s="174">
        <v>1854751</v>
      </c>
      <c r="L589" s="115"/>
      <c r="M589" s="115"/>
      <c r="N589" s="182" t="s">
        <v>1434</v>
      </c>
      <c r="O589" s="185"/>
      <c r="P589" s="176" t="s">
        <v>49</v>
      </c>
      <c r="Q589" s="176"/>
      <c r="R589" s="177"/>
    </row>
    <row r="590" spans="1:18" s="167" customFormat="1" ht="66" hidden="1" customHeight="1">
      <c r="A590" s="1"/>
      <c r="B590" s="114" t="s">
        <v>63</v>
      </c>
      <c r="C590" s="115"/>
      <c r="D590" s="116" t="s">
        <v>1435</v>
      </c>
      <c r="E590" s="117" t="s">
        <v>46</v>
      </c>
      <c r="F590" s="171"/>
      <c r="G590" s="171"/>
      <c r="H590" s="171"/>
      <c r="I590" s="171"/>
      <c r="J590" s="119">
        <v>45420</v>
      </c>
      <c r="K590" s="120">
        <v>1857735</v>
      </c>
      <c r="L590" s="115"/>
      <c r="M590" s="115"/>
      <c r="N590" s="121" t="s">
        <v>1436</v>
      </c>
      <c r="O590" s="184"/>
      <c r="P590" s="122" t="s">
        <v>49</v>
      </c>
      <c r="Q590" s="122"/>
      <c r="R590" s="123"/>
    </row>
    <row r="591" spans="1:18" s="167" customFormat="1" ht="66" hidden="1" customHeight="1">
      <c r="A591" s="1"/>
      <c r="B591" s="114" t="s">
        <v>75</v>
      </c>
      <c r="C591" s="115"/>
      <c r="D591" s="116" t="s">
        <v>1437</v>
      </c>
      <c r="E591" s="117" t="s">
        <v>46</v>
      </c>
      <c r="F591" s="117"/>
      <c r="G591" s="118"/>
      <c r="H591" s="118"/>
      <c r="I591" s="118"/>
      <c r="J591" s="119">
        <v>45421</v>
      </c>
      <c r="K591" s="120">
        <v>1861097</v>
      </c>
      <c r="L591" s="115"/>
      <c r="M591" s="115"/>
      <c r="N591" s="121" t="s">
        <v>1438</v>
      </c>
      <c r="O591" s="184"/>
      <c r="P591" s="122" t="s">
        <v>49</v>
      </c>
      <c r="Q591" s="122"/>
      <c r="R591" s="123"/>
    </row>
    <row r="592" spans="1:18" ht="66" hidden="1" customHeight="1">
      <c r="B592" s="114" t="s">
        <v>610</v>
      </c>
      <c r="C592" s="115"/>
      <c r="D592" s="116" t="s">
        <v>1439</v>
      </c>
      <c r="E592" s="117" t="s">
        <v>46</v>
      </c>
      <c r="F592" s="171"/>
      <c r="G592" s="171"/>
      <c r="H592" s="171"/>
      <c r="I592" s="171"/>
      <c r="J592" s="119">
        <v>45422</v>
      </c>
      <c r="K592" s="120">
        <v>1863269</v>
      </c>
      <c r="L592" s="115"/>
      <c r="M592" s="115"/>
      <c r="N592" s="121" t="s">
        <v>1440</v>
      </c>
      <c r="O592" s="184"/>
      <c r="P592" s="122" t="s">
        <v>49</v>
      </c>
      <c r="Q592" s="122"/>
      <c r="R592" s="123"/>
    </row>
    <row r="593" spans="1:18" s="125" customFormat="1" ht="66" hidden="1" customHeight="1">
      <c r="A593" s="1"/>
      <c r="B593" s="114" t="s">
        <v>54</v>
      </c>
      <c r="C593" s="115"/>
      <c r="D593" s="116" t="s">
        <v>1441</v>
      </c>
      <c r="E593" s="117" t="s">
        <v>46</v>
      </c>
      <c r="F593" s="171"/>
      <c r="G593" s="171"/>
      <c r="H593" s="171"/>
      <c r="I593" s="171"/>
      <c r="J593" s="119">
        <v>45422</v>
      </c>
      <c r="K593" s="120">
        <v>1863299</v>
      </c>
      <c r="L593" s="115"/>
      <c r="M593" s="115"/>
      <c r="N593" s="121" t="s">
        <v>1442</v>
      </c>
      <c r="O593" s="184" t="s">
        <v>1443</v>
      </c>
      <c r="P593" s="122" t="s">
        <v>49</v>
      </c>
      <c r="Q593" s="122"/>
      <c r="R593" s="123"/>
    </row>
    <row r="594" spans="1:18" s="167" customFormat="1" ht="32.450000000000003" hidden="1" customHeight="1">
      <c r="A594" s="1"/>
      <c r="B594" s="114" t="s">
        <v>129</v>
      </c>
      <c r="C594" s="115"/>
      <c r="D594" s="116" t="s">
        <v>1444</v>
      </c>
      <c r="E594" s="117" t="s">
        <v>46</v>
      </c>
      <c r="F594" s="117"/>
      <c r="G594" s="118"/>
      <c r="H594" s="118"/>
      <c r="I594" s="118"/>
      <c r="J594" s="119">
        <v>45426</v>
      </c>
      <c r="K594" s="120">
        <v>1874040</v>
      </c>
      <c r="L594" s="115"/>
      <c r="M594" s="115"/>
      <c r="N594" s="121" t="s">
        <v>1445</v>
      </c>
      <c r="O594" s="184" t="s">
        <v>1446</v>
      </c>
      <c r="P594" s="122" t="s">
        <v>49</v>
      </c>
      <c r="Q594" s="122"/>
      <c r="R594" s="123"/>
    </row>
    <row r="595" spans="1:18" ht="66" hidden="1" customHeight="1">
      <c r="B595" s="114" t="s">
        <v>156</v>
      </c>
      <c r="C595" s="115"/>
      <c r="D595" s="116" t="s">
        <v>1447</v>
      </c>
      <c r="E595" s="117" t="s">
        <v>46</v>
      </c>
      <c r="F595" s="117"/>
      <c r="G595" s="118"/>
      <c r="H595" s="118"/>
      <c r="I595" s="118"/>
      <c r="J595" s="119">
        <v>45428</v>
      </c>
      <c r="K595" s="120">
        <v>1879768</v>
      </c>
      <c r="L595" s="115"/>
      <c r="M595" s="115"/>
      <c r="N595" s="121" t="s">
        <v>1448</v>
      </c>
      <c r="O595" s="184"/>
      <c r="P595" s="122" t="s">
        <v>49</v>
      </c>
      <c r="Q595" s="122"/>
      <c r="R595" s="123"/>
    </row>
    <row r="596" spans="1:18" ht="66" hidden="1" customHeight="1">
      <c r="B596" s="114" t="s">
        <v>163</v>
      </c>
      <c r="C596" s="115"/>
      <c r="D596" s="116" t="s">
        <v>1449</v>
      </c>
      <c r="E596" s="117" t="s">
        <v>46</v>
      </c>
      <c r="F596" s="117"/>
      <c r="G596" s="118"/>
      <c r="H596" s="118"/>
      <c r="I596" s="118"/>
      <c r="J596" s="119">
        <v>45428</v>
      </c>
      <c r="K596" s="120">
        <v>1880191</v>
      </c>
      <c r="L596" s="115"/>
      <c r="M596" s="115"/>
      <c r="N596" s="121" t="s">
        <v>1450</v>
      </c>
      <c r="O596" s="184"/>
      <c r="P596" s="122" t="s">
        <v>49</v>
      </c>
      <c r="Q596" s="122"/>
      <c r="R596" s="123"/>
    </row>
    <row r="597" spans="1:18" ht="66" hidden="1" customHeight="1">
      <c r="A597" s="167"/>
      <c r="B597" s="168" t="s">
        <v>156</v>
      </c>
      <c r="C597" s="169"/>
      <c r="D597" s="170" t="s">
        <v>1447</v>
      </c>
      <c r="E597" s="171" t="s">
        <v>46</v>
      </c>
      <c r="F597" s="117"/>
      <c r="G597" s="118"/>
      <c r="H597" s="118"/>
      <c r="I597" s="118"/>
      <c r="J597" s="173">
        <v>45428</v>
      </c>
      <c r="K597" s="174"/>
      <c r="L597" s="115"/>
      <c r="M597" s="115"/>
      <c r="N597" s="182" t="s">
        <v>1442</v>
      </c>
      <c r="O597" s="185"/>
      <c r="P597" s="176" t="s">
        <v>49</v>
      </c>
      <c r="Q597" s="176"/>
      <c r="R597" s="177"/>
    </row>
    <row r="598" spans="1:18" ht="66" hidden="1" customHeight="1">
      <c r="B598" s="114" t="s">
        <v>156</v>
      </c>
      <c r="C598" s="115"/>
      <c r="D598" s="116" t="s">
        <v>1451</v>
      </c>
      <c r="E598" s="171" t="s">
        <v>46</v>
      </c>
      <c r="F598" s="117"/>
      <c r="G598" s="118"/>
      <c r="H598" s="118"/>
      <c r="I598" s="118"/>
      <c r="J598" s="119">
        <v>45432</v>
      </c>
      <c r="K598" s="120">
        <v>1890018</v>
      </c>
      <c r="L598" s="115"/>
      <c r="M598" s="115"/>
      <c r="N598" s="121" t="s">
        <v>1452</v>
      </c>
      <c r="O598" s="163"/>
      <c r="P598" s="176" t="s">
        <v>49</v>
      </c>
      <c r="Q598" s="53"/>
      <c r="R598" s="54"/>
    </row>
    <row r="599" spans="1:18" s="167" customFormat="1" ht="114.95" hidden="1" customHeight="1">
      <c r="A599" s="1"/>
      <c r="B599" s="114" t="s">
        <v>71</v>
      </c>
      <c r="C599" s="115"/>
      <c r="D599" s="116" t="s">
        <v>1453</v>
      </c>
      <c r="E599" s="117" t="s">
        <v>46</v>
      </c>
      <c r="F599" s="117"/>
      <c r="G599" s="118"/>
      <c r="H599" s="118"/>
      <c r="I599" s="118"/>
      <c r="J599" s="119">
        <v>45432</v>
      </c>
      <c r="K599" s="120">
        <v>1890038</v>
      </c>
      <c r="L599" s="115"/>
      <c r="M599" s="115"/>
      <c r="N599" s="121" t="s">
        <v>1454</v>
      </c>
      <c r="O599" s="184"/>
      <c r="P599" s="122" t="s">
        <v>49</v>
      </c>
      <c r="Q599" s="122"/>
      <c r="R599" s="123"/>
    </row>
    <row r="600" spans="1:18" s="186" customFormat="1" ht="66" hidden="1" customHeight="1">
      <c r="A600" s="1"/>
      <c r="B600" s="114" t="s">
        <v>71</v>
      </c>
      <c r="C600" s="115"/>
      <c r="D600" s="116" t="s">
        <v>1455</v>
      </c>
      <c r="E600" s="117" t="s">
        <v>46</v>
      </c>
      <c r="F600" s="117"/>
      <c r="G600" s="118"/>
      <c r="H600" s="118"/>
      <c r="I600" s="118"/>
      <c r="J600" s="119">
        <v>45432</v>
      </c>
      <c r="K600" s="368">
        <v>1890060</v>
      </c>
      <c r="L600" s="115"/>
      <c r="M600" s="115"/>
      <c r="N600" s="121" t="s">
        <v>1448</v>
      </c>
      <c r="O600" s="184"/>
      <c r="P600" s="122" t="s">
        <v>49</v>
      </c>
      <c r="Q600" s="122"/>
      <c r="R600" s="123"/>
    </row>
    <row r="601" spans="1:18" ht="66" hidden="1" customHeight="1">
      <c r="B601" s="114" t="s">
        <v>58</v>
      </c>
      <c r="C601" s="115"/>
      <c r="D601" s="116" t="s">
        <v>1456</v>
      </c>
      <c r="E601" s="117" t="s">
        <v>46</v>
      </c>
      <c r="F601" s="112"/>
      <c r="G601" s="113"/>
      <c r="H601" s="113"/>
      <c r="I601" s="113"/>
      <c r="J601" s="119">
        <v>45433</v>
      </c>
      <c r="K601" s="365">
        <v>1892914</v>
      </c>
      <c r="L601" s="111"/>
      <c r="M601" s="111"/>
      <c r="N601" s="121" t="s">
        <v>1457</v>
      </c>
      <c r="O601" s="184"/>
      <c r="P601" s="122" t="s">
        <v>49</v>
      </c>
      <c r="Q601" s="122"/>
      <c r="R601" s="123"/>
    </row>
    <row r="602" spans="1:18" s="125" customFormat="1" ht="66" hidden="1" customHeight="1">
      <c r="A602" s="1"/>
      <c r="B602" s="114" t="s">
        <v>67</v>
      </c>
      <c r="C602" s="115"/>
      <c r="D602" s="116" t="s">
        <v>1458</v>
      </c>
      <c r="E602" s="117" t="s">
        <v>46</v>
      </c>
      <c r="F602" s="117"/>
      <c r="G602" s="118"/>
      <c r="H602" s="118"/>
      <c r="I602" s="118"/>
      <c r="J602" s="119">
        <v>45434</v>
      </c>
      <c r="K602" s="372">
        <v>1896766</v>
      </c>
      <c r="L602" s="115"/>
      <c r="M602" s="115"/>
      <c r="N602" s="121" t="s">
        <v>1459</v>
      </c>
      <c r="O602" s="184" t="s">
        <v>1460</v>
      </c>
      <c r="P602" s="122" t="s">
        <v>49</v>
      </c>
      <c r="Q602" s="122"/>
      <c r="R602" s="123"/>
    </row>
    <row r="603" spans="1:18" ht="66" hidden="1" customHeight="1">
      <c r="B603" s="114" t="s">
        <v>174</v>
      </c>
      <c r="C603" s="115"/>
      <c r="D603" s="116" t="s">
        <v>1461</v>
      </c>
      <c r="E603" s="117" t="s">
        <v>46</v>
      </c>
      <c r="F603" s="117"/>
      <c r="G603" s="118"/>
      <c r="H603" s="118"/>
      <c r="I603" s="118"/>
      <c r="J603" s="119">
        <v>45435</v>
      </c>
      <c r="K603" s="120">
        <v>1899093</v>
      </c>
      <c r="L603" s="115"/>
      <c r="M603" s="115"/>
      <c r="N603" s="121" t="s">
        <v>1462</v>
      </c>
      <c r="O603" s="184"/>
      <c r="P603" s="122" t="s">
        <v>49</v>
      </c>
      <c r="Q603" s="122"/>
      <c r="R603" s="123"/>
    </row>
    <row r="604" spans="1:18" ht="66" hidden="1" customHeight="1">
      <c r="B604" s="114" t="s">
        <v>54</v>
      </c>
      <c r="C604" s="115"/>
      <c r="D604" s="116" t="s">
        <v>1463</v>
      </c>
      <c r="E604" s="117" t="s">
        <v>46</v>
      </c>
      <c r="F604" s="117"/>
      <c r="G604" s="118"/>
      <c r="H604" s="118"/>
      <c r="I604" s="118"/>
      <c r="J604" s="119">
        <v>45436</v>
      </c>
      <c r="K604" s="120">
        <v>1901884</v>
      </c>
      <c r="L604" s="115"/>
      <c r="M604" s="115"/>
      <c r="N604" s="121" t="s">
        <v>1464</v>
      </c>
      <c r="O604" s="184"/>
      <c r="P604" s="122" t="s">
        <v>49</v>
      </c>
      <c r="Q604" s="122"/>
      <c r="R604" s="123"/>
    </row>
    <row r="605" spans="1:18" ht="66" hidden="1" customHeight="1">
      <c r="B605" s="114" t="s">
        <v>933</v>
      </c>
      <c r="C605" s="115"/>
      <c r="D605" s="170" t="s">
        <v>1465</v>
      </c>
      <c r="E605" s="171" t="s">
        <v>46</v>
      </c>
      <c r="F605" s="117"/>
      <c r="G605" s="118"/>
      <c r="H605" s="118"/>
      <c r="I605" s="118"/>
      <c r="J605" s="119">
        <v>45439</v>
      </c>
      <c r="K605" s="120">
        <v>1910339</v>
      </c>
      <c r="L605" s="115"/>
      <c r="M605" s="115"/>
      <c r="N605" s="121" t="s">
        <v>1466</v>
      </c>
      <c r="O605" s="163"/>
      <c r="P605" s="176" t="s">
        <v>49</v>
      </c>
      <c r="Q605" s="53"/>
      <c r="R605" s="54"/>
    </row>
    <row r="606" spans="1:18" ht="66" hidden="1" customHeight="1">
      <c r="B606" s="114" t="s">
        <v>163</v>
      </c>
      <c r="C606" s="115"/>
      <c r="D606" s="116" t="s">
        <v>1467</v>
      </c>
      <c r="E606" s="117" t="s">
        <v>46</v>
      </c>
      <c r="F606" s="117"/>
      <c r="G606" s="118"/>
      <c r="H606" s="118"/>
      <c r="I606" s="118"/>
      <c r="J606" s="119">
        <v>45439</v>
      </c>
      <c r="K606" s="120">
        <v>1910362</v>
      </c>
      <c r="L606" s="115"/>
      <c r="M606" s="115"/>
      <c r="N606" s="121" t="s">
        <v>1468</v>
      </c>
      <c r="O606" s="184"/>
      <c r="P606" s="122" t="s">
        <v>49</v>
      </c>
      <c r="Q606" s="122"/>
      <c r="R606" s="123"/>
    </row>
    <row r="607" spans="1:18" ht="66" hidden="1" customHeight="1">
      <c r="B607" s="114" t="s">
        <v>933</v>
      </c>
      <c r="C607" s="115"/>
      <c r="D607" s="170" t="s">
        <v>1469</v>
      </c>
      <c r="E607" s="171" t="s">
        <v>46</v>
      </c>
      <c r="F607" s="117"/>
      <c r="G607" s="118"/>
      <c r="H607" s="118"/>
      <c r="I607" s="118"/>
      <c r="J607" s="119">
        <v>45439</v>
      </c>
      <c r="K607" s="120">
        <v>1910949</v>
      </c>
      <c r="L607" s="115"/>
      <c r="M607" s="115"/>
      <c r="N607" s="121" t="s">
        <v>1466</v>
      </c>
      <c r="O607" s="163"/>
      <c r="P607" s="176" t="s">
        <v>49</v>
      </c>
      <c r="Q607" s="53"/>
      <c r="R607" s="54"/>
    </row>
    <row r="608" spans="1:18" s="125" customFormat="1" ht="65.099999999999994" hidden="1" customHeight="1">
      <c r="A608" s="1"/>
      <c r="B608" s="114" t="s">
        <v>156</v>
      </c>
      <c r="C608" s="115"/>
      <c r="D608" s="170" t="s">
        <v>1470</v>
      </c>
      <c r="E608" s="171" t="s">
        <v>46</v>
      </c>
      <c r="F608" s="117"/>
      <c r="G608" s="118"/>
      <c r="H608" s="118"/>
      <c r="I608" s="118"/>
      <c r="J608" s="119">
        <v>45439</v>
      </c>
      <c r="K608" s="120">
        <v>1910969</v>
      </c>
      <c r="L608" s="115"/>
      <c r="M608" s="115"/>
      <c r="N608" s="121" t="s">
        <v>1466</v>
      </c>
      <c r="O608" s="163"/>
      <c r="P608" s="176" t="s">
        <v>49</v>
      </c>
      <c r="Q608" s="53"/>
      <c r="R608" s="54"/>
    </row>
    <row r="609" spans="1:18" s="167" customFormat="1" ht="66" hidden="1" customHeight="1">
      <c r="A609" s="1"/>
      <c r="B609" s="114" t="s">
        <v>91</v>
      </c>
      <c r="C609" s="115"/>
      <c r="D609" s="116" t="s">
        <v>1471</v>
      </c>
      <c r="E609" s="117" t="s">
        <v>46</v>
      </c>
      <c r="F609" s="117"/>
      <c r="G609" s="118"/>
      <c r="H609" s="118"/>
      <c r="I609" s="118"/>
      <c r="J609" s="119">
        <v>45439</v>
      </c>
      <c r="K609" s="120">
        <v>1911010</v>
      </c>
      <c r="L609" s="115"/>
      <c r="M609" s="115"/>
      <c r="N609" s="121" t="s">
        <v>1472</v>
      </c>
      <c r="O609" s="184"/>
      <c r="P609" s="122" t="s">
        <v>49</v>
      </c>
      <c r="Q609" s="122"/>
      <c r="R609" s="123"/>
    </row>
    <row r="610" spans="1:18" ht="66" hidden="1" customHeight="1">
      <c r="B610" s="114" t="s">
        <v>156</v>
      </c>
      <c r="C610" s="115"/>
      <c r="D610" s="116" t="s">
        <v>1473</v>
      </c>
      <c r="E610" s="117" t="s">
        <v>46</v>
      </c>
      <c r="F610" s="117"/>
      <c r="G610" s="118"/>
      <c r="H610" s="118"/>
      <c r="I610" s="118"/>
      <c r="J610" s="119">
        <v>45439</v>
      </c>
      <c r="K610" s="120">
        <v>1911036</v>
      </c>
      <c r="L610" s="115"/>
      <c r="M610" s="115"/>
      <c r="N610" s="121" t="s">
        <v>1474</v>
      </c>
      <c r="O610" s="184"/>
      <c r="P610" s="122" t="s">
        <v>49</v>
      </c>
      <c r="Q610" s="122"/>
      <c r="R610" s="123"/>
    </row>
    <row r="611" spans="1:18" ht="66" hidden="1" customHeight="1">
      <c r="B611" s="114" t="s">
        <v>170</v>
      </c>
      <c r="C611" s="115"/>
      <c r="D611" s="170" t="s">
        <v>1475</v>
      </c>
      <c r="E611" s="171" t="s">
        <v>46</v>
      </c>
      <c r="F611" s="117"/>
      <c r="G611" s="118"/>
      <c r="H611" s="118"/>
      <c r="I611" s="118"/>
      <c r="J611" s="119">
        <v>45440</v>
      </c>
      <c r="K611" s="120">
        <v>1914004</v>
      </c>
      <c r="L611" s="115"/>
      <c r="M611" s="115"/>
      <c r="N611" s="121" t="s">
        <v>1466</v>
      </c>
      <c r="O611" s="163"/>
      <c r="P611" s="176" t="s">
        <v>49</v>
      </c>
      <c r="Q611" s="53"/>
      <c r="R611" s="54"/>
    </row>
    <row r="612" spans="1:18" ht="66" hidden="1" customHeight="1">
      <c r="B612" s="114" t="s">
        <v>170</v>
      </c>
      <c r="C612" s="115"/>
      <c r="D612" s="170" t="s">
        <v>1476</v>
      </c>
      <c r="E612" s="171" t="s">
        <v>46</v>
      </c>
      <c r="F612" s="117"/>
      <c r="G612" s="118"/>
      <c r="H612" s="118"/>
      <c r="I612" s="118"/>
      <c r="J612" s="119">
        <v>45440</v>
      </c>
      <c r="K612" s="120"/>
      <c r="L612" s="115"/>
      <c r="M612" s="115"/>
      <c r="N612" s="121" t="s">
        <v>1474</v>
      </c>
      <c r="O612" s="163"/>
      <c r="P612" s="176" t="s">
        <v>49</v>
      </c>
      <c r="Q612" s="53"/>
      <c r="R612" s="54"/>
    </row>
    <row r="613" spans="1:18" ht="66" hidden="1" customHeight="1">
      <c r="B613" s="114" t="s">
        <v>163</v>
      </c>
      <c r="C613" s="115"/>
      <c r="D613" s="116" t="s">
        <v>1477</v>
      </c>
      <c r="E613" s="117" t="s">
        <v>46</v>
      </c>
      <c r="F613" s="117"/>
      <c r="G613" s="118"/>
      <c r="H613" s="118"/>
      <c r="I613" s="118"/>
      <c r="J613" s="119">
        <v>45442</v>
      </c>
      <c r="K613" s="120">
        <v>1919276</v>
      </c>
      <c r="L613" s="115"/>
      <c r="M613" s="115"/>
      <c r="N613" s="121" t="s">
        <v>1478</v>
      </c>
      <c r="O613" s="184"/>
      <c r="P613" s="122" t="s">
        <v>49</v>
      </c>
      <c r="Q613" s="122"/>
      <c r="R613" s="123"/>
    </row>
    <row r="614" spans="1:18" s="167" customFormat="1" ht="66" hidden="1" customHeight="1">
      <c r="A614" s="1"/>
      <c r="B614" s="114" t="s">
        <v>163</v>
      </c>
      <c r="C614" s="115"/>
      <c r="D614" s="116" t="s">
        <v>1479</v>
      </c>
      <c r="E614" s="117" t="s">
        <v>46</v>
      </c>
      <c r="F614" s="117"/>
      <c r="G614" s="118"/>
      <c r="H614" s="118"/>
      <c r="I614" s="118"/>
      <c r="J614" s="119">
        <v>45442</v>
      </c>
      <c r="K614" s="120">
        <v>1919655</v>
      </c>
      <c r="L614" s="115"/>
      <c r="M614" s="115"/>
      <c r="N614" s="121" t="s">
        <v>1478</v>
      </c>
      <c r="O614" s="184"/>
      <c r="P614" s="122" t="s">
        <v>49</v>
      </c>
      <c r="Q614" s="122"/>
      <c r="R614" s="123"/>
    </row>
    <row r="615" spans="1:18" ht="66" hidden="1" customHeight="1">
      <c r="B615" s="114" t="s">
        <v>1480</v>
      </c>
      <c r="C615" s="115"/>
      <c r="D615" s="170" t="s">
        <v>1481</v>
      </c>
      <c r="E615" s="171" t="s">
        <v>46</v>
      </c>
      <c r="F615" s="117"/>
      <c r="G615" s="118"/>
      <c r="H615" s="118"/>
      <c r="I615" s="118"/>
      <c r="J615" s="119">
        <v>45442</v>
      </c>
      <c r="K615" s="120">
        <v>1919685</v>
      </c>
      <c r="L615" s="115"/>
      <c r="M615" s="115"/>
      <c r="N615" s="121" t="s">
        <v>1482</v>
      </c>
      <c r="O615" s="163"/>
      <c r="P615" s="176" t="s">
        <v>49</v>
      </c>
      <c r="Q615" s="53"/>
      <c r="R615" s="54"/>
    </row>
    <row r="616" spans="1:18" ht="66" hidden="1" customHeight="1">
      <c r="B616" s="114" t="s">
        <v>138</v>
      </c>
      <c r="C616" s="115"/>
      <c r="D616" s="116" t="s">
        <v>1483</v>
      </c>
      <c r="E616" s="117" t="s">
        <v>46</v>
      </c>
      <c r="F616" s="117"/>
      <c r="G616" s="118"/>
      <c r="H616" s="118"/>
      <c r="I616" s="118"/>
      <c r="J616" s="119">
        <v>45442</v>
      </c>
      <c r="K616" s="120">
        <v>1920010</v>
      </c>
      <c r="L616" s="115"/>
      <c r="M616" s="115"/>
      <c r="N616" s="121" t="s">
        <v>1484</v>
      </c>
      <c r="O616" s="184"/>
      <c r="P616" s="122" t="s">
        <v>49</v>
      </c>
      <c r="Q616" s="122"/>
      <c r="R616" s="123"/>
    </row>
    <row r="617" spans="1:18" s="186" customFormat="1" ht="66" hidden="1" customHeight="1">
      <c r="A617" s="1"/>
      <c r="B617" s="114" t="s">
        <v>174</v>
      </c>
      <c r="C617" s="115"/>
      <c r="D617" s="170" t="s">
        <v>1485</v>
      </c>
      <c r="E617" s="171" t="s">
        <v>46</v>
      </c>
      <c r="F617" s="117"/>
      <c r="G617" s="118"/>
      <c r="H617" s="118"/>
      <c r="I617" s="118"/>
      <c r="J617" s="119">
        <v>45443</v>
      </c>
      <c r="K617" s="120">
        <v>1922380</v>
      </c>
      <c r="L617" s="115"/>
      <c r="M617" s="115"/>
      <c r="N617" s="121" t="s">
        <v>1466</v>
      </c>
      <c r="O617" s="163"/>
      <c r="P617" s="176" t="s">
        <v>49</v>
      </c>
      <c r="Q617" s="53"/>
      <c r="R617" s="54"/>
    </row>
    <row r="618" spans="1:18" ht="32.1" hidden="1">
      <c r="B618" s="114" t="s">
        <v>79</v>
      </c>
      <c r="C618" s="115"/>
      <c r="D618" s="170" t="s">
        <v>1486</v>
      </c>
      <c r="E618" s="171" t="s">
        <v>46</v>
      </c>
      <c r="F618" s="117"/>
      <c r="G618" s="118"/>
      <c r="H618" s="118"/>
      <c r="I618" s="118"/>
      <c r="J618" s="119">
        <v>45446</v>
      </c>
      <c r="K618" s="120">
        <v>1931143</v>
      </c>
      <c r="L618" s="115"/>
      <c r="M618" s="115"/>
      <c r="N618" s="121" t="s">
        <v>1466</v>
      </c>
      <c r="O618" s="163"/>
      <c r="P618" s="176" t="s">
        <v>49</v>
      </c>
      <c r="Q618" s="53"/>
      <c r="R618" s="54"/>
    </row>
    <row r="619" spans="1:18" ht="32.1" hidden="1">
      <c r="B619" s="114" t="s">
        <v>54</v>
      </c>
      <c r="C619" s="115"/>
      <c r="D619" s="170" t="s">
        <v>1487</v>
      </c>
      <c r="E619" s="171" t="s">
        <v>46</v>
      </c>
      <c r="F619" s="117"/>
      <c r="G619" s="118"/>
      <c r="H619" s="118"/>
      <c r="I619" s="118"/>
      <c r="J619" s="119">
        <v>45448</v>
      </c>
      <c r="K619" s="120">
        <v>1937961</v>
      </c>
      <c r="L619" s="115"/>
      <c r="M619" s="115"/>
      <c r="N619" s="121" t="s">
        <v>1488</v>
      </c>
      <c r="O619" s="163"/>
      <c r="P619" s="176" t="s">
        <v>49</v>
      </c>
      <c r="Q619" s="53"/>
      <c r="R619" s="54"/>
    </row>
    <row r="620" spans="1:18" ht="63.95" hidden="1">
      <c r="B620" s="114" t="s">
        <v>75</v>
      </c>
      <c r="C620" s="115"/>
      <c r="D620" s="116" t="s">
        <v>1489</v>
      </c>
      <c r="E620" s="117" t="s">
        <v>46</v>
      </c>
      <c r="F620" s="117"/>
      <c r="G620" s="118"/>
      <c r="H620" s="118"/>
      <c r="I620" s="118"/>
      <c r="J620" s="119">
        <v>45449</v>
      </c>
      <c r="K620" s="120">
        <v>1940816</v>
      </c>
      <c r="L620" s="115"/>
      <c r="M620" s="115"/>
      <c r="N620" s="121" t="s">
        <v>1490</v>
      </c>
      <c r="O620" s="184"/>
      <c r="P620" s="122" t="s">
        <v>49</v>
      </c>
      <c r="Q620" s="122"/>
      <c r="R620" s="123"/>
    </row>
    <row r="621" spans="1:18" ht="32.1" hidden="1">
      <c r="B621" s="114" t="s">
        <v>133</v>
      </c>
      <c r="C621" s="115"/>
      <c r="D621" s="116" t="s">
        <v>1491</v>
      </c>
      <c r="E621" s="117" t="s">
        <v>46</v>
      </c>
      <c r="F621" s="117"/>
      <c r="G621" s="118"/>
      <c r="H621" s="118"/>
      <c r="I621" s="118"/>
      <c r="J621" s="119">
        <v>45449</v>
      </c>
      <c r="K621" s="120">
        <v>1941080</v>
      </c>
      <c r="L621" s="115"/>
      <c r="M621" s="115"/>
      <c r="N621" s="121" t="s">
        <v>1492</v>
      </c>
      <c r="O621" s="184"/>
      <c r="P621" s="122" t="s">
        <v>49</v>
      </c>
      <c r="Q621" s="122"/>
      <c r="R621" s="123"/>
    </row>
    <row r="622" spans="1:18" ht="63.95" hidden="1">
      <c r="B622" s="114" t="s">
        <v>54</v>
      </c>
      <c r="C622" s="115"/>
      <c r="D622" s="116" t="s">
        <v>1493</v>
      </c>
      <c r="E622" s="117" t="s">
        <v>46</v>
      </c>
      <c r="F622" s="117"/>
      <c r="G622" s="118"/>
      <c r="H622" s="118"/>
      <c r="I622" s="118"/>
      <c r="J622" s="119">
        <v>45450</v>
      </c>
      <c r="K622" s="120">
        <v>1944534</v>
      </c>
      <c r="L622" s="115"/>
      <c r="M622" s="115"/>
      <c r="N622" s="121" t="s">
        <v>1494</v>
      </c>
      <c r="O622" s="184"/>
      <c r="P622" s="122" t="s">
        <v>49</v>
      </c>
      <c r="Q622" s="122"/>
      <c r="R622" s="123"/>
    </row>
    <row r="623" spans="1:18" ht="32.1" hidden="1">
      <c r="B623" s="114" t="s">
        <v>54</v>
      </c>
      <c r="C623" s="115"/>
      <c r="D623" s="116" t="s">
        <v>1495</v>
      </c>
      <c r="E623" s="117" t="s">
        <v>46</v>
      </c>
      <c r="F623" s="117"/>
      <c r="G623" s="118"/>
      <c r="H623" s="118"/>
      <c r="I623" s="118"/>
      <c r="J623" s="119">
        <v>45450</v>
      </c>
      <c r="K623" s="120">
        <v>1944955</v>
      </c>
      <c r="L623" s="115"/>
      <c r="M623" s="115"/>
      <c r="N623" s="121" t="s">
        <v>1496</v>
      </c>
      <c r="O623" s="184"/>
      <c r="P623" s="122" t="s">
        <v>49</v>
      </c>
      <c r="Q623" s="122"/>
      <c r="R623" s="123"/>
    </row>
    <row r="624" spans="1:18" ht="48" hidden="1">
      <c r="B624" s="114" t="s">
        <v>163</v>
      </c>
      <c r="C624" s="115"/>
      <c r="D624" s="116" t="s">
        <v>1497</v>
      </c>
      <c r="E624" s="117" t="s">
        <v>46</v>
      </c>
      <c r="F624" s="117"/>
      <c r="G624" s="118"/>
      <c r="H624" s="118"/>
      <c r="I624" s="118"/>
      <c r="J624" s="119">
        <v>45453</v>
      </c>
      <c r="K624" s="120">
        <v>1953888</v>
      </c>
      <c r="L624" s="115"/>
      <c r="M624" s="115"/>
      <c r="N624" s="121" t="s">
        <v>1498</v>
      </c>
      <c r="O624" s="184"/>
      <c r="P624" s="122" t="s">
        <v>49</v>
      </c>
      <c r="Q624" s="122"/>
      <c r="R624" s="123"/>
    </row>
    <row r="625" spans="2:18" ht="46.5" hidden="1">
      <c r="B625" s="114" t="s">
        <v>133</v>
      </c>
      <c r="C625" s="115"/>
      <c r="D625" s="116" t="s">
        <v>1499</v>
      </c>
      <c r="E625" s="117" t="s">
        <v>46</v>
      </c>
      <c r="F625" s="117"/>
      <c r="G625" s="118"/>
      <c r="H625" s="118"/>
      <c r="I625" s="118"/>
      <c r="J625" s="119">
        <v>45455</v>
      </c>
      <c r="K625" s="120">
        <v>1960654</v>
      </c>
      <c r="L625" s="115"/>
      <c r="M625" s="115"/>
      <c r="N625" s="121" t="s">
        <v>1500</v>
      </c>
      <c r="O625" s="184"/>
      <c r="P625" s="122" t="s">
        <v>49</v>
      </c>
      <c r="Q625" s="122"/>
      <c r="R625" s="123"/>
    </row>
    <row r="626" spans="2:18" ht="48" hidden="1">
      <c r="B626" s="114" t="s">
        <v>214</v>
      </c>
      <c r="C626" s="115"/>
      <c r="D626" s="116" t="s">
        <v>1501</v>
      </c>
      <c r="E626" s="117" t="s">
        <v>46</v>
      </c>
      <c r="F626" s="117"/>
      <c r="G626" s="118"/>
      <c r="H626" s="118"/>
      <c r="I626" s="118"/>
      <c r="J626" s="119">
        <v>45456</v>
      </c>
      <c r="K626" s="120">
        <v>1964901</v>
      </c>
      <c r="L626" s="115"/>
      <c r="M626" s="115"/>
      <c r="N626" s="121" t="s">
        <v>1502</v>
      </c>
      <c r="O626" s="184"/>
      <c r="P626" s="122" t="s">
        <v>49</v>
      </c>
      <c r="Q626" s="122"/>
      <c r="R626" s="123"/>
    </row>
    <row r="627" spans="2:18" ht="48" hidden="1">
      <c r="B627" s="114" t="s">
        <v>1503</v>
      </c>
      <c r="C627" s="115"/>
      <c r="D627" s="116" t="s">
        <v>1504</v>
      </c>
      <c r="E627" s="117" t="s">
        <v>46</v>
      </c>
      <c r="F627" s="117"/>
      <c r="G627" s="118"/>
      <c r="H627" s="118"/>
      <c r="I627" s="118"/>
      <c r="J627" s="119">
        <v>45457</v>
      </c>
      <c r="K627" s="120">
        <v>1966916</v>
      </c>
      <c r="L627" s="115"/>
      <c r="M627" s="115"/>
      <c r="N627" s="121" t="s">
        <v>1505</v>
      </c>
      <c r="O627" s="184"/>
      <c r="P627" s="122" t="s">
        <v>49</v>
      </c>
      <c r="Q627" s="122"/>
      <c r="R627" s="123"/>
    </row>
    <row r="628" spans="2:18" ht="48" hidden="1">
      <c r="B628" s="114" t="s">
        <v>1503</v>
      </c>
      <c r="C628" s="115"/>
      <c r="D628" s="116" t="s">
        <v>1506</v>
      </c>
      <c r="E628" s="117" t="s">
        <v>46</v>
      </c>
      <c r="F628" s="112"/>
      <c r="G628" s="113"/>
      <c r="H628" s="113"/>
      <c r="I628" s="113"/>
      <c r="J628" s="119">
        <v>45457</v>
      </c>
      <c r="K628" s="120">
        <v>1966940</v>
      </c>
      <c r="L628" s="111"/>
      <c r="M628" s="111"/>
      <c r="N628" s="121" t="s">
        <v>1505</v>
      </c>
      <c r="O628" s="184"/>
      <c r="P628" s="122" t="s">
        <v>49</v>
      </c>
      <c r="Q628" s="122"/>
      <c r="R628" s="123"/>
    </row>
    <row r="629" spans="2:18" ht="48" hidden="1">
      <c r="B629" s="114" t="s">
        <v>1503</v>
      </c>
      <c r="C629" s="115"/>
      <c r="D629" s="116" t="s">
        <v>1507</v>
      </c>
      <c r="E629" s="117" t="s">
        <v>46</v>
      </c>
      <c r="F629" s="112"/>
      <c r="G629" s="113"/>
      <c r="H629" s="113"/>
      <c r="I629" s="113"/>
      <c r="J629" s="119">
        <v>45457</v>
      </c>
      <c r="K629" s="120">
        <v>1967345</v>
      </c>
      <c r="L629" s="111"/>
      <c r="M629" s="111"/>
      <c r="N629" s="121" t="s">
        <v>1505</v>
      </c>
      <c r="O629" s="184"/>
      <c r="P629" s="122" t="s">
        <v>49</v>
      </c>
      <c r="Q629" s="122"/>
      <c r="R629" s="123"/>
    </row>
    <row r="630" spans="2:18" ht="48" hidden="1">
      <c r="B630" s="114" t="s">
        <v>214</v>
      </c>
      <c r="C630" s="115"/>
      <c r="D630" s="116" t="s">
        <v>1508</v>
      </c>
      <c r="E630" s="117" t="s">
        <v>46</v>
      </c>
      <c r="F630" s="117"/>
      <c r="G630" s="118"/>
      <c r="H630" s="118"/>
      <c r="I630" s="118"/>
      <c r="J630" s="119">
        <v>45460</v>
      </c>
      <c r="K630" s="120">
        <v>1976661</v>
      </c>
      <c r="L630" s="115"/>
      <c r="M630" s="115"/>
      <c r="N630" s="121" t="s">
        <v>1509</v>
      </c>
      <c r="O630" s="184"/>
      <c r="P630" s="122" t="s">
        <v>49</v>
      </c>
      <c r="Q630" s="122"/>
      <c r="R630" s="123"/>
    </row>
    <row r="631" spans="2:18" ht="32.1" hidden="1">
      <c r="B631" s="114" t="s">
        <v>174</v>
      </c>
      <c r="C631" s="115"/>
      <c r="D631" s="170" t="s">
        <v>1510</v>
      </c>
      <c r="E631" s="171" t="s">
        <v>46</v>
      </c>
      <c r="F631" s="117"/>
      <c r="G631" s="118"/>
      <c r="H631" s="118"/>
      <c r="I631" s="118"/>
      <c r="J631" s="119">
        <v>45462</v>
      </c>
      <c r="K631" s="120">
        <v>1983278</v>
      </c>
      <c r="L631" s="115"/>
      <c r="M631" s="115"/>
      <c r="N631" s="121" t="s">
        <v>1511</v>
      </c>
      <c r="O631" s="163"/>
      <c r="P631" s="176" t="s">
        <v>49</v>
      </c>
      <c r="Q631" s="53"/>
      <c r="R631" s="54"/>
    </row>
    <row r="632" spans="2:18" ht="32.1" hidden="1">
      <c r="B632" s="114" t="s">
        <v>163</v>
      </c>
      <c r="C632" s="115"/>
      <c r="D632" s="116" t="s">
        <v>1512</v>
      </c>
      <c r="E632" s="117" t="s">
        <v>46</v>
      </c>
      <c r="F632" s="117"/>
      <c r="G632" s="118"/>
      <c r="H632" s="118"/>
      <c r="I632" s="118"/>
      <c r="J632" s="119">
        <v>45462</v>
      </c>
      <c r="K632" s="120">
        <v>1983301</v>
      </c>
      <c r="L632" s="115"/>
      <c r="M632" s="115"/>
      <c r="N632" s="121" t="s">
        <v>1513</v>
      </c>
      <c r="O632" s="184"/>
      <c r="P632" s="122" t="s">
        <v>49</v>
      </c>
      <c r="Q632" s="122"/>
      <c r="R632" s="123"/>
    </row>
    <row r="633" spans="2:18" ht="48" hidden="1">
      <c r="B633" s="114" t="s">
        <v>54</v>
      </c>
      <c r="C633" s="115"/>
      <c r="D633" s="170" t="s">
        <v>1514</v>
      </c>
      <c r="E633" s="171" t="s">
        <v>46</v>
      </c>
      <c r="F633" s="117"/>
      <c r="G633" s="118"/>
      <c r="H633" s="118"/>
      <c r="I633" s="118"/>
      <c r="J633" s="119">
        <v>45463</v>
      </c>
      <c r="K633" s="120">
        <v>1986742</v>
      </c>
      <c r="L633" s="115"/>
      <c r="M633" s="115"/>
      <c r="N633" s="121" t="s">
        <v>1515</v>
      </c>
      <c r="O633" s="163"/>
      <c r="P633" s="176" t="s">
        <v>49</v>
      </c>
      <c r="Q633" s="53"/>
      <c r="R633" s="54"/>
    </row>
    <row r="634" spans="2:18" ht="32.1" hidden="1">
      <c r="B634" s="114" t="s">
        <v>71</v>
      </c>
      <c r="C634" s="115"/>
      <c r="D634" s="170" t="s">
        <v>1516</v>
      </c>
      <c r="E634" s="171" t="s">
        <v>46</v>
      </c>
      <c r="F634" s="117"/>
      <c r="G634" s="118"/>
      <c r="H634" s="118"/>
      <c r="I634" s="118"/>
      <c r="J634" s="119">
        <v>45463</v>
      </c>
      <c r="K634" s="120">
        <v>1986961</v>
      </c>
      <c r="L634" s="115"/>
      <c r="M634" s="115"/>
      <c r="N634" s="121" t="s">
        <v>1511</v>
      </c>
      <c r="O634" s="163"/>
      <c r="P634" s="176" t="s">
        <v>49</v>
      </c>
      <c r="Q634" s="53"/>
      <c r="R634" s="54"/>
    </row>
    <row r="635" spans="2:18" ht="32.1" hidden="1">
      <c r="B635" s="114" t="s">
        <v>138</v>
      </c>
      <c r="C635" s="115"/>
      <c r="D635" s="116" t="s">
        <v>1517</v>
      </c>
      <c r="E635" s="117" t="s">
        <v>46</v>
      </c>
      <c r="F635" s="117"/>
      <c r="G635" s="118"/>
      <c r="H635" s="118"/>
      <c r="I635" s="118"/>
      <c r="J635" s="119">
        <v>45464</v>
      </c>
      <c r="K635" s="120">
        <v>1990101</v>
      </c>
      <c r="L635" s="115"/>
      <c r="M635" s="115"/>
      <c r="N635" s="121" t="s">
        <v>1509</v>
      </c>
      <c r="O635" s="184"/>
      <c r="P635" s="122" t="s">
        <v>49</v>
      </c>
      <c r="Q635" s="122"/>
      <c r="R635" s="123"/>
    </row>
    <row r="636" spans="2:18" ht="32.1" hidden="1">
      <c r="B636" s="114" t="s">
        <v>222</v>
      </c>
      <c r="C636" s="115"/>
      <c r="D636" s="170" t="s">
        <v>1518</v>
      </c>
      <c r="E636" s="171" t="s">
        <v>46</v>
      </c>
      <c r="F636" s="117"/>
      <c r="G636" s="118"/>
      <c r="H636" s="118"/>
      <c r="I636" s="118"/>
      <c r="J636" s="119">
        <v>45467</v>
      </c>
      <c r="K636" s="120">
        <v>1996556</v>
      </c>
      <c r="L636" s="115"/>
      <c r="M636" s="115"/>
      <c r="N636" s="121" t="s">
        <v>1509</v>
      </c>
      <c r="O636" s="163"/>
      <c r="P636" s="176" t="s">
        <v>49</v>
      </c>
      <c r="Q636" s="53"/>
      <c r="R636" s="54"/>
    </row>
    <row r="637" spans="2:18" ht="32.1" hidden="1">
      <c r="B637" s="114" t="s">
        <v>610</v>
      </c>
      <c r="C637" s="115"/>
      <c r="D637" s="116" t="s">
        <v>1519</v>
      </c>
      <c r="E637" s="117" t="s">
        <v>46</v>
      </c>
      <c r="F637" s="117"/>
      <c r="G637" s="118"/>
      <c r="H637" s="118"/>
      <c r="I637" s="118"/>
      <c r="J637" s="119">
        <v>45468</v>
      </c>
      <c r="K637" s="120">
        <v>2000173</v>
      </c>
      <c r="L637" s="115"/>
      <c r="M637" s="115"/>
      <c r="N637" s="121" t="s">
        <v>1509</v>
      </c>
      <c r="O637" s="184"/>
      <c r="P637" s="122" t="s">
        <v>49</v>
      </c>
      <c r="Q637" s="122"/>
      <c r="R637" s="123"/>
    </row>
    <row r="638" spans="2:18" ht="48" hidden="1">
      <c r="B638" s="114" t="s">
        <v>1520</v>
      </c>
      <c r="C638" s="115"/>
      <c r="D638" s="116" t="s">
        <v>1521</v>
      </c>
      <c r="E638" s="117" t="s">
        <v>46</v>
      </c>
      <c r="F638" s="117"/>
      <c r="G638" s="118"/>
      <c r="H638" s="118"/>
      <c r="I638" s="118"/>
      <c r="J638" s="119">
        <v>45471</v>
      </c>
      <c r="K638" s="120">
        <v>2009129</v>
      </c>
      <c r="L638" s="115"/>
      <c r="M638" s="115"/>
      <c r="N638" s="121" t="s">
        <v>1522</v>
      </c>
      <c r="O638" s="184"/>
      <c r="P638" s="122" t="s">
        <v>49</v>
      </c>
      <c r="Q638" s="122"/>
      <c r="R638" s="123"/>
    </row>
    <row r="639" spans="2:18" ht="32.1" hidden="1">
      <c r="B639" s="114" t="s">
        <v>1520</v>
      </c>
      <c r="C639" s="115"/>
      <c r="D639" s="170" t="s">
        <v>1523</v>
      </c>
      <c r="E639" s="171" t="s">
        <v>46</v>
      </c>
      <c r="F639" s="117"/>
      <c r="G639" s="118"/>
      <c r="H639" s="118"/>
      <c r="I639" s="118"/>
      <c r="J639" s="119">
        <v>45471</v>
      </c>
      <c r="K639" s="120">
        <v>2009154</v>
      </c>
      <c r="L639" s="115"/>
      <c r="M639" s="115"/>
      <c r="N639" s="121" t="s">
        <v>1524</v>
      </c>
      <c r="O639" s="163"/>
      <c r="P639" s="176" t="s">
        <v>49</v>
      </c>
      <c r="Q639" s="53"/>
      <c r="R639" s="54"/>
    </row>
    <row r="640" spans="2:18" ht="63.95" hidden="1">
      <c r="B640" s="114" t="s">
        <v>99</v>
      </c>
      <c r="C640" s="115"/>
      <c r="D640" s="170" t="s">
        <v>1525</v>
      </c>
      <c r="E640" s="171" t="s">
        <v>46</v>
      </c>
      <c r="F640" s="117"/>
      <c r="G640" s="118"/>
      <c r="H640" s="118"/>
      <c r="I640" s="118"/>
      <c r="J640" s="119">
        <v>45471</v>
      </c>
      <c r="K640" s="120">
        <v>2009566</v>
      </c>
      <c r="L640" s="115"/>
      <c r="M640" s="115"/>
      <c r="N640" s="121" t="s">
        <v>1524</v>
      </c>
      <c r="O640" s="163"/>
      <c r="P640" s="176" t="s">
        <v>49</v>
      </c>
      <c r="Q640" s="53"/>
      <c r="R640" s="54"/>
    </row>
    <row r="641" spans="2:18" ht="32.1" hidden="1">
      <c r="B641" s="114" t="s">
        <v>54</v>
      </c>
      <c r="C641" s="115"/>
      <c r="D641" s="170" t="s">
        <v>1526</v>
      </c>
      <c r="E641" s="171" t="s">
        <v>46</v>
      </c>
      <c r="F641" s="117"/>
      <c r="G641" s="118"/>
      <c r="H641" s="118"/>
      <c r="I641" s="118"/>
      <c r="J641" s="119">
        <v>45475</v>
      </c>
      <c r="K641" s="120">
        <v>2022179</v>
      </c>
      <c r="L641" s="115"/>
      <c r="M641" s="115"/>
      <c r="N641" s="121" t="s">
        <v>1524</v>
      </c>
      <c r="O641" s="163"/>
      <c r="P641" s="176" t="s">
        <v>49</v>
      </c>
      <c r="Q641" s="53"/>
      <c r="R641" s="54"/>
    </row>
    <row r="642" spans="2:18" ht="32.1" hidden="1">
      <c r="B642" s="114" t="s">
        <v>138</v>
      </c>
      <c r="C642" s="115"/>
      <c r="D642" s="170" t="s">
        <v>1527</v>
      </c>
      <c r="E642" s="171" t="s">
        <v>46</v>
      </c>
      <c r="F642" s="117"/>
      <c r="G642" s="118"/>
      <c r="H642" s="118"/>
      <c r="I642" s="118"/>
      <c r="J642" s="119">
        <v>45476</v>
      </c>
      <c r="K642" s="120">
        <v>2026249</v>
      </c>
      <c r="L642" s="115"/>
      <c r="M642" s="115"/>
      <c r="N642" s="121" t="s">
        <v>1528</v>
      </c>
      <c r="O642" s="163" t="s">
        <v>1529</v>
      </c>
      <c r="P642" s="176" t="s">
        <v>49</v>
      </c>
      <c r="Q642" s="53"/>
      <c r="R642" s="54"/>
    </row>
    <row r="643" spans="2:18" ht="111.95" hidden="1">
      <c r="B643" s="114" t="s">
        <v>99</v>
      </c>
      <c r="C643" s="115"/>
      <c r="D643" s="170" t="s">
        <v>1530</v>
      </c>
      <c r="E643" s="171" t="s">
        <v>46</v>
      </c>
      <c r="F643" s="117"/>
      <c r="G643" s="118"/>
      <c r="H643" s="118"/>
      <c r="I643" s="118"/>
      <c r="J643" s="119">
        <v>45477</v>
      </c>
      <c r="K643" s="120">
        <v>2028755</v>
      </c>
      <c r="L643" s="115"/>
      <c r="M643" s="115"/>
      <c r="N643" s="121" t="s">
        <v>1531</v>
      </c>
      <c r="O643" s="163"/>
      <c r="P643" s="176" t="s">
        <v>49</v>
      </c>
      <c r="Q643" s="53"/>
      <c r="R643" s="54"/>
    </row>
    <row r="644" spans="2:18" ht="32.1" hidden="1">
      <c r="B644" s="114" t="s">
        <v>138</v>
      </c>
      <c r="C644" s="115"/>
      <c r="D644" s="116" t="s">
        <v>1532</v>
      </c>
      <c r="E644" s="117" t="s">
        <v>46</v>
      </c>
      <c r="F644" s="117"/>
      <c r="G644" s="118"/>
      <c r="H644" s="118"/>
      <c r="I644" s="118"/>
      <c r="J644" s="119">
        <v>45478</v>
      </c>
      <c r="K644" s="120">
        <v>2032287</v>
      </c>
      <c r="L644" s="115"/>
      <c r="M644" s="115"/>
      <c r="N644" s="121" t="s">
        <v>1533</v>
      </c>
      <c r="O644" s="184"/>
      <c r="P644" s="122" t="s">
        <v>49</v>
      </c>
      <c r="Q644" s="122"/>
      <c r="R644" s="123"/>
    </row>
    <row r="645" spans="2:18" ht="63.95" hidden="1">
      <c r="B645" s="114" t="s">
        <v>75</v>
      </c>
      <c r="C645" s="115"/>
      <c r="D645" s="170" t="s">
        <v>1534</v>
      </c>
      <c r="E645" s="171" t="s">
        <v>46</v>
      </c>
      <c r="F645" s="117"/>
      <c r="G645" s="118"/>
      <c r="H645" s="118"/>
      <c r="I645" s="118"/>
      <c r="J645" s="119">
        <v>45478</v>
      </c>
      <c r="K645" s="120">
        <v>2032351</v>
      </c>
      <c r="L645" s="115"/>
      <c r="M645" s="115"/>
      <c r="N645" s="121" t="s">
        <v>1535</v>
      </c>
      <c r="O645" s="163"/>
      <c r="P645" s="176" t="s">
        <v>49</v>
      </c>
      <c r="Q645" s="53"/>
      <c r="R645" s="54"/>
    </row>
    <row r="646" spans="2:18" ht="144" hidden="1">
      <c r="B646" s="114" t="s">
        <v>174</v>
      </c>
      <c r="C646" s="115"/>
      <c r="D646" s="170" t="s">
        <v>1536</v>
      </c>
      <c r="E646" s="171" t="s">
        <v>46</v>
      </c>
      <c r="F646" s="117"/>
      <c r="G646" s="118"/>
      <c r="H646" s="118"/>
      <c r="I646" s="118"/>
      <c r="J646" s="119">
        <v>45478</v>
      </c>
      <c r="K646" s="120">
        <v>2032735</v>
      </c>
      <c r="L646" s="115"/>
      <c r="M646" s="115"/>
      <c r="N646" s="121" t="s">
        <v>1537</v>
      </c>
      <c r="O646" s="163" t="s">
        <v>1384</v>
      </c>
      <c r="P646" s="176" t="s">
        <v>49</v>
      </c>
      <c r="Q646" s="53"/>
      <c r="R646" s="54"/>
    </row>
    <row r="647" spans="2:18" ht="32.1" hidden="1">
      <c r="B647" s="114" t="s">
        <v>170</v>
      </c>
      <c r="C647" s="115"/>
      <c r="D647" s="116" t="s">
        <v>1538</v>
      </c>
      <c r="E647" s="117" t="s">
        <v>46</v>
      </c>
      <c r="F647" s="117"/>
      <c r="G647" s="118"/>
      <c r="H647" s="118"/>
      <c r="I647" s="118"/>
      <c r="J647" s="119">
        <v>45482</v>
      </c>
      <c r="K647" s="120">
        <v>2044833</v>
      </c>
      <c r="L647" s="115"/>
      <c r="M647" s="115"/>
      <c r="N647" s="121" t="s">
        <v>1500</v>
      </c>
      <c r="O647" s="184"/>
      <c r="P647" s="122" t="s">
        <v>49</v>
      </c>
      <c r="Q647" s="122"/>
      <c r="R647" s="123"/>
    </row>
    <row r="648" spans="2:18" ht="128.1" hidden="1">
      <c r="B648" s="114" t="s">
        <v>174</v>
      </c>
      <c r="C648" s="115"/>
      <c r="D648" s="170" t="s">
        <v>1539</v>
      </c>
      <c r="E648" s="171" t="s">
        <v>46</v>
      </c>
      <c r="F648" s="117"/>
      <c r="G648" s="118"/>
      <c r="H648" s="118"/>
      <c r="I648" s="118"/>
      <c r="J648" s="119">
        <v>45482</v>
      </c>
      <c r="K648" s="120">
        <v>2044857</v>
      </c>
      <c r="L648" s="115"/>
      <c r="M648" s="115"/>
      <c r="N648" s="121" t="s">
        <v>1540</v>
      </c>
      <c r="O648" s="163"/>
      <c r="P648" s="176" t="s">
        <v>49</v>
      </c>
      <c r="Q648" s="53"/>
      <c r="R648" s="54"/>
    </row>
    <row r="649" spans="2:18" ht="32.1" hidden="1">
      <c r="B649" s="114" t="s">
        <v>178</v>
      </c>
      <c r="C649" s="115"/>
      <c r="D649" s="170" t="s">
        <v>1541</v>
      </c>
      <c r="E649" s="171" t="s">
        <v>46</v>
      </c>
      <c r="F649" s="117"/>
      <c r="G649" s="118"/>
      <c r="H649" s="118"/>
      <c r="I649" s="118"/>
      <c r="J649" s="119">
        <v>45483</v>
      </c>
      <c r="K649" s="120">
        <v>2048415</v>
      </c>
      <c r="L649" s="115"/>
      <c r="M649" s="115"/>
      <c r="N649" s="121" t="s">
        <v>1542</v>
      </c>
      <c r="O649" s="163"/>
      <c r="P649" s="176" t="s">
        <v>49</v>
      </c>
      <c r="Q649" s="53"/>
      <c r="R649" s="54"/>
    </row>
    <row r="650" spans="2:18" ht="32.1" hidden="1">
      <c r="B650" s="114" t="s">
        <v>138</v>
      </c>
      <c r="C650" s="115"/>
      <c r="D650" s="116" t="s">
        <v>1543</v>
      </c>
      <c r="E650" s="117" t="s">
        <v>46</v>
      </c>
      <c r="F650" s="117"/>
      <c r="G650" s="118"/>
      <c r="H650" s="118"/>
      <c r="I650" s="118"/>
      <c r="J650" s="119">
        <v>45484</v>
      </c>
      <c r="K650" s="368">
        <v>2051151</v>
      </c>
      <c r="L650" s="115"/>
      <c r="M650" s="115"/>
      <c r="N650" s="121" t="s">
        <v>1544</v>
      </c>
      <c r="O650" s="184"/>
      <c r="P650" s="122" t="s">
        <v>49</v>
      </c>
      <c r="Q650" s="122"/>
      <c r="R650" s="123"/>
    </row>
    <row r="651" spans="2:18" ht="80.099999999999994" hidden="1">
      <c r="B651" s="114" t="s">
        <v>58</v>
      </c>
      <c r="C651" s="115"/>
      <c r="D651" s="170" t="s">
        <v>1545</v>
      </c>
      <c r="E651" s="171" t="s">
        <v>1546</v>
      </c>
      <c r="F651" s="117"/>
      <c r="G651" s="118"/>
      <c r="H651" s="118"/>
      <c r="I651" s="118"/>
      <c r="J651" s="119">
        <v>45485</v>
      </c>
      <c r="K651" s="365">
        <v>2054138</v>
      </c>
      <c r="L651" s="115"/>
      <c r="M651" s="115"/>
      <c r="N651" s="121" t="s">
        <v>1547</v>
      </c>
      <c r="O651" s="163"/>
      <c r="P651" s="176" t="s">
        <v>49</v>
      </c>
      <c r="Q651" s="53"/>
      <c r="R651" s="54"/>
    </row>
    <row r="652" spans="2:18" ht="111.95" hidden="1">
      <c r="B652" s="114" t="s">
        <v>1520</v>
      </c>
      <c r="C652" s="115"/>
      <c r="D652" s="170" t="s">
        <v>1548</v>
      </c>
      <c r="E652" s="171" t="s">
        <v>46</v>
      </c>
      <c r="F652" s="117"/>
      <c r="G652" s="118"/>
      <c r="H652" s="118"/>
      <c r="I652" s="118"/>
      <c r="J652" s="119">
        <v>45485</v>
      </c>
      <c r="K652" s="373">
        <v>2054140</v>
      </c>
      <c r="L652" s="115"/>
      <c r="M652" s="115"/>
      <c r="N652" s="121" t="s">
        <v>1549</v>
      </c>
      <c r="O652" s="163"/>
      <c r="P652" s="176" t="s">
        <v>49</v>
      </c>
      <c r="Q652" s="53"/>
      <c r="R652" s="54"/>
    </row>
    <row r="653" spans="2:18" ht="96" hidden="1">
      <c r="B653" s="114" t="s">
        <v>58</v>
      </c>
      <c r="C653" s="115"/>
      <c r="D653" s="170" t="s">
        <v>1550</v>
      </c>
      <c r="E653" s="171" t="s">
        <v>1546</v>
      </c>
      <c r="F653" s="117"/>
      <c r="G653" s="118"/>
      <c r="H653" s="118"/>
      <c r="I653" s="118"/>
      <c r="J653" s="119">
        <v>45485</v>
      </c>
      <c r="K653" s="365">
        <v>2054353</v>
      </c>
      <c r="L653" s="115"/>
      <c r="M653" s="115"/>
      <c r="N653" s="121" t="s">
        <v>1551</v>
      </c>
      <c r="O653" s="163"/>
      <c r="P653" s="176" t="s">
        <v>49</v>
      </c>
      <c r="Q653" s="53"/>
      <c r="R653" s="54"/>
    </row>
    <row r="654" spans="2:18" ht="32.1">
      <c r="B654" s="114" t="s">
        <v>190</v>
      </c>
      <c r="C654" s="115"/>
      <c r="D654" s="170" t="s">
        <v>1552</v>
      </c>
      <c r="E654" s="171" t="s">
        <v>46</v>
      </c>
      <c r="F654" s="117"/>
      <c r="G654" s="118"/>
      <c r="H654" s="118"/>
      <c r="I654" s="118"/>
      <c r="J654" s="119">
        <v>45485</v>
      </c>
      <c r="K654" s="222">
        <v>2224888</v>
      </c>
      <c r="L654" s="115"/>
      <c r="M654" s="115"/>
      <c r="N654" s="121" t="s">
        <v>1434</v>
      </c>
      <c r="O654" s="163"/>
      <c r="P654" s="176" t="s">
        <v>49</v>
      </c>
      <c r="Q654" s="53"/>
      <c r="R654" s="54"/>
    </row>
    <row r="655" spans="2:18" ht="48" hidden="1">
      <c r="B655" s="114" t="s">
        <v>91</v>
      </c>
      <c r="C655" s="115"/>
      <c r="D655" s="116" t="s">
        <v>1553</v>
      </c>
      <c r="E655" s="117" t="s">
        <v>46</v>
      </c>
      <c r="F655" s="117"/>
      <c r="G655" s="118"/>
      <c r="H655" s="118"/>
      <c r="I655" s="118"/>
      <c r="J655" s="119">
        <v>45489</v>
      </c>
      <c r="K655" s="120">
        <v>2067289</v>
      </c>
      <c r="L655" s="115"/>
      <c r="M655" s="115"/>
      <c r="N655" s="121" t="s">
        <v>1544</v>
      </c>
      <c r="O655" s="184"/>
      <c r="P655" s="122" t="s">
        <v>49</v>
      </c>
      <c r="Q655" s="122"/>
      <c r="R655" s="123"/>
    </row>
    <row r="656" spans="2:18" ht="80.099999999999994" hidden="1">
      <c r="B656" s="114" t="s">
        <v>610</v>
      </c>
      <c r="C656" s="115"/>
      <c r="D656" s="170" t="s">
        <v>1554</v>
      </c>
      <c r="E656" s="171" t="s">
        <v>46</v>
      </c>
      <c r="F656" s="117"/>
      <c r="G656" s="118"/>
      <c r="H656" s="118"/>
      <c r="I656" s="118"/>
      <c r="J656" s="119">
        <v>45490</v>
      </c>
      <c r="K656" s="120">
        <v>2070544</v>
      </c>
      <c r="L656" s="115"/>
      <c r="M656" s="115"/>
      <c r="N656" s="121" t="s">
        <v>1555</v>
      </c>
      <c r="O656" s="163"/>
      <c r="P656" s="176" t="s">
        <v>49</v>
      </c>
      <c r="Q656" s="53"/>
      <c r="R656" s="54"/>
    </row>
    <row r="657" spans="1:18" ht="80.099999999999994" hidden="1">
      <c r="B657" s="114" t="s">
        <v>86</v>
      </c>
      <c r="C657" s="115"/>
      <c r="D657" s="170" t="s">
        <v>1556</v>
      </c>
      <c r="E657" s="171" t="s">
        <v>46</v>
      </c>
      <c r="F657" s="117"/>
      <c r="G657" s="118"/>
      <c r="H657" s="118"/>
      <c r="I657" s="118"/>
      <c r="J657" s="119">
        <v>45495</v>
      </c>
      <c r="K657" s="120">
        <v>2084819</v>
      </c>
      <c r="L657" s="115"/>
      <c r="M657" s="115"/>
      <c r="N657" s="121" t="s">
        <v>1557</v>
      </c>
      <c r="O657" s="163"/>
      <c r="P657" s="176" t="s">
        <v>49</v>
      </c>
      <c r="Q657" s="53"/>
      <c r="R657" s="54"/>
    </row>
    <row r="658" spans="1:18" ht="32.1" hidden="1">
      <c r="B658" s="114" t="s">
        <v>86</v>
      </c>
      <c r="C658" s="115"/>
      <c r="D658" s="170" t="s">
        <v>1558</v>
      </c>
      <c r="E658" s="171" t="s">
        <v>46</v>
      </c>
      <c r="F658" s="117"/>
      <c r="G658" s="118"/>
      <c r="H658" s="118"/>
      <c r="I658" s="118"/>
      <c r="J658" s="119">
        <v>45495</v>
      </c>
      <c r="K658" s="120">
        <v>2087968</v>
      </c>
      <c r="L658" s="115"/>
      <c r="M658" s="115"/>
      <c r="N658" s="121" t="s">
        <v>1559</v>
      </c>
      <c r="O658" s="163"/>
      <c r="P658" s="176" t="s">
        <v>49</v>
      </c>
      <c r="Q658" s="53"/>
      <c r="R658" s="54"/>
    </row>
    <row r="659" spans="1:18" ht="48" hidden="1">
      <c r="B659" s="114" t="s">
        <v>67</v>
      </c>
      <c r="C659" s="115"/>
      <c r="D659" s="170" t="s">
        <v>1560</v>
      </c>
      <c r="E659" s="171" t="s">
        <v>46</v>
      </c>
      <c r="F659" s="117"/>
      <c r="G659" s="118"/>
      <c r="H659" s="118"/>
      <c r="I659" s="118"/>
      <c r="J659" s="119">
        <v>45496</v>
      </c>
      <c r="K659" s="120">
        <v>2087990</v>
      </c>
      <c r="L659" s="115"/>
      <c r="M659" s="115"/>
      <c r="N659" s="121" t="s">
        <v>1561</v>
      </c>
      <c r="O659" s="163"/>
      <c r="P659" s="176" t="s">
        <v>49</v>
      </c>
      <c r="Q659" s="53"/>
      <c r="R659" s="54"/>
    </row>
    <row r="660" spans="1:18" ht="111.95" hidden="1">
      <c r="A660" s="125"/>
      <c r="B660" s="262" t="s">
        <v>63</v>
      </c>
      <c r="C660" s="111"/>
      <c r="D660" s="263" t="s">
        <v>1562</v>
      </c>
      <c r="E660" s="112" t="s">
        <v>46</v>
      </c>
      <c r="F660" s="117"/>
      <c r="G660" s="118"/>
      <c r="H660" s="118"/>
      <c r="I660" s="118"/>
      <c r="J660" s="264">
        <v>45496</v>
      </c>
      <c r="K660" s="265">
        <v>2087993</v>
      </c>
      <c r="L660" s="115"/>
      <c r="M660" s="115"/>
      <c r="N660" s="266" t="s">
        <v>1563</v>
      </c>
      <c r="O660" s="267"/>
      <c r="P660" s="268" t="s">
        <v>49</v>
      </c>
      <c r="Q660" s="268"/>
      <c r="R660" s="269"/>
    </row>
    <row r="661" spans="1:18" ht="111.95" hidden="1">
      <c r="B661" s="114" t="s">
        <v>163</v>
      </c>
      <c r="C661" s="115"/>
      <c r="D661" s="170" t="s">
        <v>1564</v>
      </c>
      <c r="E661" s="171" t="s">
        <v>46</v>
      </c>
      <c r="F661" s="117"/>
      <c r="G661" s="118"/>
      <c r="H661" s="118"/>
      <c r="I661" s="118"/>
      <c r="J661" s="119">
        <v>45497</v>
      </c>
      <c r="K661" s="120">
        <v>2091981</v>
      </c>
      <c r="L661" s="115"/>
      <c r="M661" s="115"/>
      <c r="N661" s="121" t="s">
        <v>1565</v>
      </c>
      <c r="O661" s="163"/>
      <c r="P661" s="176" t="s">
        <v>49</v>
      </c>
      <c r="Q661" s="53"/>
      <c r="R661" s="54"/>
    </row>
    <row r="662" spans="1:18" ht="96" hidden="1">
      <c r="B662" s="114" t="s">
        <v>163</v>
      </c>
      <c r="C662" s="115"/>
      <c r="D662" s="170" t="s">
        <v>1566</v>
      </c>
      <c r="E662" s="171" t="s">
        <v>46</v>
      </c>
      <c r="F662" s="117"/>
      <c r="G662" s="118"/>
      <c r="H662" s="118"/>
      <c r="I662" s="118"/>
      <c r="J662" s="119">
        <v>45497</v>
      </c>
      <c r="K662" s="120">
        <v>2092008</v>
      </c>
      <c r="L662" s="115"/>
      <c r="M662" s="115"/>
      <c r="N662" s="121" t="s">
        <v>1567</v>
      </c>
      <c r="O662" s="163"/>
      <c r="P662" s="176" t="s">
        <v>49</v>
      </c>
      <c r="Q662" s="53"/>
      <c r="R662" s="54"/>
    </row>
    <row r="663" spans="1:18" ht="63.95" hidden="1">
      <c r="B663" s="114" t="s">
        <v>63</v>
      </c>
      <c r="C663" s="115"/>
      <c r="D663" s="170" t="s">
        <v>1568</v>
      </c>
      <c r="E663" s="171" t="s">
        <v>46</v>
      </c>
      <c r="F663" s="117"/>
      <c r="G663" s="118"/>
      <c r="H663" s="118"/>
      <c r="I663" s="118"/>
      <c r="J663" s="119">
        <v>45499</v>
      </c>
      <c r="K663" s="120">
        <v>2097759</v>
      </c>
      <c r="L663" s="115"/>
      <c r="M663" s="115"/>
      <c r="N663" s="121" t="s">
        <v>1569</v>
      </c>
      <c r="O663" s="163"/>
      <c r="P663" s="176" t="s">
        <v>49</v>
      </c>
      <c r="Q663" s="53"/>
      <c r="R663" s="54"/>
    </row>
    <row r="664" spans="1:18" ht="32.1" hidden="1">
      <c r="B664" s="114" t="s">
        <v>933</v>
      </c>
      <c r="C664" s="115"/>
      <c r="D664" s="170" t="s">
        <v>1570</v>
      </c>
      <c r="E664" s="171" t="s">
        <v>46</v>
      </c>
      <c r="F664" s="117"/>
      <c r="G664" s="118"/>
      <c r="H664" s="118"/>
      <c r="I664" s="118"/>
      <c r="J664" s="119">
        <v>45499</v>
      </c>
      <c r="K664" s="120">
        <v>2097957</v>
      </c>
      <c r="L664" s="115"/>
      <c r="M664" s="115"/>
      <c r="N664" s="121" t="s">
        <v>1561</v>
      </c>
      <c r="O664" s="163"/>
      <c r="P664" s="176" t="s">
        <v>49</v>
      </c>
      <c r="Q664" s="53"/>
      <c r="R664" s="54"/>
    </row>
    <row r="665" spans="1:18" ht="80.099999999999994" hidden="1">
      <c r="B665" s="114" t="s">
        <v>54</v>
      </c>
      <c r="C665" s="115"/>
      <c r="D665" s="170" t="s">
        <v>1571</v>
      </c>
      <c r="E665" s="171" t="s">
        <v>46</v>
      </c>
      <c r="F665" s="117"/>
      <c r="G665" s="118"/>
      <c r="H665" s="118"/>
      <c r="I665" s="118"/>
      <c r="J665" s="119">
        <v>45502</v>
      </c>
      <c r="K665" s="120">
        <v>2107305</v>
      </c>
      <c r="L665" s="115"/>
      <c r="M665" s="115"/>
      <c r="N665" s="121" t="s">
        <v>1572</v>
      </c>
      <c r="O665" s="163" t="s">
        <v>1573</v>
      </c>
      <c r="P665" s="176" t="s">
        <v>49</v>
      </c>
      <c r="Q665" s="53"/>
      <c r="R665" s="54"/>
    </row>
    <row r="666" spans="1:18" ht="63.95" hidden="1">
      <c r="B666" s="114" t="s">
        <v>67</v>
      </c>
      <c r="C666" s="115"/>
      <c r="D666" s="170" t="s">
        <v>1574</v>
      </c>
      <c r="E666" s="171" t="s">
        <v>46</v>
      </c>
      <c r="F666" s="117"/>
      <c r="G666" s="118"/>
      <c r="H666" s="118"/>
      <c r="I666" s="118"/>
      <c r="J666" s="119">
        <v>45502</v>
      </c>
      <c r="K666" s="120">
        <v>2107376</v>
      </c>
      <c r="L666" s="115"/>
      <c r="M666" s="115"/>
      <c r="N666" s="121" t="s">
        <v>1575</v>
      </c>
      <c r="O666" s="163" t="s">
        <v>1576</v>
      </c>
      <c r="P666" s="176" t="s">
        <v>49</v>
      </c>
      <c r="Q666" s="53"/>
      <c r="R666" s="54"/>
    </row>
    <row r="667" spans="1:18" ht="51" hidden="1" customHeight="1">
      <c r="B667" s="114" t="s">
        <v>71</v>
      </c>
      <c r="C667" s="115"/>
      <c r="D667" s="170" t="s">
        <v>1577</v>
      </c>
      <c r="E667" s="171" t="s">
        <v>46</v>
      </c>
      <c r="F667" s="117"/>
      <c r="G667" s="118"/>
      <c r="H667" s="118"/>
      <c r="I667" s="118"/>
      <c r="J667" s="119">
        <v>45502</v>
      </c>
      <c r="K667" s="120">
        <v>2107826</v>
      </c>
      <c r="L667" s="115"/>
      <c r="M667" s="115"/>
      <c r="N667" s="121" t="s">
        <v>1578</v>
      </c>
      <c r="O667" s="163"/>
      <c r="P667" s="176" t="s">
        <v>49</v>
      </c>
      <c r="Q667" s="53"/>
      <c r="R667" s="54"/>
    </row>
    <row r="668" spans="1:18" ht="37.5" hidden="1" customHeight="1">
      <c r="B668" s="114" t="s">
        <v>133</v>
      </c>
      <c r="C668" s="115"/>
      <c r="D668" s="170" t="s">
        <v>1579</v>
      </c>
      <c r="E668" s="171" t="s">
        <v>46</v>
      </c>
      <c r="F668" s="117"/>
      <c r="G668" s="118"/>
      <c r="H668" s="118"/>
      <c r="I668" s="118"/>
      <c r="J668" s="119">
        <v>45503</v>
      </c>
      <c r="K668" s="368">
        <v>2111581</v>
      </c>
      <c r="L668" s="115"/>
      <c r="M668" s="115"/>
      <c r="N668" s="121" t="s">
        <v>1578</v>
      </c>
      <c r="O668" s="163"/>
      <c r="P668" s="176" t="s">
        <v>49</v>
      </c>
      <c r="Q668" s="53"/>
      <c r="R668" s="54"/>
    </row>
    <row r="669" spans="1:18" ht="48" hidden="1">
      <c r="B669" s="114" t="s">
        <v>58</v>
      </c>
      <c r="C669" s="115"/>
      <c r="D669" s="170" t="s">
        <v>1580</v>
      </c>
      <c r="E669" s="171" t="s">
        <v>46</v>
      </c>
      <c r="F669" s="117"/>
      <c r="G669" s="118"/>
      <c r="H669" s="118"/>
      <c r="I669" s="118"/>
      <c r="J669" s="119">
        <v>45503</v>
      </c>
      <c r="K669" s="365">
        <v>2111604</v>
      </c>
      <c r="L669" s="115"/>
      <c r="M669" s="115"/>
      <c r="N669" s="121" t="s">
        <v>1578</v>
      </c>
      <c r="O669" s="163"/>
      <c r="P669" s="176" t="s">
        <v>49</v>
      </c>
      <c r="Q669" s="53"/>
      <c r="R669" s="54"/>
    </row>
    <row r="670" spans="1:18" ht="80.099999999999994">
      <c r="B670" s="114" t="s">
        <v>190</v>
      </c>
      <c r="C670" s="115"/>
      <c r="D670" s="170" t="s">
        <v>1581</v>
      </c>
      <c r="E670" s="171" t="s">
        <v>46</v>
      </c>
      <c r="F670" s="117"/>
      <c r="G670" s="118"/>
      <c r="H670" s="118"/>
      <c r="I670" s="118"/>
      <c r="J670" s="119">
        <v>45504</v>
      </c>
      <c r="K670" s="372">
        <v>2114576</v>
      </c>
      <c r="L670" s="115"/>
      <c r="M670" s="115"/>
      <c r="N670" s="121" t="s">
        <v>1582</v>
      </c>
      <c r="O670" s="163"/>
      <c r="P670" s="176" t="s">
        <v>49</v>
      </c>
      <c r="Q670" s="53"/>
      <c r="R670" s="54"/>
    </row>
    <row r="671" spans="1:18" ht="63.95" hidden="1">
      <c r="B671" s="114" t="s">
        <v>163</v>
      </c>
      <c r="C671" s="115"/>
      <c r="D671" s="170" t="s">
        <v>1583</v>
      </c>
      <c r="E671" s="171" t="s">
        <v>46</v>
      </c>
      <c r="F671" s="117"/>
      <c r="G671" s="118"/>
      <c r="H671" s="118"/>
      <c r="I671" s="118"/>
      <c r="J671" s="119">
        <v>45512</v>
      </c>
      <c r="K671" s="120">
        <v>2120816</v>
      </c>
      <c r="L671" s="115"/>
      <c r="M671" s="115"/>
      <c r="N671" s="121" t="s">
        <v>1584</v>
      </c>
      <c r="O671" s="163"/>
      <c r="P671" s="176" t="s">
        <v>49</v>
      </c>
      <c r="Q671" s="53"/>
      <c r="R671" s="54"/>
    </row>
    <row r="672" spans="1:18" ht="63.95" hidden="1">
      <c r="B672" s="114" t="s">
        <v>163</v>
      </c>
      <c r="C672" s="115"/>
      <c r="D672" s="170" t="s">
        <v>1585</v>
      </c>
      <c r="E672" s="171" t="s">
        <v>46</v>
      </c>
      <c r="F672" s="117"/>
      <c r="G672" s="118"/>
      <c r="H672" s="118"/>
      <c r="I672" s="118"/>
      <c r="J672" s="119">
        <v>45512</v>
      </c>
      <c r="K672" s="120">
        <v>2120820</v>
      </c>
      <c r="L672" s="115"/>
      <c r="M672" s="115"/>
      <c r="N672" s="121" t="s">
        <v>1586</v>
      </c>
      <c r="O672" s="163"/>
      <c r="P672" s="176" t="s">
        <v>49</v>
      </c>
      <c r="Q672" s="53"/>
      <c r="R672" s="54"/>
    </row>
    <row r="673" spans="1:18" ht="32.1" hidden="1">
      <c r="B673" s="114" t="s">
        <v>54</v>
      </c>
      <c r="C673" s="115"/>
      <c r="D673" s="170" t="s">
        <v>1587</v>
      </c>
      <c r="E673" s="171" t="s">
        <v>46</v>
      </c>
      <c r="F673" s="117"/>
      <c r="G673" s="118"/>
      <c r="H673" s="118"/>
      <c r="I673" s="118"/>
      <c r="J673" s="119">
        <v>45512</v>
      </c>
      <c r="K673" s="120">
        <v>2129988</v>
      </c>
      <c r="L673" s="115"/>
      <c r="M673" s="115"/>
      <c r="N673" s="121" t="s">
        <v>1588</v>
      </c>
      <c r="O673" s="163"/>
      <c r="P673" s="176" t="s">
        <v>49</v>
      </c>
      <c r="Q673" s="53"/>
      <c r="R673" s="54"/>
    </row>
    <row r="674" spans="1:18" ht="32.1" hidden="1">
      <c r="B674" s="114" t="s">
        <v>174</v>
      </c>
      <c r="C674" s="115"/>
      <c r="D674" s="170" t="s">
        <v>1589</v>
      </c>
      <c r="E674" s="171" t="s">
        <v>46</v>
      </c>
      <c r="F674" s="117"/>
      <c r="G674" s="118"/>
      <c r="H674" s="118"/>
      <c r="I674" s="118"/>
      <c r="J674" s="119">
        <v>45512</v>
      </c>
      <c r="K674" s="120">
        <v>2139784</v>
      </c>
      <c r="L674" s="115"/>
      <c r="M674" s="115"/>
      <c r="N674" s="121" t="s">
        <v>1590</v>
      </c>
      <c r="O674" s="163"/>
      <c r="P674" s="176" t="s">
        <v>49</v>
      </c>
      <c r="Q674" s="53"/>
      <c r="R674" s="54"/>
    </row>
    <row r="675" spans="1:18" ht="48" hidden="1">
      <c r="B675" s="114" t="s">
        <v>129</v>
      </c>
      <c r="C675" s="115"/>
      <c r="D675" s="170" t="s">
        <v>1591</v>
      </c>
      <c r="E675" s="171" t="s">
        <v>46</v>
      </c>
      <c r="F675" s="117"/>
      <c r="G675" s="118"/>
      <c r="H675" s="118"/>
      <c r="I675" s="118"/>
      <c r="J675" s="119">
        <v>45516</v>
      </c>
      <c r="K675" s="120">
        <v>2152372</v>
      </c>
      <c r="L675" s="115"/>
      <c r="M675" s="115"/>
      <c r="N675" s="121" t="s">
        <v>1592</v>
      </c>
      <c r="O675" s="163"/>
      <c r="P675" s="176" t="s">
        <v>49</v>
      </c>
      <c r="Q675" s="53"/>
      <c r="R675" s="54"/>
    </row>
    <row r="676" spans="1:18" ht="32.1" hidden="1">
      <c r="B676" s="114" t="s">
        <v>163</v>
      </c>
      <c r="C676" s="115"/>
      <c r="D676" s="170" t="s">
        <v>1593</v>
      </c>
      <c r="E676" s="171" t="s">
        <v>46</v>
      </c>
      <c r="F676" s="117"/>
      <c r="G676" s="118"/>
      <c r="H676" s="118"/>
      <c r="I676" s="118"/>
      <c r="J676" s="119">
        <v>45517</v>
      </c>
      <c r="K676" s="120">
        <v>2155375</v>
      </c>
      <c r="L676" s="115"/>
      <c r="M676" s="115"/>
      <c r="N676" s="121" t="s">
        <v>1594</v>
      </c>
      <c r="O676" s="163"/>
      <c r="P676" s="176" t="s">
        <v>49</v>
      </c>
      <c r="Q676" s="53"/>
      <c r="R676" s="54"/>
    </row>
    <row r="677" spans="1:18" ht="32.1" hidden="1">
      <c r="B677" s="114" t="s">
        <v>91</v>
      </c>
      <c r="C677" s="115"/>
      <c r="D677" s="170" t="s">
        <v>1595</v>
      </c>
      <c r="E677" s="171" t="s">
        <v>46</v>
      </c>
      <c r="F677" s="117"/>
      <c r="G677" s="118"/>
      <c r="H677" s="118"/>
      <c r="I677" s="118"/>
      <c r="J677" s="119">
        <v>45517</v>
      </c>
      <c r="K677" s="120">
        <v>2155685</v>
      </c>
      <c r="L677" s="115"/>
      <c r="M677" s="115"/>
      <c r="N677" s="121" t="s">
        <v>1596</v>
      </c>
      <c r="O677" s="163"/>
      <c r="P677" s="176" t="s">
        <v>49</v>
      </c>
      <c r="Q677" s="53"/>
      <c r="R677" s="54"/>
    </row>
    <row r="678" spans="1:18" ht="32.1" hidden="1">
      <c r="B678" s="114" t="s">
        <v>54</v>
      </c>
      <c r="C678" s="115"/>
      <c r="D678" s="170" t="s">
        <v>1597</v>
      </c>
      <c r="E678" s="171" t="s">
        <v>46</v>
      </c>
      <c r="F678" s="117"/>
      <c r="G678" s="118"/>
      <c r="H678" s="118"/>
      <c r="I678" s="118"/>
      <c r="J678" s="119">
        <v>45518</v>
      </c>
      <c r="K678" s="120">
        <v>2158649</v>
      </c>
      <c r="L678" s="115"/>
      <c r="M678" s="115"/>
      <c r="N678" s="121" t="s">
        <v>1594</v>
      </c>
      <c r="O678" s="163"/>
      <c r="P678" s="176" t="s">
        <v>49</v>
      </c>
      <c r="Q678" s="53"/>
      <c r="R678" s="54"/>
    </row>
    <row r="679" spans="1:18" ht="48" hidden="1">
      <c r="B679" s="114" t="s">
        <v>54</v>
      </c>
      <c r="C679" s="115"/>
      <c r="D679" s="170" t="s">
        <v>1598</v>
      </c>
      <c r="E679" s="171" t="s">
        <v>46</v>
      </c>
      <c r="F679" s="117"/>
      <c r="G679" s="118"/>
      <c r="H679" s="118"/>
      <c r="I679" s="118"/>
      <c r="J679" s="119">
        <v>45523</v>
      </c>
      <c r="K679" s="120">
        <v>2173607</v>
      </c>
      <c r="L679" s="115"/>
      <c r="M679" s="115"/>
      <c r="N679" s="121" t="s">
        <v>1599</v>
      </c>
      <c r="O679" s="163" t="s">
        <v>1600</v>
      </c>
      <c r="P679" s="176" t="s">
        <v>49</v>
      </c>
      <c r="Q679" s="53"/>
      <c r="R679" s="54"/>
    </row>
    <row r="680" spans="1:18" ht="80.099999999999994" hidden="1">
      <c r="B680" s="114" t="s">
        <v>67</v>
      </c>
      <c r="C680" s="115"/>
      <c r="D680" s="116" t="s">
        <v>1601</v>
      </c>
      <c r="E680" s="117" t="s">
        <v>46</v>
      </c>
      <c r="F680" s="117"/>
      <c r="G680" s="118"/>
      <c r="H680" s="118"/>
      <c r="I680" s="118"/>
      <c r="J680" s="119">
        <v>45524</v>
      </c>
      <c r="K680" s="120">
        <v>2177038</v>
      </c>
      <c r="L680" s="115"/>
      <c r="M680" s="115"/>
      <c r="N680" s="121" t="s">
        <v>1602</v>
      </c>
      <c r="O680" s="184" t="s">
        <v>1603</v>
      </c>
      <c r="P680" s="122" t="s">
        <v>49</v>
      </c>
      <c r="Q680" s="122"/>
      <c r="R680" s="123"/>
    </row>
    <row r="681" spans="1:18" s="125" customFormat="1" ht="48" hidden="1">
      <c r="A681" s="1"/>
      <c r="B681" s="114" t="s">
        <v>99</v>
      </c>
      <c r="C681" s="115"/>
      <c r="D681" s="170" t="s">
        <v>1604</v>
      </c>
      <c r="E681" s="171" t="s">
        <v>46</v>
      </c>
      <c r="F681" s="117"/>
      <c r="G681" s="118"/>
      <c r="H681" s="118"/>
      <c r="I681" s="118"/>
      <c r="J681" s="119">
        <v>45525</v>
      </c>
      <c r="K681" s="120">
        <v>2179925</v>
      </c>
      <c r="L681" s="115"/>
      <c r="M681" s="115"/>
      <c r="N681" s="121" t="s">
        <v>1605</v>
      </c>
      <c r="O681" s="163" t="s">
        <v>1606</v>
      </c>
      <c r="P681" s="176" t="s">
        <v>49</v>
      </c>
      <c r="Q681" s="53"/>
      <c r="R681" s="54"/>
    </row>
    <row r="682" spans="1:18" ht="48" hidden="1">
      <c r="B682" s="114" t="s">
        <v>170</v>
      </c>
      <c r="C682" s="115"/>
      <c r="D682" s="170" t="s">
        <v>1607</v>
      </c>
      <c r="E682" s="171" t="s">
        <v>46</v>
      </c>
      <c r="F682" s="117"/>
      <c r="G682" s="118"/>
      <c r="H682" s="118"/>
      <c r="I682" s="118"/>
      <c r="J682" s="119">
        <v>45526</v>
      </c>
      <c r="K682" s="120">
        <v>2183025</v>
      </c>
      <c r="L682" s="115"/>
      <c r="M682" s="115"/>
      <c r="N682" s="121" t="s">
        <v>1608</v>
      </c>
      <c r="O682" s="163"/>
      <c r="P682" s="176" t="s">
        <v>49</v>
      </c>
      <c r="Q682" s="53"/>
      <c r="R682" s="54"/>
    </row>
    <row r="683" spans="1:18" ht="32.1" hidden="1">
      <c r="B683" s="114" t="s">
        <v>1609</v>
      </c>
      <c r="C683" s="115"/>
      <c r="D683" s="170" t="s">
        <v>1610</v>
      </c>
      <c r="E683" s="171" t="s">
        <v>46</v>
      </c>
      <c r="F683" s="117"/>
      <c r="G683" s="118"/>
      <c r="H683" s="118"/>
      <c r="I683" s="118"/>
      <c r="J683" s="119">
        <v>45526</v>
      </c>
      <c r="K683" s="120">
        <v>2205781</v>
      </c>
      <c r="L683" s="115"/>
      <c r="M683" s="115"/>
      <c r="N683" s="121" t="s">
        <v>1611</v>
      </c>
      <c r="O683" s="163"/>
      <c r="P683" s="176" t="s">
        <v>49</v>
      </c>
      <c r="Q683" s="53"/>
      <c r="R683" s="54"/>
    </row>
    <row r="684" spans="1:18" ht="32.1" hidden="1">
      <c r="B684" s="114" t="s">
        <v>163</v>
      </c>
      <c r="C684" s="115"/>
      <c r="D684" s="170" t="s">
        <v>1612</v>
      </c>
      <c r="E684" s="171" t="s">
        <v>46</v>
      </c>
      <c r="F684" s="117"/>
      <c r="G684" s="118"/>
      <c r="H684" s="118"/>
      <c r="I684" s="118"/>
      <c r="J684" s="119">
        <v>45531</v>
      </c>
      <c r="K684" s="120">
        <v>2198856</v>
      </c>
      <c r="L684" s="115"/>
      <c r="M684" s="115"/>
      <c r="N684" s="121" t="s">
        <v>1613</v>
      </c>
      <c r="O684" s="163"/>
      <c r="P684" s="176" t="s">
        <v>49</v>
      </c>
      <c r="Q684" s="53"/>
      <c r="R684" s="54"/>
    </row>
    <row r="685" spans="1:18" ht="48" hidden="1">
      <c r="B685" s="114" t="s">
        <v>160</v>
      </c>
      <c r="C685" s="115"/>
      <c r="D685" s="170" t="s">
        <v>1614</v>
      </c>
      <c r="E685" s="171" t="s">
        <v>46</v>
      </c>
      <c r="F685" s="117"/>
      <c r="G685" s="118"/>
      <c r="H685" s="118"/>
      <c r="I685" s="118"/>
      <c r="J685" s="119">
        <v>45531</v>
      </c>
      <c r="K685" s="368">
        <v>2198879</v>
      </c>
      <c r="L685" s="115"/>
      <c r="M685" s="115"/>
      <c r="N685" s="121" t="s">
        <v>1615</v>
      </c>
      <c r="O685" s="163"/>
      <c r="P685" s="176" t="s">
        <v>49</v>
      </c>
      <c r="Q685" s="53"/>
      <c r="R685" s="54"/>
    </row>
    <row r="686" spans="1:18" ht="32.1" hidden="1">
      <c r="B686" s="114" t="s">
        <v>58</v>
      </c>
      <c r="C686" s="115"/>
      <c r="D686" s="170" t="s">
        <v>1616</v>
      </c>
      <c r="E686" s="171" t="s">
        <v>46</v>
      </c>
      <c r="F686" s="117"/>
      <c r="G686" s="118"/>
      <c r="H686" s="118"/>
      <c r="I686" s="118"/>
      <c r="J686" s="119">
        <v>45531</v>
      </c>
      <c r="K686" s="365">
        <v>2199080</v>
      </c>
      <c r="L686" s="115"/>
      <c r="M686" s="115"/>
      <c r="N686" s="121" t="s">
        <v>1613</v>
      </c>
      <c r="O686" s="163" t="s">
        <v>1617</v>
      </c>
      <c r="P686" s="176" t="s">
        <v>49</v>
      </c>
      <c r="Q686" s="53"/>
      <c r="R686" s="54"/>
    </row>
    <row r="687" spans="1:18" ht="32.1" hidden="1">
      <c r="B687" s="114" t="s">
        <v>214</v>
      </c>
      <c r="C687" s="115"/>
      <c r="D687" s="170" t="s">
        <v>1618</v>
      </c>
      <c r="E687" s="171" t="s">
        <v>46</v>
      </c>
      <c r="F687" s="117"/>
      <c r="G687" s="118"/>
      <c r="H687" s="118"/>
      <c r="I687" s="118"/>
      <c r="J687" s="119">
        <v>45532</v>
      </c>
      <c r="K687" s="372">
        <v>2201982</v>
      </c>
      <c r="L687" s="115"/>
      <c r="M687" s="115"/>
      <c r="N687" s="121" t="s">
        <v>1613</v>
      </c>
      <c r="O687" s="163" t="s">
        <v>1619</v>
      </c>
      <c r="P687" s="176" t="s">
        <v>49</v>
      </c>
      <c r="Q687" s="53"/>
      <c r="R687" s="54"/>
    </row>
    <row r="688" spans="1:18" ht="48" hidden="1">
      <c r="B688" s="114" t="s">
        <v>129</v>
      </c>
      <c r="C688" s="115"/>
      <c r="D688" s="170" t="s">
        <v>1620</v>
      </c>
      <c r="E688" s="171" t="s">
        <v>46</v>
      </c>
      <c r="F688" s="117"/>
      <c r="G688" s="118"/>
      <c r="H688" s="118"/>
      <c r="I688" s="118"/>
      <c r="J688" s="119">
        <v>45532</v>
      </c>
      <c r="K688" s="120">
        <v>2202516</v>
      </c>
      <c r="L688" s="115"/>
      <c r="M688" s="115"/>
      <c r="N688" s="121" t="s">
        <v>1621</v>
      </c>
      <c r="O688" s="163" t="s">
        <v>1622</v>
      </c>
      <c r="P688" s="176" t="s">
        <v>49</v>
      </c>
      <c r="Q688" s="53"/>
      <c r="R688" s="54"/>
    </row>
    <row r="689" spans="1:18" ht="63.95" hidden="1">
      <c r="B689" s="114" t="s">
        <v>129</v>
      </c>
      <c r="C689" s="115"/>
      <c r="D689" s="170" t="s">
        <v>1623</v>
      </c>
      <c r="E689" s="171" t="s">
        <v>46</v>
      </c>
      <c r="F689" s="117"/>
      <c r="G689" s="118"/>
      <c r="H689" s="118"/>
      <c r="I689" s="118"/>
      <c r="J689" s="119">
        <v>45532</v>
      </c>
      <c r="K689" s="120">
        <v>2202538</v>
      </c>
      <c r="L689" s="115"/>
      <c r="M689" s="115"/>
      <c r="N689" s="121" t="s">
        <v>1613</v>
      </c>
      <c r="O689" s="163" t="s">
        <v>1384</v>
      </c>
      <c r="P689" s="176" t="s">
        <v>49</v>
      </c>
      <c r="Q689" s="53"/>
      <c r="R689" s="54"/>
    </row>
    <row r="690" spans="1:18" ht="63.95" hidden="1">
      <c r="B690" s="114" t="s">
        <v>91</v>
      </c>
      <c r="C690" s="115"/>
      <c r="D690" s="170" t="s">
        <v>1624</v>
      </c>
      <c r="E690" s="171" t="s">
        <v>46</v>
      </c>
      <c r="F690" s="117"/>
      <c r="G690" s="118"/>
      <c r="H690" s="118"/>
      <c r="I690" s="118"/>
      <c r="J690" s="119">
        <v>45533</v>
      </c>
      <c r="K690" s="120">
        <v>2205271</v>
      </c>
      <c r="L690" s="115"/>
      <c r="M690" s="115"/>
      <c r="N690" s="121" t="s">
        <v>1613</v>
      </c>
      <c r="O690" s="163" t="s">
        <v>1625</v>
      </c>
      <c r="P690" s="176" t="s">
        <v>49</v>
      </c>
      <c r="Q690" s="53"/>
      <c r="R690" s="54"/>
    </row>
    <row r="691" spans="1:18" ht="32.1" hidden="1">
      <c r="B691" s="114" t="s">
        <v>79</v>
      </c>
      <c r="C691" s="115"/>
      <c r="D691" s="170" t="s">
        <v>1626</v>
      </c>
      <c r="E691" s="171" t="s">
        <v>46</v>
      </c>
      <c r="F691" s="117"/>
      <c r="G691" s="118"/>
      <c r="H691" s="118"/>
      <c r="I691" s="118"/>
      <c r="J691" s="119">
        <v>45534</v>
      </c>
      <c r="K691" s="120">
        <v>2208472</v>
      </c>
      <c r="L691" s="115"/>
      <c r="M691" s="115"/>
      <c r="N691" s="121" t="s">
        <v>1613</v>
      </c>
      <c r="O691" s="163"/>
      <c r="P691" s="176" t="s">
        <v>49</v>
      </c>
      <c r="Q691" s="53"/>
      <c r="R691" s="54"/>
    </row>
    <row r="692" spans="1:18" ht="32.1" hidden="1">
      <c r="B692" s="114" t="s">
        <v>91</v>
      </c>
      <c r="C692" s="115"/>
      <c r="D692" s="170" t="s">
        <v>1627</v>
      </c>
      <c r="E692" s="171" t="s">
        <v>46</v>
      </c>
      <c r="F692" s="117"/>
      <c r="G692" s="118"/>
      <c r="H692" s="118"/>
      <c r="I692" s="118"/>
      <c r="J692" s="119">
        <v>45534</v>
      </c>
      <c r="K692" s="120">
        <v>2208577</v>
      </c>
      <c r="L692" s="115"/>
      <c r="M692" s="115"/>
      <c r="N692" s="121" t="s">
        <v>1613</v>
      </c>
      <c r="O692" s="163" t="s">
        <v>1625</v>
      </c>
      <c r="P692" s="176" t="s">
        <v>49</v>
      </c>
      <c r="Q692" s="53"/>
      <c r="R692" s="54"/>
    </row>
    <row r="693" spans="1:18" ht="45" hidden="1">
      <c r="B693" s="114" t="s">
        <v>156</v>
      </c>
      <c r="C693" s="115"/>
      <c r="D693" s="170" t="s">
        <v>1628</v>
      </c>
      <c r="E693" s="171" t="s">
        <v>46</v>
      </c>
      <c r="F693" s="117"/>
      <c r="G693" s="118"/>
      <c r="H693" s="118"/>
      <c r="I693" s="118"/>
      <c r="J693" s="119">
        <v>45537</v>
      </c>
      <c r="K693" s="120">
        <v>2218655</v>
      </c>
      <c r="L693" s="115"/>
      <c r="M693" s="115"/>
      <c r="N693" s="121" t="s">
        <v>1629</v>
      </c>
      <c r="O693" s="163"/>
      <c r="P693" s="176" t="s">
        <v>49</v>
      </c>
      <c r="Q693" s="53"/>
      <c r="R693" s="54"/>
    </row>
    <row r="694" spans="1:18" ht="32.1" hidden="1">
      <c r="B694" s="114" t="s">
        <v>71</v>
      </c>
      <c r="C694" s="115"/>
      <c r="D694" s="170" t="s">
        <v>1630</v>
      </c>
      <c r="E694" s="171" t="s">
        <v>46</v>
      </c>
      <c r="F694" s="117"/>
      <c r="G694" s="118"/>
      <c r="H694" s="118"/>
      <c r="I694" s="118"/>
      <c r="J694" s="119">
        <v>45538</v>
      </c>
      <c r="K694" s="120">
        <v>2221200</v>
      </c>
      <c r="L694" s="115"/>
      <c r="M694" s="115"/>
      <c r="N694" s="121" t="s">
        <v>1590</v>
      </c>
      <c r="O694" s="163"/>
      <c r="P694" s="176" t="s">
        <v>49</v>
      </c>
      <c r="Q694" s="53"/>
      <c r="R694" s="54"/>
    </row>
    <row r="695" spans="1:18" ht="48" hidden="1">
      <c r="B695" s="114" t="s">
        <v>71</v>
      </c>
      <c r="C695" s="115"/>
      <c r="D695" s="170" t="s">
        <v>1631</v>
      </c>
      <c r="E695" s="171" t="s">
        <v>46</v>
      </c>
      <c r="F695" s="117"/>
      <c r="G695" s="118"/>
      <c r="H695" s="118"/>
      <c r="I695" s="118"/>
      <c r="J695" s="119">
        <v>45538</v>
      </c>
      <c r="K695" s="120">
        <v>2221388</v>
      </c>
      <c r="L695" s="115"/>
      <c r="M695" s="115"/>
      <c r="N695" s="121" t="s">
        <v>1590</v>
      </c>
      <c r="O695" s="163"/>
      <c r="P695" s="176" t="s">
        <v>49</v>
      </c>
      <c r="Q695" s="53"/>
      <c r="R695" s="54"/>
    </row>
    <row r="696" spans="1:18" ht="63.95" hidden="1">
      <c r="B696" s="114" t="s">
        <v>214</v>
      </c>
      <c r="C696" s="115"/>
      <c r="D696" s="170" t="s">
        <v>1632</v>
      </c>
      <c r="E696" s="171" t="s">
        <v>46</v>
      </c>
      <c r="F696" s="117"/>
      <c r="G696" s="118"/>
      <c r="H696" s="118"/>
      <c r="I696" s="118"/>
      <c r="J696" s="119">
        <v>45538</v>
      </c>
      <c r="K696" s="120">
        <v>2221762</v>
      </c>
      <c r="L696" s="115"/>
      <c r="M696" s="115"/>
      <c r="N696" s="121" t="s">
        <v>1590</v>
      </c>
      <c r="O696" s="163" t="s">
        <v>1633</v>
      </c>
      <c r="P696" s="176" t="s">
        <v>49</v>
      </c>
      <c r="Q696" s="53"/>
      <c r="R696" s="54"/>
    </row>
    <row r="697" spans="1:18" ht="48">
      <c r="B697" s="114" t="s">
        <v>190</v>
      </c>
      <c r="C697" s="115"/>
      <c r="D697" s="170" t="s">
        <v>1634</v>
      </c>
      <c r="E697" s="171" t="s">
        <v>46</v>
      </c>
      <c r="F697" s="117"/>
      <c r="G697" s="118"/>
      <c r="H697" s="118"/>
      <c r="I697" s="118"/>
      <c r="J697" s="119">
        <v>45539</v>
      </c>
      <c r="K697" s="171">
        <v>2054185</v>
      </c>
      <c r="L697" s="115"/>
      <c r="M697" s="115"/>
      <c r="N697" s="121" t="s">
        <v>1590</v>
      </c>
      <c r="O697" s="163" t="s">
        <v>1635</v>
      </c>
      <c r="P697" s="176" t="s">
        <v>49</v>
      </c>
      <c r="Q697" s="53"/>
      <c r="R697" s="54"/>
    </row>
    <row r="698" spans="1:18" ht="32.1">
      <c r="B698" s="114" t="s">
        <v>190</v>
      </c>
      <c r="C698" s="115"/>
      <c r="D698" s="116" t="s">
        <v>1552</v>
      </c>
      <c r="E698" s="117" t="s">
        <v>46</v>
      </c>
      <c r="F698" s="117"/>
      <c r="G698" s="118"/>
      <c r="H698" s="118"/>
      <c r="I698" s="118"/>
      <c r="J698" s="119">
        <v>45539</v>
      </c>
      <c r="K698" s="120">
        <v>2224886</v>
      </c>
      <c r="L698" s="115"/>
      <c r="M698" s="115"/>
      <c r="N698" s="121" t="s">
        <v>1590</v>
      </c>
      <c r="O698" s="184"/>
      <c r="P698" s="122" t="s">
        <v>49</v>
      </c>
      <c r="Q698" s="122"/>
      <c r="R698" s="123"/>
    </row>
    <row r="699" spans="1:18" ht="46.5" hidden="1">
      <c r="B699" s="114" t="s">
        <v>79</v>
      </c>
      <c r="C699" s="115"/>
      <c r="D699" s="170" t="s">
        <v>1636</v>
      </c>
      <c r="E699" s="171" t="s">
        <v>46</v>
      </c>
      <c r="F699" s="117"/>
      <c r="G699" s="118"/>
      <c r="H699" s="118"/>
      <c r="I699" s="118"/>
      <c r="J699" s="119">
        <v>45539</v>
      </c>
      <c r="K699" s="120">
        <v>2240553</v>
      </c>
      <c r="L699" s="115"/>
      <c r="M699" s="115"/>
      <c r="N699" s="121" t="s">
        <v>1637</v>
      </c>
      <c r="O699" s="163"/>
      <c r="P699" s="176" t="s">
        <v>49</v>
      </c>
      <c r="Q699" s="53"/>
      <c r="R699" s="54"/>
    </row>
    <row r="700" spans="1:18" ht="48" hidden="1">
      <c r="B700" s="114" t="s">
        <v>146</v>
      </c>
      <c r="C700" s="115"/>
      <c r="D700" s="170" t="s">
        <v>1638</v>
      </c>
      <c r="E700" s="171" t="s">
        <v>46</v>
      </c>
      <c r="F700" s="117"/>
      <c r="G700" s="118"/>
      <c r="H700" s="118"/>
      <c r="I700" s="118"/>
      <c r="J700" s="119">
        <v>45540</v>
      </c>
      <c r="K700" s="120">
        <v>2228025</v>
      </c>
      <c r="L700" s="115"/>
      <c r="M700" s="115"/>
      <c r="N700" s="121" t="s">
        <v>1629</v>
      </c>
      <c r="O700" s="163"/>
      <c r="P700" s="176" t="s">
        <v>49</v>
      </c>
      <c r="Q700" s="53"/>
      <c r="R700" s="54"/>
    </row>
    <row r="701" spans="1:18" ht="63.95" hidden="1">
      <c r="B701" s="114" t="s">
        <v>1520</v>
      </c>
      <c r="C701" s="115"/>
      <c r="D701" s="170" t="s">
        <v>1639</v>
      </c>
      <c r="E701" s="171" t="s">
        <v>46</v>
      </c>
      <c r="F701" s="117"/>
      <c r="G701" s="118"/>
      <c r="H701" s="118"/>
      <c r="I701" s="118"/>
      <c r="J701" s="119">
        <v>45540</v>
      </c>
      <c r="K701" s="120">
        <v>2228718</v>
      </c>
      <c r="L701" s="115"/>
      <c r="M701" s="115"/>
      <c r="N701" s="121" t="s">
        <v>1590</v>
      </c>
      <c r="O701" s="163"/>
      <c r="P701" s="176" t="s">
        <v>49</v>
      </c>
      <c r="Q701" s="53"/>
      <c r="R701" s="54"/>
    </row>
    <row r="702" spans="1:18" s="125" customFormat="1" ht="32.1" hidden="1">
      <c r="A702" s="1"/>
      <c r="B702" s="114" t="s">
        <v>1349</v>
      </c>
      <c r="C702" s="115"/>
      <c r="D702" s="170" t="s">
        <v>1640</v>
      </c>
      <c r="E702" s="171" t="s">
        <v>46</v>
      </c>
      <c r="F702" s="117"/>
      <c r="G702" s="118"/>
      <c r="H702" s="118"/>
      <c r="I702" s="118"/>
      <c r="J702" s="119">
        <v>45541</v>
      </c>
      <c r="K702" s="120">
        <v>2231116</v>
      </c>
      <c r="L702" s="115"/>
      <c r="M702" s="115"/>
      <c r="N702" s="121" t="s">
        <v>1590</v>
      </c>
      <c r="O702" s="163"/>
      <c r="P702" s="176" t="s">
        <v>49</v>
      </c>
      <c r="Q702" s="53"/>
      <c r="R702" s="54"/>
    </row>
    <row r="703" spans="1:18" ht="32.1" hidden="1">
      <c r="B703" s="114" t="s">
        <v>1641</v>
      </c>
      <c r="C703" s="115"/>
      <c r="D703" s="170" t="s">
        <v>1642</v>
      </c>
      <c r="E703" s="171" t="s">
        <v>46</v>
      </c>
      <c r="F703" s="117"/>
      <c r="G703" s="118"/>
      <c r="H703" s="118"/>
      <c r="I703" s="118"/>
      <c r="J703" s="119">
        <v>45544</v>
      </c>
      <c r="K703" s="120">
        <v>2240485</v>
      </c>
      <c r="L703" s="115"/>
      <c r="M703" s="115"/>
      <c r="N703" s="121" t="s">
        <v>1637</v>
      </c>
      <c r="O703" s="163"/>
      <c r="P703" s="176" t="s">
        <v>49</v>
      </c>
      <c r="Q703" s="292"/>
      <c r="R703" s="296"/>
    </row>
    <row r="704" spans="1:18" ht="32.1" hidden="1">
      <c r="B704" s="114" t="s">
        <v>54</v>
      </c>
      <c r="C704" s="115"/>
      <c r="D704" s="170" t="s">
        <v>1643</v>
      </c>
      <c r="E704" s="171" t="s">
        <v>46</v>
      </c>
      <c r="F704" s="117"/>
      <c r="G704" s="118"/>
      <c r="H704" s="118"/>
      <c r="I704" s="118"/>
      <c r="J704" s="119">
        <v>45545</v>
      </c>
      <c r="K704" s="120">
        <v>2243710</v>
      </c>
      <c r="L704" s="115"/>
      <c r="M704" s="115"/>
      <c r="N704" s="121" t="s">
        <v>1637</v>
      </c>
      <c r="O704" s="163"/>
      <c r="P704" s="176" t="s">
        <v>49</v>
      </c>
      <c r="Q704" s="292"/>
      <c r="R704" s="296"/>
    </row>
    <row r="705" spans="2:18" ht="32.1" hidden="1">
      <c r="B705" s="114" t="s">
        <v>1480</v>
      </c>
      <c r="C705" s="115"/>
      <c r="D705" s="170" t="s">
        <v>1644</v>
      </c>
      <c r="E705" s="171" t="s">
        <v>46</v>
      </c>
      <c r="F705" s="117"/>
      <c r="G705" s="118"/>
      <c r="H705" s="118"/>
      <c r="I705" s="118"/>
      <c r="J705" s="119">
        <v>45546</v>
      </c>
      <c r="K705" s="120">
        <v>2250207</v>
      </c>
      <c r="L705" s="115"/>
      <c r="M705" s="115"/>
      <c r="N705" s="121" t="s">
        <v>1637</v>
      </c>
      <c r="O705" s="163"/>
      <c r="P705" s="176" t="s">
        <v>49</v>
      </c>
      <c r="Q705" s="53"/>
      <c r="R705" s="54"/>
    </row>
    <row r="706" spans="2:18" ht="32.1" hidden="1">
      <c r="B706" s="114" t="s">
        <v>129</v>
      </c>
      <c r="C706" s="115"/>
      <c r="D706" s="170" t="s">
        <v>1645</v>
      </c>
      <c r="E706" s="171" t="s">
        <v>46</v>
      </c>
      <c r="F706" s="117"/>
      <c r="G706" s="118"/>
      <c r="H706" s="118"/>
      <c r="I706" s="118"/>
      <c r="J706" s="119">
        <v>45546</v>
      </c>
      <c r="K706" s="120">
        <v>2250212</v>
      </c>
      <c r="L706" s="115"/>
      <c r="M706" s="115"/>
      <c r="N706" s="121" t="s">
        <v>1637</v>
      </c>
      <c r="O706" s="163"/>
      <c r="P706" s="176" t="s">
        <v>49</v>
      </c>
      <c r="Q706" s="53"/>
      <c r="R706" s="54"/>
    </row>
    <row r="707" spans="2:18" ht="32.1" hidden="1">
      <c r="B707" s="114" t="s">
        <v>71</v>
      </c>
      <c r="C707" s="115"/>
      <c r="D707" s="170" t="s">
        <v>1646</v>
      </c>
      <c r="E707" s="171" t="s">
        <v>46</v>
      </c>
      <c r="F707" s="117"/>
      <c r="G707" s="118"/>
      <c r="H707" s="118"/>
      <c r="I707" s="118"/>
      <c r="J707" s="119">
        <v>45546</v>
      </c>
      <c r="K707" s="120">
        <v>2250233</v>
      </c>
      <c r="L707" s="115"/>
      <c r="M707" s="115"/>
      <c r="N707" s="121" t="s">
        <v>1637</v>
      </c>
      <c r="O707" s="163"/>
      <c r="P707" s="176" t="s">
        <v>49</v>
      </c>
      <c r="Q707" s="53"/>
      <c r="R707" s="54"/>
    </row>
    <row r="708" spans="2:18" ht="32.1" hidden="1">
      <c r="B708" s="114" t="s">
        <v>222</v>
      </c>
      <c r="C708" s="115"/>
      <c r="D708" s="170" t="s">
        <v>1647</v>
      </c>
      <c r="E708" s="171" t="s">
        <v>46</v>
      </c>
      <c r="F708" s="117"/>
      <c r="G708" s="118"/>
      <c r="H708" s="118"/>
      <c r="I708" s="118"/>
      <c r="J708" s="119">
        <v>45547</v>
      </c>
      <c r="K708" s="120">
        <v>2250256</v>
      </c>
      <c r="L708" s="115"/>
      <c r="M708" s="115"/>
      <c r="N708" s="121" t="s">
        <v>1637</v>
      </c>
      <c r="O708" s="163"/>
      <c r="P708" s="176" t="s">
        <v>49</v>
      </c>
      <c r="Q708" s="53"/>
      <c r="R708" s="54"/>
    </row>
    <row r="709" spans="2:18" ht="32.1" hidden="1">
      <c r="B709" s="114" t="s">
        <v>222</v>
      </c>
      <c r="C709" s="115"/>
      <c r="D709" s="170" t="s">
        <v>1648</v>
      </c>
      <c r="E709" s="171" t="s">
        <v>46</v>
      </c>
      <c r="F709" s="117"/>
      <c r="G709" s="118"/>
      <c r="H709" s="118"/>
      <c r="I709" s="118"/>
      <c r="J709" s="119">
        <v>45547</v>
      </c>
      <c r="K709" s="120">
        <v>2250262</v>
      </c>
      <c r="L709" s="115"/>
      <c r="M709" s="115"/>
      <c r="N709" s="121" t="s">
        <v>1637</v>
      </c>
      <c r="O709" s="163"/>
      <c r="P709" s="176" t="s">
        <v>49</v>
      </c>
      <c r="Q709" s="53"/>
      <c r="R709" s="54"/>
    </row>
    <row r="710" spans="2:18" ht="32.1" hidden="1">
      <c r="B710" s="114" t="s">
        <v>160</v>
      </c>
      <c r="C710" s="115"/>
      <c r="D710" s="170" t="s">
        <v>1649</v>
      </c>
      <c r="E710" s="171" t="s">
        <v>46</v>
      </c>
      <c r="F710" s="117"/>
      <c r="G710" s="118"/>
      <c r="H710" s="118"/>
      <c r="I710" s="118"/>
      <c r="J710" s="119">
        <v>45547</v>
      </c>
      <c r="K710" s="120">
        <v>2250963</v>
      </c>
      <c r="L710" s="115"/>
      <c r="M710" s="115"/>
      <c r="N710" s="121" t="s">
        <v>1637</v>
      </c>
      <c r="O710" s="163" t="s">
        <v>1650</v>
      </c>
      <c r="P710" s="176" t="s">
        <v>49</v>
      </c>
      <c r="Q710" s="53"/>
      <c r="R710" s="54"/>
    </row>
    <row r="711" spans="2:18" ht="32.1" hidden="1">
      <c r="B711" s="114" t="s">
        <v>91</v>
      </c>
      <c r="C711" s="115"/>
      <c r="D711" s="170" t="s">
        <v>1651</v>
      </c>
      <c r="E711" s="171" t="s">
        <v>46</v>
      </c>
      <c r="F711" s="117"/>
      <c r="G711" s="118"/>
      <c r="H711" s="118"/>
      <c r="I711" s="118"/>
      <c r="J711" s="119">
        <v>45547</v>
      </c>
      <c r="K711" s="120">
        <v>2276923</v>
      </c>
      <c r="L711" s="115"/>
      <c r="M711" s="115"/>
      <c r="N711" s="121" t="s">
        <v>1652</v>
      </c>
      <c r="O711" s="163" t="s">
        <v>1625</v>
      </c>
      <c r="P711" s="176" t="s">
        <v>49</v>
      </c>
      <c r="Q711" s="53"/>
      <c r="R711" s="54"/>
    </row>
    <row r="712" spans="2:18" ht="32.1" hidden="1">
      <c r="B712" s="114" t="s">
        <v>1480</v>
      </c>
      <c r="C712" s="115"/>
      <c r="D712" s="170" t="s">
        <v>1653</v>
      </c>
      <c r="E712" s="171" t="s">
        <v>46</v>
      </c>
      <c r="F712" s="117"/>
      <c r="G712" s="118"/>
      <c r="H712" s="118"/>
      <c r="I712" s="118"/>
      <c r="J712" s="119">
        <v>45548</v>
      </c>
      <c r="K712" s="120">
        <v>2253343</v>
      </c>
      <c r="L712" s="115"/>
      <c r="M712" s="115"/>
      <c r="N712" s="121" t="s">
        <v>1637</v>
      </c>
      <c r="O712" s="163"/>
      <c r="P712" s="176" t="s">
        <v>49</v>
      </c>
      <c r="Q712" s="53"/>
      <c r="R712" s="54"/>
    </row>
    <row r="713" spans="2:18" ht="32.1" hidden="1">
      <c r="B713" s="114" t="s">
        <v>146</v>
      </c>
      <c r="C713" s="115"/>
      <c r="D713" s="170" t="s">
        <v>1654</v>
      </c>
      <c r="E713" s="171" t="s">
        <v>46</v>
      </c>
      <c r="F713" s="117"/>
      <c r="G713" s="118"/>
      <c r="H713" s="118"/>
      <c r="I713" s="118"/>
      <c r="J713" s="119">
        <v>45548</v>
      </c>
      <c r="K713" s="120">
        <v>2270588</v>
      </c>
      <c r="L713" s="115"/>
      <c r="M713" s="115"/>
      <c r="N713" s="121" t="s">
        <v>1655</v>
      </c>
      <c r="O713" s="163"/>
      <c r="P713" s="176" t="s">
        <v>49</v>
      </c>
      <c r="Q713" s="53"/>
      <c r="R713" s="54"/>
    </row>
    <row r="714" spans="2:18" ht="48" hidden="1">
      <c r="B714" s="114" t="s">
        <v>163</v>
      </c>
      <c r="C714" s="115"/>
      <c r="D714" s="116" t="s">
        <v>1656</v>
      </c>
      <c r="E714" s="117" t="s">
        <v>46</v>
      </c>
      <c r="F714" s="117"/>
      <c r="G714" s="118"/>
      <c r="H714" s="118"/>
      <c r="I714" s="118"/>
      <c r="J714" s="119">
        <v>45549</v>
      </c>
      <c r="K714" s="120">
        <v>2289526</v>
      </c>
      <c r="L714" s="115"/>
      <c r="M714" s="115"/>
      <c r="N714" s="121" t="s">
        <v>1655</v>
      </c>
      <c r="O714" s="184"/>
      <c r="P714" s="122" t="s">
        <v>49</v>
      </c>
      <c r="Q714" s="122"/>
      <c r="R714" s="123"/>
    </row>
    <row r="715" spans="2:18" ht="32.1" hidden="1">
      <c r="B715" s="114" t="s">
        <v>63</v>
      </c>
      <c r="C715" s="115"/>
      <c r="D715" s="170" t="s">
        <v>1657</v>
      </c>
      <c r="E715" s="171" t="s">
        <v>46</v>
      </c>
      <c r="F715" s="117"/>
      <c r="G715" s="118"/>
      <c r="H715" s="118"/>
      <c r="I715" s="118"/>
      <c r="J715" s="119">
        <v>45550</v>
      </c>
      <c r="K715" s="120">
        <v>2263472</v>
      </c>
      <c r="L715" s="115"/>
      <c r="M715" s="115"/>
      <c r="N715" s="121" t="s">
        <v>1658</v>
      </c>
      <c r="O715" s="163"/>
      <c r="P715" s="176" t="s">
        <v>49</v>
      </c>
      <c r="Q715" s="53"/>
      <c r="R715" s="54"/>
    </row>
    <row r="716" spans="2:18" ht="32.1" hidden="1">
      <c r="B716" s="114" t="s">
        <v>63</v>
      </c>
      <c r="C716" s="115"/>
      <c r="D716" s="170" t="s">
        <v>1659</v>
      </c>
      <c r="E716" s="171" t="s">
        <v>46</v>
      </c>
      <c r="F716" s="117"/>
      <c r="G716" s="118"/>
      <c r="H716" s="118"/>
      <c r="I716" s="118"/>
      <c r="J716" s="119">
        <v>45551</v>
      </c>
      <c r="K716" s="120">
        <v>2263728</v>
      </c>
      <c r="L716" s="115"/>
      <c r="M716" s="115"/>
      <c r="N716" s="121" t="s">
        <v>1658</v>
      </c>
      <c r="O716" s="163"/>
      <c r="P716" s="176" t="s">
        <v>49</v>
      </c>
      <c r="Q716" s="53"/>
      <c r="R716" s="54"/>
    </row>
    <row r="717" spans="2:18" ht="32.1" hidden="1">
      <c r="B717" s="114" t="s">
        <v>63</v>
      </c>
      <c r="C717" s="115"/>
      <c r="D717" s="170" t="s">
        <v>1660</v>
      </c>
      <c r="E717" s="171" t="s">
        <v>46</v>
      </c>
      <c r="F717" s="117"/>
      <c r="G717" s="118"/>
      <c r="H717" s="118"/>
      <c r="I717" s="118"/>
      <c r="J717" s="119">
        <v>45552</v>
      </c>
      <c r="K717" s="120">
        <v>2273628</v>
      </c>
      <c r="L717" s="115"/>
      <c r="M717" s="115"/>
      <c r="N717" s="121" t="s">
        <v>1658</v>
      </c>
      <c r="O717" s="163"/>
      <c r="P717" s="176" t="s">
        <v>49</v>
      </c>
      <c r="Q717" s="53"/>
      <c r="R717" s="54"/>
    </row>
    <row r="718" spans="2:18" ht="48" hidden="1">
      <c r="B718" s="114" t="s">
        <v>63</v>
      </c>
      <c r="C718" s="115"/>
      <c r="D718" s="170" t="s">
        <v>1661</v>
      </c>
      <c r="E718" s="171" t="s">
        <v>46</v>
      </c>
      <c r="F718" s="117"/>
      <c r="G718" s="118"/>
      <c r="H718" s="118"/>
      <c r="I718" s="118"/>
      <c r="J718" s="119">
        <v>45553</v>
      </c>
      <c r="K718" s="120">
        <v>2296726</v>
      </c>
      <c r="L718" s="115"/>
      <c r="M718" s="115"/>
      <c r="N718" s="121" t="s">
        <v>1655</v>
      </c>
      <c r="O718" s="163"/>
      <c r="P718" s="176" t="s">
        <v>49</v>
      </c>
      <c r="Q718" s="53"/>
      <c r="R718" s="54"/>
    </row>
    <row r="719" spans="2:18" ht="32.1" hidden="1">
      <c r="B719" s="114" t="s">
        <v>160</v>
      </c>
      <c r="C719" s="115"/>
      <c r="D719" s="170" t="s">
        <v>1662</v>
      </c>
      <c r="E719" s="171" t="s">
        <v>46</v>
      </c>
      <c r="F719" s="117"/>
      <c r="G719" s="118"/>
      <c r="H719" s="118"/>
      <c r="I719" s="118"/>
      <c r="J719" s="119">
        <v>45554</v>
      </c>
      <c r="K719" s="120">
        <v>2273995</v>
      </c>
      <c r="L719" s="115"/>
      <c r="M719" s="115"/>
      <c r="N719" s="121" t="s">
        <v>1663</v>
      </c>
      <c r="O719" s="316" t="s">
        <v>1664</v>
      </c>
      <c r="P719" s="176" t="s">
        <v>49</v>
      </c>
      <c r="Q719" s="53"/>
      <c r="R719" s="54"/>
    </row>
    <row r="720" spans="2:18" ht="32.1" hidden="1">
      <c r="B720" s="114" t="s">
        <v>54</v>
      </c>
      <c r="C720" s="115"/>
      <c r="D720" s="170" t="s">
        <v>1665</v>
      </c>
      <c r="E720" s="171" t="s">
        <v>46</v>
      </c>
      <c r="F720" s="171"/>
      <c r="G720" s="117"/>
      <c r="H720" s="118"/>
      <c r="I720" s="118"/>
      <c r="J720" s="119">
        <v>45554</v>
      </c>
      <c r="K720" s="120"/>
      <c r="L720" s="120"/>
      <c r="M720" s="115"/>
      <c r="N720" s="121" t="s">
        <v>1666</v>
      </c>
      <c r="O720" s="281"/>
      <c r="P720" s="64" t="s">
        <v>49</v>
      </c>
      <c r="Q720" s="289"/>
      <c r="R720" s="295"/>
    </row>
    <row r="721" spans="1:18" ht="32.1" hidden="1">
      <c r="B721" s="114" t="s">
        <v>1480</v>
      </c>
      <c r="C721" s="115"/>
      <c r="D721" s="170" t="s">
        <v>1667</v>
      </c>
      <c r="E721" s="171" t="s">
        <v>46</v>
      </c>
      <c r="F721" s="117"/>
      <c r="G721" s="118"/>
      <c r="H721" s="118"/>
      <c r="I721" s="118"/>
      <c r="J721" s="119">
        <v>45555</v>
      </c>
      <c r="K721" s="120">
        <v>2296670</v>
      </c>
      <c r="L721" s="115"/>
      <c r="M721" s="115"/>
      <c r="N721" s="121" t="s">
        <v>1655</v>
      </c>
      <c r="O721" s="163" t="s">
        <v>1606</v>
      </c>
      <c r="P721" s="176" t="s">
        <v>49</v>
      </c>
      <c r="Q721" s="53"/>
      <c r="R721" s="54"/>
    </row>
    <row r="722" spans="1:18" s="125" customFormat="1" ht="32.1" hidden="1">
      <c r="A722" s="1"/>
      <c r="B722" s="114" t="s">
        <v>79</v>
      </c>
      <c r="C722" s="115"/>
      <c r="D722" s="170" t="s">
        <v>1668</v>
      </c>
      <c r="E722" s="171" t="s">
        <v>46</v>
      </c>
      <c r="F722" s="117"/>
      <c r="G722" s="118"/>
      <c r="H722" s="118"/>
      <c r="I722" s="118"/>
      <c r="J722" s="119">
        <v>45556</v>
      </c>
      <c r="K722" s="120">
        <v>2274415</v>
      </c>
      <c r="L722" s="115"/>
      <c r="M722" s="115"/>
      <c r="N722" s="121" t="s">
        <v>1655</v>
      </c>
      <c r="O722" s="163" t="s">
        <v>1669</v>
      </c>
      <c r="P722" s="176" t="s">
        <v>49</v>
      </c>
      <c r="Q722" s="53"/>
      <c r="R722" s="54"/>
    </row>
    <row r="723" spans="1:18" ht="32.1" hidden="1">
      <c r="B723" s="114" t="s">
        <v>610</v>
      </c>
      <c r="C723" s="115"/>
      <c r="D723" s="170" t="s">
        <v>1670</v>
      </c>
      <c r="E723" s="171" t="s">
        <v>46</v>
      </c>
      <c r="F723" s="117"/>
      <c r="G723" s="118"/>
      <c r="H723" s="118"/>
      <c r="I723" s="118"/>
      <c r="J723" s="119">
        <v>45557</v>
      </c>
      <c r="K723" s="120">
        <v>2264511</v>
      </c>
      <c r="L723" s="115"/>
      <c r="M723" s="115"/>
      <c r="N723" s="121" t="s">
        <v>1658</v>
      </c>
      <c r="O723" s="163"/>
      <c r="P723" s="176" t="s">
        <v>49</v>
      </c>
      <c r="Q723" s="53"/>
      <c r="R723" s="54"/>
    </row>
    <row r="724" spans="1:18" ht="32.1" hidden="1">
      <c r="B724" s="114" t="s">
        <v>222</v>
      </c>
      <c r="C724" s="115"/>
      <c r="D724" s="170" t="s">
        <v>1671</v>
      </c>
      <c r="E724" s="171" t="s">
        <v>46</v>
      </c>
      <c r="F724" s="117"/>
      <c r="G724" s="118"/>
      <c r="H724" s="118"/>
      <c r="I724" s="118"/>
      <c r="J724" s="119">
        <v>45558</v>
      </c>
      <c r="K724" s="120">
        <v>2276997</v>
      </c>
      <c r="L724" s="115"/>
      <c r="M724" s="115"/>
      <c r="N724" s="121" t="s">
        <v>1658</v>
      </c>
      <c r="O724" s="163"/>
      <c r="P724" s="176" t="s">
        <v>49</v>
      </c>
      <c r="Q724" s="293"/>
      <c r="R724" s="297"/>
    </row>
    <row r="725" spans="1:18" ht="48" hidden="1">
      <c r="B725" s="114" t="s">
        <v>222</v>
      </c>
      <c r="C725" s="115"/>
      <c r="D725" s="170" t="s">
        <v>1672</v>
      </c>
      <c r="E725" s="171" t="s">
        <v>46</v>
      </c>
      <c r="F725" s="117"/>
      <c r="G725" s="118"/>
      <c r="H725" s="118"/>
      <c r="I725" s="118"/>
      <c r="J725" s="119">
        <v>45559</v>
      </c>
      <c r="K725" s="120">
        <v>2299998</v>
      </c>
      <c r="L725" s="115"/>
      <c r="M725" s="115"/>
      <c r="N725" s="121" t="s">
        <v>1655</v>
      </c>
      <c r="O725" s="163" t="s">
        <v>1673</v>
      </c>
      <c r="P725" s="176" t="s">
        <v>49</v>
      </c>
      <c r="Q725" s="293"/>
      <c r="R725" s="297"/>
    </row>
    <row r="726" spans="1:18" ht="45" hidden="1">
      <c r="B726" s="114" t="s">
        <v>129</v>
      </c>
      <c r="C726" s="115"/>
      <c r="D726" s="170" t="s">
        <v>1674</v>
      </c>
      <c r="E726" s="171" t="s">
        <v>46</v>
      </c>
      <c r="F726" s="117"/>
      <c r="G726" s="118"/>
      <c r="H726" s="118"/>
      <c r="I726" s="118"/>
      <c r="J726" s="119">
        <v>45560</v>
      </c>
      <c r="K726" s="120">
        <v>2263496</v>
      </c>
      <c r="L726" s="115"/>
      <c r="M726" s="115"/>
      <c r="N726" s="121" t="s">
        <v>1663</v>
      </c>
      <c r="O726" s="163" t="s">
        <v>1675</v>
      </c>
      <c r="P726" s="176" t="s">
        <v>49</v>
      </c>
      <c r="Q726" s="53"/>
      <c r="R726" s="54"/>
    </row>
    <row r="727" spans="1:18" ht="91.5" hidden="1">
      <c r="B727" s="114" t="s">
        <v>54</v>
      </c>
      <c r="C727" s="115"/>
      <c r="D727" s="170" t="s">
        <v>1676</v>
      </c>
      <c r="E727" s="171" t="s">
        <v>46</v>
      </c>
      <c r="F727" s="171"/>
      <c r="G727" s="117"/>
      <c r="H727" s="118"/>
      <c r="I727" s="118"/>
      <c r="J727" s="119">
        <v>45560</v>
      </c>
      <c r="K727" s="120"/>
      <c r="L727" s="120"/>
      <c r="M727" s="115"/>
      <c r="N727" s="121" t="s">
        <v>1666</v>
      </c>
      <c r="O727" s="281"/>
      <c r="P727" s="64" t="s">
        <v>49</v>
      </c>
      <c r="Q727" s="289"/>
      <c r="R727" s="295"/>
    </row>
    <row r="728" spans="1:18" ht="32.1" hidden="1">
      <c r="B728" s="114" t="s">
        <v>129</v>
      </c>
      <c r="C728" s="115"/>
      <c r="D728" s="170" t="s">
        <v>1677</v>
      </c>
      <c r="E728" s="171" t="s">
        <v>46</v>
      </c>
      <c r="F728" s="117"/>
      <c r="G728" s="118"/>
      <c r="H728" s="118"/>
      <c r="I728" s="118"/>
      <c r="J728" s="119">
        <v>45561</v>
      </c>
      <c r="K728" s="120">
        <v>2270473</v>
      </c>
      <c r="L728" s="115"/>
      <c r="M728" s="115"/>
      <c r="N728" s="121" t="s">
        <v>1658</v>
      </c>
      <c r="O728" s="163"/>
      <c r="P728" s="176" t="s">
        <v>49</v>
      </c>
      <c r="Q728" s="289"/>
      <c r="R728" s="295"/>
    </row>
    <row r="729" spans="1:18" ht="32.1" hidden="1">
      <c r="B729" s="114" t="s">
        <v>129</v>
      </c>
      <c r="C729" s="115"/>
      <c r="D729" s="170" t="s">
        <v>1678</v>
      </c>
      <c r="E729" s="171" t="s">
        <v>46</v>
      </c>
      <c r="F729" s="117"/>
      <c r="G729" s="118"/>
      <c r="H729" s="118"/>
      <c r="I729" s="118"/>
      <c r="J729" s="119">
        <v>45562</v>
      </c>
      <c r="K729" s="120">
        <v>2296618</v>
      </c>
      <c r="L729" s="115"/>
      <c r="M729" s="115"/>
      <c r="N729" s="121" t="s">
        <v>1655</v>
      </c>
      <c r="O729" s="163" t="s">
        <v>1679</v>
      </c>
      <c r="P729" s="176" t="s">
        <v>49</v>
      </c>
      <c r="Q729" s="289"/>
      <c r="R729" s="295"/>
    </row>
    <row r="730" spans="1:18" ht="93" hidden="1">
      <c r="B730" s="114" t="s">
        <v>1480</v>
      </c>
      <c r="C730" s="115"/>
      <c r="D730" s="170" t="s">
        <v>1680</v>
      </c>
      <c r="E730" s="171" t="s">
        <v>46</v>
      </c>
      <c r="F730" s="171"/>
      <c r="G730" s="117"/>
      <c r="H730" s="118"/>
      <c r="I730" s="118"/>
      <c r="J730" s="119">
        <v>45562</v>
      </c>
      <c r="K730" s="120"/>
      <c r="L730" s="120"/>
      <c r="M730" s="115"/>
      <c r="N730" s="121" t="s">
        <v>1666</v>
      </c>
      <c r="O730" s="281"/>
      <c r="P730" s="64" t="s">
        <v>49</v>
      </c>
      <c r="Q730" s="289"/>
      <c r="R730" s="295"/>
    </row>
    <row r="731" spans="1:18" ht="63.95" hidden="1">
      <c r="B731" s="114" t="s">
        <v>156</v>
      </c>
      <c r="C731" s="115"/>
      <c r="D731" s="170" t="s">
        <v>1681</v>
      </c>
      <c r="E731" s="171" t="s">
        <v>46</v>
      </c>
      <c r="F731" s="117"/>
      <c r="G731" s="118"/>
      <c r="H731" s="118"/>
      <c r="I731" s="118"/>
      <c r="J731" s="119">
        <v>45563</v>
      </c>
      <c r="K731" s="120">
        <v>2273599</v>
      </c>
      <c r="L731" s="115"/>
      <c r="M731" s="115"/>
      <c r="N731" s="121" t="s">
        <v>1682</v>
      </c>
      <c r="O731" s="163"/>
      <c r="P731" s="176" t="s">
        <v>49</v>
      </c>
      <c r="Q731" s="289"/>
      <c r="R731" s="295"/>
    </row>
    <row r="732" spans="1:18" ht="48" hidden="1">
      <c r="B732" s="114" t="s">
        <v>86</v>
      </c>
      <c r="C732" s="115"/>
      <c r="D732" s="170" t="s">
        <v>1556</v>
      </c>
      <c r="E732" s="171" t="s">
        <v>46</v>
      </c>
      <c r="F732" s="117"/>
      <c r="G732" s="118"/>
      <c r="H732" s="118"/>
      <c r="I732" s="118"/>
      <c r="J732" s="119">
        <v>45564</v>
      </c>
      <c r="K732" s="120">
        <v>2240643</v>
      </c>
      <c r="L732" s="115"/>
      <c r="M732" s="115"/>
      <c r="N732" s="121" t="s">
        <v>1658</v>
      </c>
      <c r="O732" s="163"/>
      <c r="P732" s="176" t="s">
        <v>49</v>
      </c>
      <c r="Q732" s="289"/>
      <c r="R732" s="295"/>
    </row>
    <row r="733" spans="1:18" ht="32.1" hidden="1">
      <c r="B733" s="114" t="s">
        <v>86</v>
      </c>
      <c r="C733" s="115"/>
      <c r="D733" s="170" t="s">
        <v>1683</v>
      </c>
      <c r="E733" s="171" t="s">
        <v>46</v>
      </c>
      <c r="F733" s="117"/>
      <c r="G733" s="118"/>
      <c r="H733" s="118"/>
      <c r="I733" s="118"/>
      <c r="J733" s="119">
        <v>45565</v>
      </c>
      <c r="K733" s="120">
        <v>2287106</v>
      </c>
      <c r="L733" s="115"/>
      <c r="M733" s="115"/>
      <c r="N733" s="121" t="s">
        <v>1658</v>
      </c>
      <c r="O733" s="163"/>
      <c r="P733" s="176" t="s">
        <v>49</v>
      </c>
      <c r="Q733" s="289"/>
      <c r="R733" s="295"/>
    </row>
    <row r="734" spans="1:18" ht="48" hidden="1">
      <c r="B734" s="114" t="s">
        <v>67</v>
      </c>
      <c r="C734" s="115"/>
      <c r="D734" s="170" t="s">
        <v>1684</v>
      </c>
      <c r="E734" s="171" t="s">
        <v>46</v>
      </c>
      <c r="F734" s="171"/>
      <c r="G734" s="117"/>
      <c r="H734" s="118"/>
      <c r="I734" s="118"/>
      <c r="J734" s="119">
        <v>45565</v>
      </c>
      <c r="K734" s="120">
        <v>2311389</v>
      </c>
      <c r="L734" s="120"/>
      <c r="M734" s="115"/>
      <c r="N734" s="121" t="s">
        <v>1685</v>
      </c>
      <c r="O734" s="281"/>
      <c r="P734" s="64" t="s">
        <v>49</v>
      </c>
      <c r="Q734" s="289"/>
      <c r="R734" s="295"/>
    </row>
    <row r="735" spans="1:18" ht="32.1" hidden="1">
      <c r="B735" s="114" t="s">
        <v>163</v>
      </c>
      <c r="C735" s="115"/>
      <c r="D735" s="170" t="s">
        <v>1686</v>
      </c>
      <c r="E735" s="171" t="s">
        <v>46</v>
      </c>
      <c r="F735" s="171"/>
      <c r="G735" s="117"/>
      <c r="H735" s="118"/>
      <c r="I735" s="118"/>
      <c r="J735" s="119">
        <v>45566</v>
      </c>
      <c r="K735" s="120">
        <v>2313691</v>
      </c>
      <c r="L735" s="120"/>
      <c r="M735" s="115"/>
      <c r="N735" s="121" t="s">
        <v>1666</v>
      </c>
      <c r="O735" s="281"/>
      <c r="P735" s="64" t="s">
        <v>49</v>
      </c>
      <c r="Q735" s="289"/>
      <c r="R735" s="295"/>
    </row>
    <row r="736" spans="1:18" ht="32.1" hidden="1">
      <c r="B736" s="114" t="s">
        <v>160</v>
      </c>
      <c r="C736" s="115"/>
      <c r="D736" s="170" t="s">
        <v>1687</v>
      </c>
      <c r="E736" s="171" t="s">
        <v>46</v>
      </c>
      <c r="F736" s="171"/>
      <c r="G736" s="117"/>
      <c r="H736" s="118"/>
      <c r="I736" s="118"/>
      <c r="J736" s="119">
        <v>45566</v>
      </c>
      <c r="K736" s="120">
        <v>2313718</v>
      </c>
      <c r="L736" s="120"/>
      <c r="M736" s="115"/>
      <c r="N736" s="121" t="s">
        <v>1685</v>
      </c>
      <c r="O736" s="281"/>
      <c r="P736" s="64" t="s">
        <v>49</v>
      </c>
      <c r="Q736" s="289"/>
      <c r="R736" s="295"/>
    </row>
    <row r="737" spans="2:18" ht="63.95" hidden="1">
      <c r="B737" s="114" t="s">
        <v>160</v>
      </c>
      <c r="C737" s="115"/>
      <c r="D737" s="170" t="s">
        <v>1688</v>
      </c>
      <c r="E737" s="171" t="s">
        <v>46</v>
      </c>
      <c r="F737" s="171"/>
      <c r="G737" s="117"/>
      <c r="H737" s="118"/>
      <c r="I737" s="118"/>
      <c r="J737" s="119">
        <v>45567</v>
      </c>
      <c r="K737" s="120">
        <v>2314709</v>
      </c>
      <c r="L737" s="120"/>
      <c r="M737" s="115"/>
      <c r="N737" s="121" t="s">
        <v>1666</v>
      </c>
      <c r="O737" s="281"/>
      <c r="P737" s="64" t="s">
        <v>49</v>
      </c>
      <c r="Q737" s="289"/>
      <c r="R737" s="295"/>
    </row>
    <row r="738" spans="2:18" ht="32.1">
      <c r="B738" s="114" t="s">
        <v>190</v>
      </c>
      <c r="C738" s="115"/>
      <c r="D738" s="170" t="s">
        <v>1689</v>
      </c>
      <c r="E738" s="171" t="s">
        <v>46</v>
      </c>
      <c r="F738" s="171"/>
      <c r="G738" s="117"/>
      <c r="H738" s="118"/>
      <c r="I738" s="118"/>
      <c r="J738" s="119">
        <v>45567</v>
      </c>
      <c r="K738" s="120">
        <v>2318012</v>
      </c>
      <c r="L738" s="120"/>
      <c r="M738" s="115"/>
      <c r="N738" s="121" t="s">
        <v>1666</v>
      </c>
      <c r="O738" s="281" t="s">
        <v>991</v>
      </c>
      <c r="P738" s="64" t="s">
        <v>49</v>
      </c>
      <c r="Q738" s="289"/>
      <c r="R738" s="295"/>
    </row>
    <row r="739" spans="2:18" ht="32.1" hidden="1">
      <c r="B739" s="114" t="s">
        <v>71</v>
      </c>
      <c r="C739" s="115"/>
      <c r="D739" s="170" t="s">
        <v>1690</v>
      </c>
      <c r="E739" s="171" t="s">
        <v>46</v>
      </c>
      <c r="F739" s="171"/>
      <c r="G739" s="117"/>
      <c r="H739" s="118"/>
      <c r="I739" s="118"/>
      <c r="J739" s="119">
        <v>45568</v>
      </c>
      <c r="K739" s="120">
        <v>2320835</v>
      </c>
      <c r="L739" s="120"/>
      <c r="M739" s="115"/>
      <c r="N739" s="121" t="s">
        <v>1666</v>
      </c>
      <c r="O739" s="281"/>
      <c r="P739" s="64" t="s">
        <v>49</v>
      </c>
      <c r="Q739" s="289"/>
      <c r="R739" s="295"/>
    </row>
    <row r="740" spans="2:18" ht="32.1" hidden="1">
      <c r="B740" s="114" t="s">
        <v>160</v>
      </c>
      <c r="C740" s="115"/>
      <c r="D740" s="170" t="s">
        <v>1691</v>
      </c>
      <c r="E740" s="171" t="s">
        <v>46</v>
      </c>
      <c r="F740" s="171"/>
      <c r="G740" s="117"/>
      <c r="H740" s="118"/>
      <c r="I740" s="118"/>
      <c r="J740" s="119">
        <v>45568</v>
      </c>
      <c r="K740" s="120">
        <v>2322025</v>
      </c>
      <c r="L740" s="120"/>
      <c r="M740" s="115"/>
      <c r="N740" s="121" t="s">
        <v>1685</v>
      </c>
      <c r="O740" s="281"/>
      <c r="P740" s="64" t="s">
        <v>49</v>
      </c>
      <c r="Q740" s="289"/>
      <c r="R740" s="295"/>
    </row>
    <row r="741" spans="2:18" ht="32.1" hidden="1">
      <c r="B741" s="114" t="s">
        <v>54</v>
      </c>
      <c r="C741" s="115"/>
      <c r="D741" s="170" t="s">
        <v>1692</v>
      </c>
      <c r="E741" s="171" t="s">
        <v>46</v>
      </c>
      <c r="F741" s="171"/>
      <c r="G741" s="117"/>
      <c r="H741" s="118"/>
      <c r="I741" s="118"/>
      <c r="J741" s="119">
        <v>45568</v>
      </c>
      <c r="K741" s="120">
        <v>2322073</v>
      </c>
      <c r="L741" s="120"/>
      <c r="M741" s="115"/>
      <c r="N741" s="121" t="s">
        <v>1666</v>
      </c>
      <c r="O741" s="281"/>
      <c r="P741" s="64" t="s">
        <v>49</v>
      </c>
      <c r="Q741" s="289"/>
      <c r="R741" s="295"/>
    </row>
    <row r="742" spans="2:18" ht="32.1" hidden="1">
      <c r="B742" s="114" t="s">
        <v>1609</v>
      </c>
      <c r="C742" s="115"/>
      <c r="D742" s="170" t="s">
        <v>1693</v>
      </c>
      <c r="E742" s="171" t="s">
        <v>46</v>
      </c>
      <c r="F742" s="171"/>
      <c r="G742" s="117"/>
      <c r="H742" s="118"/>
      <c r="I742" s="118"/>
      <c r="J742" s="119">
        <v>45569</v>
      </c>
      <c r="K742" s="120"/>
      <c r="L742" s="120"/>
      <c r="M742" s="115"/>
      <c r="N742" s="121" t="s">
        <v>1666</v>
      </c>
      <c r="O742" s="281"/>
      <c r="P742" s="64" t="s">
        <v>49</v>
      </c>
      <c r="Q742" s="289"/>
      <c r="R742" s="295"/>
    </row>
    <row r="743" spans="2:18" ht="63.95" hidden="1">
      <c r="B743" s="114" t="s">
        <v>86</v>
      </c>
      <c r="C743" s="115"/>
      <c r="D743" s="170" t="s">
        <v>1694</v>
      </c>
      <c r="E743" s="171" t="s">
        <v>46</v>
      </c>
      <c r="F743" s="271"/>
      <c r="G743" s="62"/>
      <c r="H743" s="62"/>
      <c r="I743" s="62"/>
      <c r="J743" s="119">
        <v>45572</v>
      </c>
      <c r="K743" s="120">
        <v>2335084</v>
      </c>
      <c r="L743" s="271"/>
      <c r="M743" s="271"/>
      <c r="N743" s="121" t="s">
        <v>1695</v>
      </c>
      <c r="O743" s="281" t="s">
        <v>1696</v>
      </c>
      <c r="P743" s="64" t="s">
        <v>49</v>
      </c>
      <c r="Q743" s="289"/>
      <c r="R743" s="295"/>
    </row>
    <row r="744" spans="2:18" ht="32.1" hidden="1">
      <c r="B744" s="114" t="s">
        <v>129</v>
      </c>
      <c r="C744" s="115"/>
      <c r="D744" s="170" t="s">
        <v>1697</v>
      </c>
      <c r="E744" s="171" t="s">
        <v>46</v>
      </c>
      <c r="F744" s="271"/>
      <c r="G744" s="62"/>
      <c r="H744" s="62"/>
      <c r="I744" s="62"/>
      <c r="J744" s="119">
        <v>45572</v>
      </c>
      <c r="K744" s="120">
        <v>2335160</v>
      </c>
      <c r="L744" s="271"/>
      <c r="M744" s="271"/>
      <c r="N744" s="121" t="s">
        <v>1698</v>
      </c>
      <c r="O744" s="281" t="s">
        <v>1625</v>
      </c>
      <c r="P744" s="64" t="s">
        <v>49</v>
      </c>
      <c r="Q744" s="289"/>
      <c r="R744" s="295"/>
    </row>
    <row r="745" spans="2:18" ht="32.1" hidden="1">
      <c r="B745" s="114" t="s">
        <v>129</v>
      </c>
      <c r="C745" s="115"/>
      <c r="D745" s="170" t="s">
        <v>1699</v>
      </c>
      <c r="E745" s="171" t="s">
        <v>46</v>
      </c>
      <c r="F745" s="271"/>
      <c r="G745" s="62"/>
      <c r="H745" s="62"/>
      <c r="I745" s="62"/>
      <c r="J745" s="119">
        <v>45572</v>
      </c>
      <c r="K745" s="120">
        <v>2335210</v>
      </c>
      <c r="L745" s="271"/>
      <c r="M745" s="271"/>
      <c r="N745" s="121" t="s">
        <v>1698</v>
      </c>
      <c r="O745" s="281" t="s">
        <v>1625</v>
      </c>
      <c r="P745" s="64" t="s">
        <v>49</v>
      </c>
      <c r="Q745" s="289"/>
      <c r="R745" s="295"/>
    </row>
    <row r="746" spans="2:18" ht="32.1" hidden="1">
      <c r="B746" s="114" t="s">
        <v>1349</v>
      </c>
      <c r="C746" s="115"/>
      <c r="D746" s="170" t="s">
        <v>1700</v>
      </c>
      <c r="E746" s="171" t="s">
        <v>46</v>
      </c>
      <c r="F746" s="271"/>
      <c r="G746" s="62"/>
      <c r="H746" s="62"/>
      <c r="I746" s="62"/>
      <c r="J746" s="119">
        <v>45572</v>
      </c>
      <c r="K746" s="120">
        <v>2335561</v>
      </c>
      <c r="L746" s="271"/>
      <c r="M746" s="271"/>
      <c r="N746" s="121" t="s">
        <v>1701</v>
      </c>
      <c r="O746" s="281"/>
      <c r="P746" s="64" t="s">
        <v>49</v>
      </c>
      <c r="Q746" s="289"/>
      <c r="R746" s="295"/>
    </row>
    <row r="747" spans="2:18" ht="32.1" hidden="1">
      <c r="B747" s="114" t="s">
        <v>79</v>
      </c>
      <c r="C747" s="115"/>
      <c r="D747" s="170" t="s">
        <v>1702</v>
      </c>
      <c r="E747" s="171" t="s">
        <v>46</v>
      </c>
      <c r="F747" s="271"/>
      <c r="G747" s="62"/>
      <c r="H747" s="62"/>
      <c r="I747" s="62"/>
      <c r="J747" s="119">
        <v>45572</v>
      </c>
      <c r="K747" s="120">
        <v>2335786</v>
      </c>
      <c r="L747" s="271"/>
      <c r="M747" s="271"/>
      <c r="N747" s="121" t="s">
        <v>1695</v>
      </c>
      <c r="O747" s="281"/>
      <c r="P747" s="64" t="s">
        <v>49</v>
      </c>
      <c r="Q747" s="289"/>
      <c r="R747" s="295"/>
    </row>
    <row r="748" spans="2:18" ht="63.95" hidden="1">
      <c r="B748" s="114" t="s">
        <v>1609</v>
      </c>
      <c r="C748" s="115"/>
      <c r="D748" s="170" t="s">
        <v>1703</v>
      </c>
      <c r="E748" s="171" t="s">
        <v>46</v>
      </c>
      <c r="F748" s="271"/>
      <c r="G748" s="62"/>
      <c r="H748" s="62"/>
      <c r="I748" s="62"/>
      <c r="J748" s="119">
        <v>45573</v>
      </c>
      <c r="K748" s="120">
        <v>2338515</v>
      </c>
      <c r="L748" s="271"/>
      <c r="M748" s="271"/>
      <c r="N748" s="121" t="s">
        <v>1695</v>
      </c>
      <c r="O748" s="281"/>
      <c r="P748" s="64" t="s">
        <v>49</v>
      </c>
    </row>
    <row r="749" spans="2:18" ht="32.1" hidden="1">
      <c r="B749" s="114" t="s">
        <v>91</v>
      </c>
      <c r="C749" s="115"/>
      <c r="D749" s="170" t="s">
        <v>1704</v>
      </c>
      <c r="E749" s="171" t="s">
        <v>46</v>
      </c>
      <c r="F749" s="271"/>
      <c r="G749" s="62"/>
      <c r="H749" s="62"/>
      <c r="I749" s="62"/>
      <c r="J749" s="119">
        <v>45573</v>
      </c>
      <c r="K749" s="120">
        <v>2338668</v>
      </c>
      <c r="L749" s="271"/>
      <c r="M749" s="271"/>
      <c r="N749" s="121" t="s">
        <v>1705</v>
      </c>
      <c r="O749" s="281"/>
      <c r="P749" s="64" t="s">
        <v>49</v>
      </c>
    </row>
    <row r="750" spans="2:18" ht="63.95" hidden="1">
      <c r="B750" s="114" t="s">
        <v>1349</v>
      </c>
      <c r="C750" s="115"/>
      <c r="D750" s="170" t="s">
        <v>1706</v>
      </c>
      <c r="E750" s="171" t="s">
        <v>46</v>
      </c>
      <c r="F750" s="271"/>
      <c r="G750" s="62"/>
      <c r="H750" s="62"/>
      <c r="I750" s="62"/>
      <c r="J750" s="119">
        <v>45573</v>
      </c>
      <c r="K750" s="120">
        <v>2338950</v>
      </c>
      <c r="L750" s="271"/>
      <c r="M750" s="271"/>
      <c r="N750" s="121" t="s">
        <v>1695</v>
      </c>
      <c r="O750" s="281" t="s">
        <v>1707</v>
      </c>
      <c r="P750" s="64" t="s">
        <v>49</v>
      </c>
    </row>
    <row r="751" spans="2:18" ht="32.1" hidden="1">
      <c r="B751" s="114" t="s">
        <v>1349</v>
      </c>
      <c r="C751" s="115"/>
      <c r="D751" s="170" t="s">
        <v>1708</v>
      </c>
      <c r="E751" s="171" t="s">
        <v>46</v>
      </c>
      <c r="F751" s="271"/>
      <c r="G751" s="62"/>
      <c r="H751" s="62"/>
      <c r="I751" s="62"/>
      <c r="J751" s="119">
        <v>45573</v>
      </c>
      <c r="K751" s="120">
        <v>2339367</v>
      </c>
      <c r="L751" s="271"/>
      <c r="M751" s="271"/>
      <c r="N751" s="121" t="s">
        <v>1701</v>
      </c>
      <c r="O751" s="281"/>
      <c r="P751" s="64" t="s">
        <v>49</v>
      </c>
    </row>
    <row r="752" spans="2:18" ht="32.1" hidden="1">
      <c r="B752" s="114" t="s">
        <v>1349</v>
      </c>
      <c r="C752" s="115"/>
      <c r="D752" s="170" t="s">
        <v>1709</v>
      </c>
      <c r="E752" s="171" t="s">
        <v>46</v>
      </c>
      <c r="F752" s="271"/>
      <c r="G752" s="62"/>
      <c r="H752" s="62"/>
      <c r="I752" s="62"/>
      <c r="J752" s="119">
        <v>45574</v>
      </c>
      <c r="K752" s="120">
        <v>2342230</v>
      </c>
      <c r="L752" s="271"/>
      <c r="M752" s="271"/>
      <c r="N752" s="121" t="s">
        <v>1695</v>
      </c>
      <c r="O752" s="281"/>
      <c r="P752" s="64" t="s">
        <v>49</v>
      </c>
    </row>
    <row r="753" spans="2:23" ht="32.1" hidden="1">
      <c r="B753" s="114" t="s">
        <v>1641</v>
      </c>
      <c r="C753" s="115"/>
      <c r="D753" s="170" t="s">
        <v>1710</v>
      </c>
      <c r="E753" s="171" t="s">
        <v>46</v>
      </c>
      <c r="F753" s="271"/>
      <c r="G753" s="62"/>
      <c r="H753" s="62"/>
      <c r="I753" s="62"/>
      <c r="J753" s="119">
        <v>45575</v>
      </c>
      <c r="K753" s="270">
        <v>2345753</v>
      </c>
      <c r="L753" s="271"/>
      <c r="M753" s="271"/>
      <c r="N753" s="121" t="s">
        <v>1695</v>
      </c>
      <c r="O753" s="121"/>
      <c r="P753" s="163" t="s">
        <v>49</v>
      </c>
    </row>
    <row r="754" spans="2:23" ht="32.1" hidden="1">
      <c r="B754" s="114" t="s">
        <v>1349</v>
      </c>
      <c r="C754" s="115"/>
      <c r="D754" s="170" t="s">
        <v>1711</v>
      </c>
      <c r="E754" s="171" t="s">
        <v>46</v>
      </c>
      <c r="F754" s="271"/>
      <c r="G754" s="62"/>
      <c r="H754" s="62"/>
      <c r="I754" s="62"/>
      <c r="J754" s="119">
        <v>45575</v>
      </c>
      <c r="K754" s="270">
        <v>2346569</v>
      </c>
      <c r="L754" s="271"/>
      <c r="M754" s="271"/>
      <c r="N754" s="121" t="s">
        <v>1695</v>
      </c>
      <c r="O754" s="121"/>
      <c r="P754" s="163" t="s">
        <v>49</v>
      </c>
    </row>
    <row r="755" spans="2:23" ht="32.1" hidden="1">
      <c r="B755" s="114" t="s">
        <v>1349</v>
      </c>
      <c r="C755" s="115"/>
      <c r="D755" s="170" t="s">
        <v>1712</v>
      </c>
      <c r="E755" s="171" t="s">
        <v>46</v>
      </c>
      <c r="F755" s="271"/>
      <c r="G755" s="62"/>
      <c r="H755" s="62"/>
      <c r="I755" s="62"/>
      <c r="J755" s="119">
        <v>45575</v>
      </c>
      <c r="K755" s="270">
        <v>2346576</v>
      </c>
      <c r="L755" s="271"/>
      <c r="M755" s="271"/>
      <c r="N755" s="121" t="s">
        <v>1695</v>
      </c>
      <c r="O755" s="121"/>
      <c r="P755" s="163" t="s">
        <v>49</v>
      </c>
    </row>
    <row r="756" spans="2:23" ht="32.1" hidden="1">
      <c r="B756" s="114" t="s">
        <v>1349</v>
      </c>
      <c r="C756" s="115"/>
      <c r="D756" s="170" t="s">
        <v>1713</v>
      </c>
      <c r="E756" s="171" t="s">
        <v>46</v>
      </c>
      <c r="F756" s="271"/>
      <c r="G756" s="62"/>
      <c r="H756" s="62"/>
      <c r="I756" s="62"/>
      <c r="J756" s="119">
        <v>45575</v>
      </c>
      <c r="K756" s="270">
        <v>2346605</v>
      </c>
      <c r="L756" s="271"/>
      <c r="M756" s="271"/>
      <c r="N756" s="121" t="s">
        <v>1695</v>
      </c>
      <c r="O756" s="281" t="s">
        <v>1606</v>
      </c>
      <c r="P756" s="163" t="s">
        <v>49</v>
      </c>
    </row>
    <row r="757" spans="2:23" ht="32.1" hidden="1">
      <c r="B757" s="114" t="s">
        <v>1349</v>
      </c>
      <c r="C757" s="115"/>
      <c r="D757" s="170" t="s">
        <v>1714</v>
      </c>
      <c r="E757" s="171" t="s">
        <v>46</v>
      </c>
      <c r="F757" s="271"/>
      <c r="G757" s="62"/>
      <c r="H757" s="62"/>
      <c r="I757" s="62"/>
      <c r="J757" s="119">
        <v>45575</v>
      </c>
      <c r="K757" s="270"/>
      <c r="L757" s="271"/>
      <c r="M757" s="271"/>
      <c r="N757" s="121" t="s">
        <v>1695</v>
      </c>
      <c r="O757" s="121"/>
      <c r="P757" s="163" t="s">
        <v>49</v>
      </c>
    </row>
    <row r="758" spans="2:23" ht="46.5" hidden="1">
      <c r="B758" s="114" t="s">
        <v>933</v>
      </c>
      <c r="C758" s="115"/>
      <c r="D758" s="170" t="s">
        <v>1715</v>
      </c>
      <c r="E758" s="171" t="s">
        <v>46</v>
      </c>
      <c r="F758" s="271"/>
      <c r="G758" s="62"/>
      <c r="H758" s="62"/>
      <c r="I758" s="62"/>
      <c r="J758" s="119">
        <v>45576</v>
      </c>
      <c r="K758" s="270">
        <v>2349456</v>
      </c>
      <c r="L758" s="271"/>
      <c r="M758" s="271"/>
      <c r="N758" s="121" t="s">
        <v>1695</v>
      </c>
      <c r="O758" s="121"/>
      <c r="P758" s="163" t="s">
        <v>49</v>
      </c>
    </row>
    <row r="759" spans="2:23" ht="32.1" hidden="1">
      <c r="B759" s="114" t="s">
        <v>54</v>
      </c>
      <c r="C759" s="115"/>
      <c r="D759" s="170" t="s">
        <v>1716</v>
      </c>
      <c r="E759" s="171" t="s">
        <v>46</v>
      </c>
      <c r="F759" s="271"/>
      <c r="G759" s="62"/>
      <c r="H759" s="62"/>
      <c r="I759" s="62"/>
      <c r="J759" s="119">
        <v>45579</v>
      </c>
      <c r="K759" s="270">
        <v>2359398</v>
      </c>
      <c r="L759" s="271"/>
      <c r="M759" s="271"/>
      <c r="N759" s="121" t="s">
        <v>1717</v>
      </c>
      <c r="O759" s="121" t="s">
        <v>1718</v>
      </c>
      <c r="P759" s="163" t="s">
        <v>49</v>
      </c>
    </row>
    <row r="760" spans="2:23" s="186" customFormat="1" ht="96" hidden="1">
      <c r="B760" s="187" t="s">
        <v>170</v>
      </c>
      <c r="C760" s="188"/>
      <c r="D760" s="189" t="s">
        <v>1719</v>
      </c>
      <c r="E760" s="190" t="s">
        <v>46</v>
      </c>
      <c r="F760" s="271"/>
      <c r="G760" s="62"/>
      <c r="H760" s="62"/>
      <c r="I760" s="62"/>
      <c r="J760" s="191">
        <v>45580</v>
      </c>
      <c r="K760" s="331">
        <v>2363212</v>
      </c>
      <c r="L760" s="271"/>
      <c r="M760" s="271"/>
      <c r="N760" s="193" t="s">
        <v>1720</v>
      </c>
      <c r="O760" s="193"/>
      <c r="P760" s="194" t="s">
        <v>49</v>
      </c>
      <c r="U760" s="197"/>
      <c r="V760" s="197"/>
      <c r="W760" s="197"/>
    </row>
    <row r="761" spans="2:23" ht="32.1" hidden="1">
      <c r="B761" s="114" t="s">
        <v>54</v>
      </c>
      <c r="C761" s="115"/>
      <c r="D761" s="170" t="s">
        <v>1721</v>
      </c>
      <c r="E761" s="171" t="s">
        <v>46</v>
      </c>
      <c r="F761" s="271"/>
      <c r="G761" s="62"/>
      <c r="H761" s="62"/>
      <c r="I761" s="62"/>
      <c r="J761" s="119">
        <v>45580</v>
      </c>
      <c r="K761" s="370">
        <v>2363527</v>
      </c>
      <c r="L761" s="271"/>
      <c r="M761" s="271"/>
      <c r="N761" s="121" t="s">
        <v>1717</v>
      </c>
      <c r="O761" s="121"/>
      <c r="P761" s="163" t="s">
        <v>49</v>
      </c>
    </row>
    <row r="762" spans="2:23" ht="63.95" hidden="1">
      <c r="B762" s="114" t="s">
        <v>58</v>
      </c>
      <c r="C762" s="115"/>
      <c r="D762" s="170" t="s">
        <v>1722</v>
      </c>
      <c r="E762" s="171" t="s">
        <v>46</v>
      </c>
      <c r="F762" s="271"/>
      <c r="G762" s="62"/>
      <c r="H762" s="62"/>
      <c r="I762" s="62"/>
      <c r="J762" s="119">
        <v>45581</v>
      </c>
      <c r="K762" s="365">
        <v>2366976</v>
      </c>
      <c r="L762" s="271"/>
      <c r="M762" s="271"/>
      <c r="N762" s="121" t="s">
        <v>1723</v>
      </c>
      <c r="O762" s="121"/>
      <c r="P762" s="163" t="s">
        <v>49</v>
      </c>
    </row>
    <row r="763" spans="2:23" ht="48" hidden="1">
      <c r="B763" s="114" t="s">
        <v>1641</v>
      </c>
      <c r="C763" s="115"/>
      <c r="D763" s="170" t="s">
        <v>1724</v>
      </c>
      <c r="E763" s="171" t="s">
        <v>46</v>
      </c>
      <c r="F763" s="271"/>
      <c r="G763" s="62"/>
      <c r="H763" s="62"/>
      <c r="I763" s="62"/>
      <c r="J763" s="119">
        <v>45581</v>
      </c>
      <c r="K763" s="374">
        <v>2367092</v>
      </c>
      <c r="L763" s="271"/>
      <c r="M763" s="271"/>
      <c r="N763" s="121" t="s">
        <v>1717</v>
      </c>
      <c r="O763" s="121"/>
      <c r="P763" s="163" t="s">
        <v>49</v>
      </c>
    </row>
    <row r="764" spans="2:23" ht="32.1" hidden="1">
      <c r="B764" s="114" t="s">
        <v>54</v>
      </c>
      <c r="C764" s="115"/>
      <c r="D764" s="170" t="s">
        <v>1725</v>
      </c>
      <c r="E764" s="171" t="s">
        <v>46</v>
      </c>
      <c r="F764" s="271"/>
      <c r="G764" s="62"/>
      <c r="H764" s="62"/>
      <c r="I764" s="62"/>
      <c r="J764" s="119">
        <v>45581</v>
      </c>
      <c r="K764" s="270">
        <v>2367562</v>
      </c>
      <c r="L764" s="271"/>
      <c r="M764" s="271"/>
      <c r="N764" s="121" t="s">
        <v>1717</v>
      </c>
      <c r="O764" s="121"/>
      <c r="P764" s="163" t="s">
        <v>49</v>
      </c>
    </row>
    <row r="765" spans="2:23" ht="32.1" hidden="1">
      <c r="B765" s="114" t="s">
        <v>222</v>
      </c>
      <c r="C765" s="115"/>
      <c r="D765" s="170" t="s">
        <v>1726</v>
      </c>
      <c r="E765" s="171" t="s">
        <v>46</v>
      </c>
      <c r="G765" s="62"/>
      <c r="H765" s="62"/>
      <c r="I765" s="62"/>
      <c r="J765" s="119">
        <v>45583</v>
      </c>
      <c r="K765" s="270">
        <v>2373773</v>
      </c>
      <c r="N765" s="121" t="s">
        <v>1717</v>
      </c>
      <c r="O765" s="121"/>
      <c r="P765" s="163" t="s">
        <v>49</v>
      </c>
    </row>
    <row r="766" spans="2:23" ht="48" hidden="1">
      <c r="B766" s="114" t="s">
        <v>1349</v>
      </c>
      <c r="C766" s="115"/>
      <c r="D766" s="170" t="s">
        <v>1727</v>
      </c>
      <c r="E766" s="171" t="s">
        <v>46</v>
      </c>
      <c r="G766" s="62"/>
      <c r="H766" s="62"/>
      <c r="I766" s="62"/>
      <c r="J766" s="119">
        <v>45587</v>
      </c>
      <c r="K766" s="270">
        <v>2387124</v>
      </c>
      <c r="N766" s="121" t="s">
        <v>1728</v>
      </c>
      <c r="O766" s="121"/>
      <c r="P766" s="163" t="s">
        <v>49</v>
      </c>
    </row>
    <row r="767" spans="2:23" ht="32.1" hidden="1">
      <c r="B767" s="114" t="s">
        <v>1349</v>
      </c>
      <c r="C767" s="115"/>
      <c r="D767" s="170" t="s">
        <v>1729</v>
      </c>
      <c r="E767" s="171" t="s">
        <v>46</v>
      </c>
      <c r="G767" s="62"/>
      <c r="H767" s="62"/>
      <c r="I767" s="62"/>
      <c r="J767" s="119">
        <v>45588</v>
      </c>
      <c r="K767" s="270">
        <v>2390385</v>
      </c>
      <c r="N767" s="121" t="s">
        <v>1728</v>
      </c>
      <c r="O767" s="281" t="s">
        <v>1606</v>
      </c>
      <c r="P767" s="163" t="s">
        <v>49</v>
      </c>
    </row>
    <row r="768" spans="2:23" ht="80.099999999999994" hidden="1">
      <c r="B768" s="114" t="s">
        <v>99</v>
      </c>
      <c r="C768" s="115"/>
      <c r="D768" s="170" t="s">
        <v>1730</v>
      </c>
      <c r="E768" s="171" t="s">
        <v>46</v>
      </c>
      <c r="G768" s="62"/>
      <c r="H768" s="62"/>
      <c r="I768" s="62"/>
      <c r="J768" s="119">
        <v>45588</v>
      </c>
      <c r="K768" s="270">
        <v>2390923</v>
      </c>
      <c r="N768" s="121" t="s">
        <v>1728</v>
      </c>
      <c r="O768" s="121" t="s">
        <v>1606</v>
      </c>
      <c r="P768" s="163" t="s">
        <v>49</v>
      </c>
    </row>
    <row r="769" spans="1:18" ht="63.95" hidden="1">
      <c r="B769" s="114" t="s">
        <v>156</v>
      </c>
      <c r="C769" s="115"/>
      <c r="D769" s="170" t="s">
        <v>1731</v>
      </c>
      <c r="E769" s="171" t="s">
        <v>46</v>
      </c>
      <c r="G769" s="62"/>
      <c r="H769" s="62"/>
      <c r="I769" s="62"/>
      <c r="J769" s="119">
        <v>45588</v>
      </c>
      <c r="K769" s="270">
        <v>2391813</v>
      </c>
      <c r="N769" s="121" t="s">
        <v>1732</v>
      </c>
      <c r="O769" s="121"/>
      <c r="P769" s="163" t="s">
        <v>49</v>
      </c>
    </row>
    <row r="770" spans="1:18" ht="32.1" hidden="1">
      <c r="B770" s="114" t="s">
        <v>222</v>
      </c>
      <c r="C770" s="115"/>
      <c r="D770" s="170" t="s">
        <v>1733</v>
      </c>
      <c r="E770" s="171" t="s">
        <v>46</v>
      </c>
      <c r="G770" s="62"/>
      <c r="H770" s="62"/>
      <c r="I770" s="62"/>
      <c r="J770" s="119">
        <v>45589</v>
      </c>
      <c r="K770" s="270">
        <v>2394910</v>
      </c>
      <c r="N770" s="121" t="s">
        <v>1728</v>
      </c>
      <c r="O770" s="121"/>
      <c r="P770" s="163" t="s">
        <v>49</v>
      </c>
    </row>
    <row r="771" spans="1:18" ht="32.1" hidden="1">
      <c r="B771" s="114" t="s">
        <v>222</v>
      </c>
      <c r="C771" s="115"/>
      <c r="D771" s="170" t="s">
        <v>1734</v>
      </c>
      <c r="E771" s="171" t="s">
        <v>46</v>
      </c>
      <c r="G771" s="62"/>
      <c r="H771" s="62"/>
      <c r="I771" s="62"/>
      <c r="J771" s="119">
        <v>45589</v>
      </c>
      <c r="K771" s="270">
        <v>2394932</v>
      </c>
      <c r="N771" s="121" t="s">
        <v>1728</v>
      </c>
      <c r="O771" s="121"/>
      <c r="P771" s="163" t="s">
        <v>49</v>
      </c>
    </row>
    <row r="772" spans="1:18" ht="32.1" hidden="1">
      <c r="B772" s="114" t="s">
        <v>222</v>
      </c>
      <c r="C772" s="115"/>
      <c r="D772" s="170" t="s">
        <v>1735</v>
      </c>
      <c r="E772" s="171" t="s">
        <v>46</v>
      </c>
      <c r="G772" s="62"/>
      <c r="H772" s="62"/>
      <c r="I772" s="62"/>
      <c r="J772" s="119">
        <v>45589</v>
      </c>
      <c r="K772" s="270">
        <v>2394933</v>
      </c>
      <c r="N772" s="121" t="s">
        <v>1728</v>
      </c>
      <c r="O772" s="121"/>
      <c r="P772" s="163" t="s">
        <v>49</v>
      </c>
    </row>
    <row r="773" spans="1:18" ht="48" hidden="1">
      <c r="A773" s="167"/>
      <c r="B773" s="168" t="s">
        <v>146</v>
      </c>
      <c r="C773" s="169"/>
      <c r="D773" s="170" t="s">
        <v>1736</v>
      </c>
      <c r="E773" s="171" t="s">
        <v>46</v>
      </c>
      <c r="F773" s="272"/>
      <c r="G773" s="118"/>
      <c r="H773" s="118"/>
      <c r="I773" s="118"/>
      <c r="J773" s="173" t="s">
        <v>1737</v>
      </c>
      <c r="K773" s="277" t="s">
        <v>1738</v>
      </c>
      <c r="L773" s="3"/>
      <c r="M773" s="3"/>
      <c r="N773" s="182" t="s">
        <v>1739</v>
      </c>
      <c r="O773" s="283"/>
      <c r="P773" s="198" t="s">
        <v>49</v>
      </c>
      <c r="Q773" s="290"/>
      <c r="R773" s="290"/>
    </row>
    <row r="774" spans="1:18" ht="80.099999999999994" hidden="1">
      <c r="A774" s="167"/>
      <c r="B774" s="168" t="s">
        <v>156</v>
      </c>
      <c r="C774" s="169"/>
      <c r="D774" s="170" t="s">
        <v>1740</v>
      </c>
      <c r="E774" s="171" t="s">
        <v>46</v>
      </c>
      <c r="F774" s="272"/>
      <c r="G774" s="118"/>
      <c r="H774" s="118"/>
      <c r="I774" s="118"/>
      <c r="J774" s="173" t="s">
        <v>1737</v>
      </c>
      <c r="K774" s="277" t="s">
        <v>1741</v>
      </c>
      <c r="L774" s="3"/>
      <c r="M774" s="3"/>
      <c r="N774" s="182" t="s">
        <v>1742</v>
      </c>
      <c r="O774" s="283"/>
      <c r="P774" s="198" t="s">
        <v>49</v>
      </c>
      <c r="Q774" s="290"/>
      <c r="R774" s="290"/>
    </row>
    <row r="775" spans="1:18" ht="63.95" hidden="1">
      <c r="A775" s="167"/>
      <c r="B775" s="168" t="s">
        <v>43</v>
      </c>
      <c r="C775" s="169"/>
      <c r="D775" s="170" t="s">
        <v>1743</v>
      </c>
      <c r="E775" s="171" t="s">
        <v>46</v>
      </c>
      <c r="F775" s="272"/>
      <c r="G775" s="118"/>
      <c r="H775" s="118"/>
      <c r="I775" s="118"/>
      <c r="J775" s="207" t="s">
        <v>1737</v>
      </c>
      <c r="K775" s="277" t="s">
        <v>1744</v>
      </c>
      <c r="L775" s="3"/>
      <c r="M775" s="3"/>
      <c r="N775" s="182" t="s">
        <v>357</v>
      </c>
      <c r="O775" s="283"/>
      <c r="P775" s="198" t="s">
        <v>49</v>
      </c>
      <c r="Q775" s="290"/>
      <c r="R775" s="290"/>
    </row>
    <row r="776" spans="1:18" ht="32.1" hidden="1">
      <c r="A776" s="167"/>
      <c r="B776" s="168" t="s">
        <v>222</v>
      </c>
      <c r="C776" s="169"/>
      <c r="D776" s="170" t="s">
        <v>1745</v>
      </c>
      <c r="E776" s="171" t="s">
        <v>46</v>
      </c>
      <c r="F776" s="201"/>
      <c r="G776" s="112"/>
      <c r="H776" s="112"/>
      <c r="I776" s="112"/>
      <c r="J776" s="173" t="s">
        <v>1746</v>
      </c>
      <c r="K776" s="277">
        <v>1817443</v>
      </c>
      <c r="L776" s="280"/>
      <c r="M776" s="280"/>
      <c r="N776" s="182" t="s">
        <v>1747</v>
      </c>
      <c r="O776" s="283"/>
      <c r="P776" s="198" t="s">
        <v>49</v>
      </c>
      <c r="Q776" s="290"/>
      <c r="R776" s="290"/>
    </row>
    <row r="777" spans="1:18" ht="32.1" hidden="1">
      <c r="A777" s="165"/>
      <c r="B777" s="114" t="s">
        <v>71</v>
      </c>
      <c r="C777" s="115"/>
      <c r="D777" s="116" t="s">
        <v>1748</v>
      </c>
      <c r="E777" s="117" t="s">
        <v>46</v>
      </c>
      <c r="F777" s="201"/>
      <c r="G777" s="113"/>
      <c r="H777" s="113"/>
      <c r="I777" s="111"/>
      <c r="J777" s="119" t="s">
        <v>1749</v>
      </c>
      <c r="K777" s="370" t="s">
        <v>1750</v>
      </c>
      <c r="L777" s="280"/>
      <c r="M777" s="280"/>
      <c r="N777" s="124" t="s">
        <v>1751</v>
      </c>
      <c r="O777" s="284" t="s">
        <v>48</v>
      </c>
      <c r="P777" s="164" t="s">
        <v>49</v>
      </c>
      <c r="Q777" s="291"/>
      <c r="R777" s="291"/>
    </row>
    <row r="778" spans="1:18" ht="80.099999999999994" hidden="1">
      <c r="B778" s="114" t="s">
        <v>58</v>
      </c>
      <c r="C778" s="115"/>
      <c r="D778" s="170" t="s">
        <v>1752</v>
      </c>
      <c r="E778" s="171" t="s">
        <v>46</v>
      </c>
      <c r="F778" s="272"/>
      <c r="G778" s="118"/>
      <c r="H778" s="118"/>
      <c r="I778" s="118"/>
      <c r="J778" s="119" t="s">
        <v>1753</v>
      </c>
      <c r="K778" s="365">
        <v>2048283</v>
      </c>
      <c r="L778" s="3"/>
      <c r="M778" s="3"/>
      <c r="N778" s="121" t="s">
        <v>1754</v>
      </c>
      <c r="O778" s="282"/>
      <c r="P778" s="198" t="s">
        <v>49</v>
      </c>
      <c r="Q778" s="72"/>
      <c r="R778" s="72"/>
    </row>
    <row r="779" spans="1:18" ht="48" hidden="1">
      <c r="B779" s="114" t="s">
        <v>58</v>
      </c>
      <c r="C779" s="115"/>
      <c r="D779" s="116" t="s">
        <v>1755</v>
      </c>
      <c r="E779" s="171" t="s">
        <v>46</v>
      </c>
      <c r="F779" s="272"/>
      <c r="G779" s="118"/>
      <c r="H779" s="118"/>
      <c r="I779" s="118"/>
      <c r="J779" s="119" t="s">
        <v>1756</v>
      </c>
      <c r="K779" s="365">
        <v>1023823</v>
      </c>
      <c r="L779" s="3"/>
      <c r="M779" s="3"/>
      <c r="N779" s="121" t="s">
        <v>1757</v>
      </c>
      <c r="O779" s="282"/>
      <c r="P779" s="236" t="s">
        <v>49</v>
      </c>
      <c r="Q779" s="72"/>
      <c r="R779" s="72"/>
    </row>
    <row r="780" spans="1:18" ht="63.95" hidden="1">
      <c r="B780" s="114" t="s">
        <v>86</v>
      </c>
      <c r="C780" s="115"/>
      <c r="D780" s="116" t="s">
        <v>1758</v>
      </c>
      <c r="E780" s="171" t="s">
        <v>46</v>
      </c>
      <c r="F780" s="272"/>
      <c r="G780" s="118"/>
      <c r="H780" s="118"/>
      <c r="I780" s="118"/>
      <c r="J780" s="119" t="s">
        <v>1759</v>
      </c>
      <c r="K780" s="374">
        <v>991187</v>
      </c>
      <c r="L780" s="3"/>
      <c r="M780" s="3"/>
      <c r="N780" s="121" t="s">
        <v>1760</v>
      </c>
      <c r="O780" s="282"/>
      <c r="P780" s="236" t="s">
        <v>49</v>
      </c>
      <c r="Q780" s="72"/>
      <c r="R780" s="72"/>
    </row>
    <row r="781" spans="1:18" ht="63.95" hidden="1">
      <c r="A781" s="167"/>
      <c r="B781" s="168" t="s">
        <v>79</v>
      </c>
      <c r="C781" s="169"/>
      <c r="D781" s="170" t="s">
        <v>1761</v>
      </c>
      <c r="E781" s="171" t="s">
        <v>46</v>
      </c>
      <c r="F781" s="272"/>
      <c r="G781" s="118"/>
      <c r="H781" s="118"/>
      <c r="I781" s="118"/>
      <c r="J781" s="173"/>
      <c r="K781" s="277" t="s">
        <v>1762</v>
      </c>
      <c r="L781" s="3"/>
      <c r="M781" s="3"/>
      <c r="N781" s="182" t="s">
        <v>1763</v>
      </c>
      <c r="O781" s="283"/>
      <c r="P781" s="198" t="s">
        <v>49</v>
      </c>
      <c r="Q781" s="290"/>
      <c r="R781" s="290"/>
    </row>
    <row r="782" spans="1:18" ht="32.1" hidden="1">
      <c r="A782" s="165"/>
      <c r="B782" s="114" t="s">
        <v>43</v>
      </c>
      <c r="C782" s="115" t="s">
        <v>95</v>
      </c>
      <c r="D782" s="116" t="s">
        <v>1764</v>
      </c>
      <c r="E782" s="117" t="s">
        <v>46</v>
      </c>
      <c r="F782" s="67"/>
      <c r="G782" s="62"/>
      <c r="H782" s="62"/>
      <c r="I782" s="62"/>
      <c r="J782" s="119"/>
      <c r="K782" s="270" t="s">
        <v>1765</v>
      </c>
      <c r="L782" s="65"/>
      <c r="M782" s="65"/>
      <c r="N782" s="121" t="s">
        <v>1766</v>
      </c>
      <c r="O782" s="284"/>
      <c r="P782" s="164" t="s">
        <v>49</v>
      </c>
      <c r="Q782" s="291"/>
      <c r="R782" s="291"/>
    </row>
    <row r="783" spans="1:18" ht="48" hidden="1">
      <c r="A783" s="165"/>
      <c r="B783" s="114" t="s">
        <v>43</v>
      </c>
      <c r="C783" s="115" t="s">
        <v>147</v>
      </c>
      <c r="D783" s="116" t="s">
        <v>1767</v>
      </c>
      <c r="E783" s="117" t="s">
        <v>46</v>
      </c>
      <c r="F783" s="272"/>
      <c r="G783" s="118"/>
      <c r="H783" s="118"/>
      <c r="I783" s="118"/>
      <c r="J783" s="119"/>
      <c r="K783" s="270" t="s">
        <v>1768</v>
      </c>
      <c r="L783" s="3"/>
      <c r="M783" s="3"/>
      <c r="N783" s="121" t="s">
        <v>1769</v>
      </c>
      <c r="O783" s="282" t="s">
        <v>48</v>
      </c>
      <c r="P783" s="164" t="s">
        <v>49</v>
      </c>
      <c r="Q783" s="72"/>
      <c r="R783" s="72"/>
    </row>
    <row r="784" spans="1:18" ht="32.1" hidden="1">
      <c r="A784" s="167"/>
      <c r="B784" s="114" t="s">
        <v>146</v>
      </c>
      <c r="C784" s="115" t="s">
        <v>44</v>
      </c>
      <c r="D784" s="116" t="s">
        <v>1770</v>
      </c>
      <c r="E784" s="117" t="s">
        <v>46</v>
      </c>
      <c r="F784" s="272"/>
      <c r="G784" s="118"/>
      <c r="H784" s="118"/>
      <c r="I784" s="118"/>
      <c r="J784" s="119"/>
      <c r="K784" s="270" t="s">
        <v>1771</v>
      </c>
      <c r="L784" s="3"/>
      <c r="M784" s="3"/>
      <c r="N784" s="121" t="s">
        <v>1772</v>
      </c>
      <c r="O784" s="282" t="s">
        <v>48</v>
      </c>
      <c r="P784" s="236" t="s">
        <v>49</v>
      </c>
      <c r="Q784" s="72"/>
      <c r="R784" s="72"/>
    </row>
    <row r="785" spans="1:18" ht="48" hidden="1">
      <c r="A785" s="165"/>
      <c r="B785" s="114" t="s">
        <v>54</v>
      </c>
      <c r="C785" s="115" t="s">
        <v>203</v>
      </c>
      <c r="D785" s="116" t="s">
        <v>1773</v>
      </c>
      <c r="E785" s="117" t="s">
        <v>46</v>
      </c>
      <c r="F785" s="272"/>
      <c r="G785" s="118"/>
      <c r="H785" s="118"/>
      <c r="I785" s="118"/>
      <c r="J785" s="119"/>
      <c r="K785" s="270" t="s">
        <v>1774</v>
      </c>
      <c r="L785" s="3"/>
      <c r="M785" s="3"/>
      <c r="N785" s="121" t="s">
        <v>1775</v>
      </c>
      <c r="O785" s="282" t="s">
        <v>48</v>
      </c>
      <c r="P785" s="164" t="s">
        <v>49</v>
      </c>
      <c r="Q785" s="291"/>
      <c r="R785" s="291"/>
    </row>
    <row r="786" spans="1:18" ht="32.1" hidden="1">
      <c r="A786" s="166"/>
      <c r="B786" s="168" t="s">
        <v>256</v>
      </c>
      <c r="C786" s="59"/>
      <c r="D786" s="60" t="s">
        <v>1776</v>
      </c>
      <c r="E786" s="61" t="s">
        <v>46</v>
      </c>
      <c r="F786" s="75"/>
      <c r="G786" s="62"/>
      <c r="H786" s="62"/>
      <c r="I786" s="62">
        <v>44599</v>
      </c>
      <c r="J786" s="62"/>
      <c r="K786" s="278" t="s">
        <v>1777</v>
      </c>
      <c r="L786" s="73"/>
      <c r="M786" s="73"/>
      <c r="N786" s="63" t="s">
        <v>1778</v>
      </c>
      <c r="O786" s="282" t="s">
        <v>48</v>
      </c>
      <c r="P786" s="163" t="s">
        <v>49</v>
      </c>
      <c r="Q786" s="77"/>
      <c r="R786" s="77"/>
    </row>
    <row r="787" spans="1:18" ht="32.1" hidden="1">
      <c r="A787" s="167"/>
      <c r="B787" s="168" t="s">
        <v>146</v>
      </c>
      <c r="C787" s="169" t="s">
        <v>44</v>
      </c>
      <c r="D787" s="170" t="s">
        <v>1779</v>
      </c>
      <c r="E787" s="171" t="s">
        <v>46</v>
      </c>
      <c r="F787" s="273"/>
      <c r="G787" s="172"/>
      <c r="H787" s="172"/>
      <c r="I787" s="172"/>
      <c r="J787" s="173"/>
      <c r="K787" s="277" t="s">
        <v>1780</v>
      </c>
      <c r="L787" s="165"/>
      <c r="M787" s="165"/>
      <c r="N787" s="175" t="s">
        <v>1781</v>
      </c>
      <c r="O787" s="286"/>
      <c r="P787" s="164" t="s">
        <v>49</v>
      </c>
      <c r="Q787" s="290"/>
      <c r="R787" s="290"/>
    </row>
    <row r="788" spans="1:18" ht="32.1" hidden="1">
      <c r="A788" s="5"/>
      <c r="B788" s="168" t="s">
        <v>256</v>
      </c>
      <c r="C788" s="179"/>
      <c r="D788" s="180" t="s">
        <v>1782</v>
      </c>
      <c r="E788" s="117" t="s">
        <v>46</v>
      </c>
      <c r="F788" s="275"/>
      <c r="G788" s="118"/>
      <c r="H788" s="118"/>
      <c r="I788" s="118"/>
      <c r="J788" s="118"/>
      <c r="K788" s="279" t="s">
        <v>1783</v>
      </c>
      <c r="L788" s="5"/>
      <c r="M788" s="5"/>
      <c r="N788" s="181" t="s">
        <v>1784</v>
      </c>
      <c r="O788" s="288" t="s">
        <v>1785</v>
      </c>
      <c r="P788" s="164" t="s">
        <v>49</v>
      </c>
      <c r="Q788" s="294"/>
      <c r="R788" s="294"/>
    </row>
    <row r="789" spans="1:18" ht="32.1" hidden="1">
      <c r="A789" s="165"/>
      <c r="B789" s="114" t="s">
        <v>610</v>
      </c>
      <c r="C789" s="115" t="s">
        <v>203</v>
      </c>
      <c r="D789" s="116" t="s">
        <v>1786</v>
      </c>
      <c r="E789" s="117" t="s">
        <v>46</v>
      </c>
      <c r="F789" s="67"/>
      <c r="G789" s="62"/>
      <c r="H789" s="62"/>
      <c r="I789" s="62"/>
      <c r="J789" s="119"/>
      <c r="K789" s="270"/>
      <c r="L789" s="65"/>
      <c r="M789" s="65"/>
      <c r="N789" s="121" t="s">
        <v>1787</v>
      </c>
      <c r="O789" s="284" t="s">
        <v>48</v>
      </c>
      <c r="P789" s="164" t="s">
        <v>49</v>
      </c>
      <c r="Q789" s="291"/>
      <c r="R789" s="291"/>
    </row>
    <row r="790" spans="1:18" ht="32.1" hidden="1">
      <c r="A790" s="165"/>
      <c r="B790" s="48" t="s">
        <v>138</v>
      </c>
      <c r="C790" s="49" t="s">
        <v>44</v>
      </c>
      <c r="D790" s="50" t="s">
        <v>1788</v>
      </c>
      <c r="E790" s="51" t="s">
        <v>46</v>
      </c>
      <c r="F790" s="67"/>
      <c r="G790" s="62"/>
      <c r="H790" s="62"/>
      <c r="I790" s="62">
        <v>44632</v>
      </c>
      <c r="J790" s="52"/>
      <c r="K790" s="276"/>
      <c r="L790" s="65"/>
      <c r="M790" s="65"/>
      <c r="N790" s="108" t="s">
        <v>1789</v>
      </c>
      <c r="O790" s="282" t="s">
        <v>48</v>
      </c>
      <c r="P790" s="236" t="s">
        <v>49</v>
      </c>
      <c r="Q790" s="72"/>
      <c r="R790" s="72"/>
    </row>
    <row r="791" spans="1:18" ht="48" hidden="1">
      <c r="A791" s="167"/>
      <c r="B791" s="48" t="s">
        <v>138</v>
      </c>
      <c r="C791" s="115" t="s">
        <v>44</v>
      </c>
      <c r="D791" s="116" t="s">
        <v>1790</v>
      </c>
      <c r="E791" s="117" t="s">
        <v>46</v>
      </c>
      <c r="F791" s="272"/>
      <c r="G791" s="118"/>
      <c r="H791" s="118"/>
      <c r="I791" s="118"/>
      <c r="J791" s="119"/>
      <c r="K791" s="270"/>
      <c r="L791" s="3"/>
      <c r="M791" s="3"/>
      <c r="N791" s="121" t="s">
        <v>1791</v>
      </c>
      <c r="O791" s="282" t="s">
        <v>48</v>
      </c>
      <c r="P791" s="236" t="s">
        <v>49</v>
      </c>
      <c r="Q791" s="72"/>
      <c r="R791" s="72"/>
    </row>
    <row r="792" spans="1:18" ht="63.95" hidden="1">
      <c r="A792" s="167"/>
      <c r="B792" s="168" t="s">
        <v>1792</v>
      </c>
      <c r="C792" s="169"/>
      <c r="D792" s="170" t="s">
        <v>1793</v>
      </c>
      <c r="E792" s="171" t="s">
        <v>46</v>
      </c>
      <c r="F792" s="272"/>
      <c r="G792" s="118"/>
      <c r="H792" s="118"/>
      <c r="I792" s="118"/>
      <c r="J792" s="173"/>
      <c r="K792" s="277"/>
      <c r="L792" s="3"/>
      <c r="M792" s="3"/>
      <c r="N792" s="182" t="s">
        <v>1794</v>
      </c>
      <c r="O792" s="283"/>
      <c r="P792" s="198" t="s">
        <v>49</v>
      </c>
      <c r="Q792" s="290"/>
      <c r="R792" s="290"/>
    </row>
    <row r="793" spans="1:18" ht="32.1" hidden="1">
      <c r="A793" s="167"/>
      <c r="B793" s="168" t="s">
        <v>256</v>
      </c>
      <c r="C793" s="115" t="s">
        <v>164</v>
      </c>
      <c r="D793" s="116" t="s">
        <v>1795</v>
      </c>
      <c r="E793" s="117" t="s">
        <v>46</v>
      </c>
      <c r="F793" s="272"/>
      <c r="G793" s="118"/>
      <c r="H793" s="118"/>
      <c r="I793" s="118"/>
      <c r="J793" s="119"/>
      <c r="K793" s="270"/>
      <c r="L793" s="3"/>
      <c r="M793" s="3"/>
      <c r="N793" s="121"/>
      <c r="O793" s="282" t="s">
        <v>1796</v>
      </c>
      <c r="P793" s="236" t="s">
        <v>49</v>
      </c>
      <c r="Q793" s="72"/>
      <c r="R793" s="72"/>
    </row>
    <row r="794" spans="1:18" ht="32.1" hidden="1">
      <c r="A794" s="167"/>
      <c r="B794" s="168"/>
      <c r="C794" s="169"/>
      <c r="D794" s="170"/>
      <c r="E794" s="171" t="s">
        <v>46</v>
      </c>
      <c r="F794" s="272"/>
      <c r="G794" s="118"/>
      <c r="H794" s="118"/>
      <c r="I794" s="118"/>
      <c r="J794" s="173"/>
      <c r="K794" s="277"/>
      <c r="L794" s="3"/>
      <c r="M794" s="3"/>
      <c r="N794" s="182"/>
      <c r="O794" s="283"/>
      <c r="P794" s="236"/>
      <c r="Q794" s="290"/>
      <c r="R794" s="290"/>
    </row>
    <row r="795" spans="1:18" ht="136.5" hidden="1">
      <c r="B795" s="48" t="s">
        <v>178</v>
      </c>
      <c r="C795" s="115"/>
      <c r="D795" s="116" t="s">
        <v>1797</v>
      </c>
      <c r="E795" s="171" t="s">
        <v>46</v>
      </c>
      <c r="G795" s="62"/>
      <c r="H795" s="62"/>
      <c r="I795" s="62"/>
      <c r="J795" s="119">
        <v>45593</v>
      </c>
      <c r="K795" s="270">
        <v>2409349</v>
      </c>
      <c r="N795" s="182" t="s">
        <v>1798</v>
      </c>
      <c r="O795" s="283"/>
      <c r="P795" s="198" t="s">
        <v>49</v>
      </c>
    </row>
    <row r="796" spans="1:18" ht="32.1" hidden="1">
      <c r="B796" s="48" t="s">
        <v>54</v>
      </c>
      <c r="C796" s="115"/>
      <c r="D796" s="116" t="s">
        <v>1799</v>
      </c>
      <c r="E796" s="171" t="s">
        <v>46</v>
      </c>
      <c r="G796" s="62"/>
      <c r="H796" s="62"/>
      <c r="I796" s="62"/>
      <c r="J796" s="119">
        <v>45593</v>
      </c>
      <c r="K796" s="270">
        <v>2409419</v>
      </c>
      <c r="N796" s="182" t="s">
        <v>1800</v>
      </c>
      <c r="O796" s="283"/>
      <c r="P796" s="198" t="s">
        <v>49</v>
      </c>
    </row>
    <row r="797" spans="1:18" ht="32.1" hidden="1">
      <c r="B797" s="48" t="s">
        <v>156</v>
      </c>
      <c r="C797" s="115"/>
      <c r="D797" s="116" t="s">
        <v>1801</v>
      </c>
      <c r="E797" s="171" t="s">
        <v>46</v>
      </c>
      <c r="G797" s="62"/>
      <c r="H797" s="62"/>
      <c r="I797" s="62"/>
      <c r="J797" s="119">
        <v>45594</v>
      </c>
      <c r="K797" s="270">
        <v>2413872</v>
      </c>
      <c r="N797" s="182" t="s">
        <v>1800</v>
      </c>
      <c r="O797" s="283" t="s">
        <v>1802</v>
      </c>
      <c r="P797" s="198" t="s">
        <v>49</v>
      </c>
    </row>
    <row r="798" spans="1:18" ht="48" hidden="1">
      <c r="B798" s="48" t="s">
        <v>156</v>
      </c>
      <c r="C798" s="115"/>
      <c r="D798" s="116" t="s">
        <v>1803</v>
      </c>
      <c r="E798" s="171" t="s">
        <v>46</v>
      </c>
      <c r="G798" s="62"/>
      <c r="H798" s="62"/>
      <c r="I798" s="62"/>
      <c r="J798" s="119">
        <v>45594</v>
      </c>
      <c r="K798" s="270">
        <v>2413898</v>
      </c>
      <c r="N798" s="182" t="s">
        <v>1800</v>
      </c>
      <c r="O798" s="283" t="s">
        <v>1804</v>
      </c>
      <c r="P798" s="198" t="s">
        <v>49</v>
      </c>
    </row>
    <row r="799" spans="1:18" ht="32.1" hidden="1">
      <c r="B799" s="48" t="s">
        <v>71</v>
      </c>
      <c r="C799" s="115"/>
      <c r="D799" s="116" t="s">
        <v>1805</v>
      </c>
      <c r="E799" s="171" t="s">
        <v>46</v>
      </c>
      <c r="G799" s="62"/>
      <c r="H799" s="62"/>
      <c r="I799" s="62"/>
      <c r="J799" s="119">
        <v>45595</v>
      </c>
      <c r="K799" s="270">
        <v>2416827</v>
      </c>
      <c r="N799" s="182" t="s">
        <v>1800</v>
      </c>
      <c r="O799" s="283" t="s">
        <v>1806</v>
      </c>
      <c r="P799" s="198" t="s">
        <v>49</v>
      </c>
    </row>
    <row r="800" spans="1:18" ht="32.1" hidden="1">
      <c r="B800" s="48" t="s">
        <v>156</v>
      </c>
      <c r="C800" s="115"/>
      <c r="D800" s="116" t="s">
        <v>1807</v>
      </c>
      <c r="E800" s="171" t="s">
        <v>46</v>
      </c>
      <c r="G800" s="62"/>
      <c r="H800" s="62"/>
      <c r="I800" s="62"/>
      <c r="J800" s="119">
        <v>45595</v>
      </c>
      <c r="K800" s="270">
        <v>2416837</v>
      </c>
      <c r="N800" s="182" t="s">
        <v>1800</v>
      </c>
      <c r="O800" s="283" t="s">
        <v>1802</v>
      </c>
      <c r="P800" s="198" t="s">
        <v>49</v>
      </c>
    </row>
    <row r="801" spans="2:16" ht="32.1" hidden="1">
      <c r="B801" s="48" t="s">
        <v>1480</v>
      </c>
      <c r="C801" s="115"/>
      <c r="D801" s="116" t="s">
        <v>1808</v>
      </c>
      <c r="E801" s="171" t="s">
        <v>46</v>
      </c>
      <c r="G801" s="62"/>
      <c r="H801" s="62"/>
      <c r="I801" s="62"/>
      <c r="J801" s="119">
        <v>45595</v>
      </c>
      <c r="K801" s="270">
        <v>2417391</v>
      </c>
      <c r="N801" s="182" t="s">
        <v>1800</v>
      </c>
      <c r="O801" s="163" t="s">
        <v>1606</v>
      </c>
      <c r="P801" s="198" t="s">
        <v>49</v>
      </c>
    </row>
    <row r="802" spans="2:16" ht="94.5" hidden="1">
      <c r="B802" s="48" t="s">
        <v>222</v>
      </c>
      <c r="C802" s="115"/>
      <c r="D802" s="116" t="s">
        <v>1809</v>
      </c>
      <c r="E802" s="171" t="s">
        <v>46</v>
      </c>
      <c r="G802" s="62"/>
      <c r="H802" s="62"/>
      <c r="I802" s="62"/>
      <c r="J802" s="119">
        <v>45595</v>
      </c>
      <c r="K802" s="270">
        <v>2398359</v>
      </c>
      <c r="N802" s="182" t="s">
        <v>1810</v>
      </c>
      <c r="O802" s="163"/>
      <c r="P802" s="198" t="s">
        <v>49</v>
      </c>
    </row>
    <row r="803" spans="2:16" ht="32.1" hidden="1">
      <c r="B803" s="48" t="s">
        <v>54</v>
      </c>
      <c r="C803" s="115"/>
      <c r="D803" s="116" t="s">
        <v>1811</v>
      </c>
      <c r="E803" s="171" t="s">
        <v>46</v>
      </c>
      <c r="G803" s="62"/>
      <c r="H803" s="62"/>
      <c r="I803" s="62"/>
      <c r="J803" s="119">
        <v>45600</v>
      </c>
      <c r="K803" s="270">
        <v>2435748</v>
      </c>
      <c r="N803" s="182" t="s">
        <v>1812</v>
      </c>
      <c r="O803" s="163"/>
      <c r="P803" s="198" t="s">
        <v>49</v>
      </c>
    </row>
    <row r="804" spans="2:16" ht="32.1" hidden="1">
      <c r="B804" s="48" t="s">
        <v>54</v>
      </c>
      <c r="C804" s="115"/>
      <c r="D804" s="116" t="s">
        <v>1813</v>
      </c>
      <c r="E804" s="171" t="s">
        <v>46</v>
      </c>
      <c r="G804" s="62"/>
      <c r="H804" s="62"/>
      <c r="I804" s="62"/>
      <c r="J804" s="119">
        <v>45601</v>
      </c>
      <c r="K804" s="270">
        <v>2439580</v>
      </c>
      <c r="N804" s="182" t="s">
        <v>1812</v>
      </c>
      <c r="O804" s="163"/>
      <c r="P804" s="198" t="s">
        <v>49</v>
      </c>
    </row>
    <row r="805" spans="2:16" ht="189" hidden="1">
      <c r="B805" s="48" t="s">
        <v>79</v>
      </c>
      <c r="C805" s="115"/>
      <c r="D805" s="116" t="s">
        <v>1814</v>
      </c>
      <c r="E805" s="171" t="s">
        <v>46</v>
      </c>
      <c r="G805" s="62"/>
      <c r="H805" s="62"/>
      <c r="I805" s="62"/>
      <c r="J805" s="119">
        <v>45596</v>
      </c>
      <c r="K805" s="270"/>
      <c r="N805" s="182" t="s">
        <v>1815</v>
      </c>
      <c r="O805" s="163"/>
      <c r="P805" s="198" t="s">
        <v>49</v>
      </c>
    </row>
    <row r="806" spans="2:16" ht="32.1" hidden="1">
      <c r="B806" s="48" t="s">
        <v>54</v>
      </c>
      <c r="C806" s="115"/>
      <c r="D806" s="116" t="s">
        <v>1816</v>
      </c>
      <c r="E806" s="171" t="s">
        <v>46</v>
      </c>
      <c r="G806" s="62"/>
      <c r="H806" s="62"/>
      <c r="I806" s="62"/>
      <c r="J806" s="119">
        <v>45607</v>
      </c>
      <c r="K806" s="270">
        <v>2462713</v>
      </c>
      <c r="N806" s="182" t="s">
        <v>1817</v>
      </c>
      <c r="O806" s="163"/>
      <c r="P806" s="198" t="s">
        <v>49</v>
      </c>
    </row>
    <row r="807" spans="2:16" ht="63.95" hidden="1">
      <c r="B807" s="48" t="s">
        <v>1480</v>
      </c>
      <c r="C807" s="115"/>
      <c r="D807" s="116" t="s">
        <v>1818</v>
      </c>
      <c r="E807" s="171" t="s">
        <v>46</v>
      </c>
      <c r="G807" s="62"/>
      <c r="H807" s="62"/>
      <c r="I807" s="62"/>
      <c r="J807" s="119">
        <v>45609</v>
      </c>
      <c r="K807" s="270">
        <v>2470063</v>
      </c>
      <c r="N807" s="182" t="s">
        <v>1819</v>
      </c>
      <c r="O807" s="163"/>
      <c r="P807" s="198" t="s">
        <v>49</v>
      </c>
    </row>
    <row r="808" spans="2:16" ht="63.95" hidden="1">
      <c r="B808" s="48" t="s">
        <v>91</v>
      </c>
      <c r="C808" s="115"/>
      <c r="D808" s="116" t="s">
        <v>1820</v>
      </c>
      <c r="E808" s="171" t="s">
        <v>46</v>
      </c>
      <c r="G808" s="62"/>
      <c r="H808" s="62"/>
      <c r="I808" s="62"/>
      <c r="J808" s="119">
        <v>45609</v>
      </c>
      <c r="K808" s="270">
        <v>2470431</v>
      </c>
      <c r="N808" s="182" t="s">
        <v>1819</v>
      </c>
      <c r="O808" s="163"/>
      <c r="P808" s="198" t="s">
        <v>49</v>
      </c>
    </row>
    <row r="809" spans="2:16" ht="32.1" hidden="1">
      <c r="B809" s="48" t="s">
        <v>170</v>
      </c>
      <c r="C809" s="115"/>
      <c r="D809" s="116" t="s">
        <v>1821</v>
      </c>
      <c r="E809" s="171" t="s">
        <v>46</v>
      </c>
      <c r="G809" s="62"/>
      <c r="H809" s="62"/>
      <c r="I809" s="62"/>
      <c r="J809" s="119">
        <v>45609</v>
      </c>
      <c r="K809" s="270">
        <v>2471466</v>
      </c>
      <c r="N809" s="182" t="s">
        <v>1817</v>
      </c>
      <c r="O809" s="163"/>
      <c r="P809" s="198" t="s">
        <v>49</v>
      </c>
    </row>
    <row r="810" spans="2:16" ht="48" hidden="1">
      <c r="B810" s="48" t="s">
        <v>174</v>
      </c>
      <c r="C810" s="115"/>
      <c r="D810" s="116" t="s">
        <v>1822</v>
      </c>
      <c r="E810" s="171" t="s">
        <v>46</v>
      </c>
      <c r="G810" s="62"/>
      <c r="H810" s="62"/>
      <c r="I810" s="62"/>
      <c r="J810" s="119">
        <v>45610</v>
      </c>
      <c r="K810" s="270">
        <v>2474351</v>
      </c>
      <c r="N810" s="182" t="s">
        <v>1817</v>
      </c>
      <c r="O810" s="163"/>
      <c r="P810" s="198" t="s">
        <v>49</v>
      </c>
    </row>
    <row r="811" spans="2:16" ht="80.099999999999994" hidden="1">
      <c r="B811" s="48" t="s">
        <v>178</v>
      </c>
      <c r="C811" s="115"/>
      <c r="D811" s="116" t="s">
        <v>1823</v>
      </c>
      <c r="E811" s="171" t="s">
        <v>46</v>
      </c>
      <c r="G811" s="62"/>
      <c r="H811" s="62"/>
      <c r="I811" s="62"/>
      <c r="J811" s="119">
        <v>45611</v>
      </c>
      <c r="K811" s="270">
        <v>2478502</v>
      </c>
      <c r="N811" s="182" t="s">
        <v>1817</v>
      </c>
      <c r="O811" s="163"/>
      <c r="P811" s="198" t="s">
        <v>49</v>
      </c>
    </row>
    <row r="812" spans="2:16" ht="48" hidden="1">
      <c r="B812" s="48" t="s">
        <v>160</v>
      </c>
      <c r="C812" s="115"/>
      <c r="D812" s="116" t="s">
        <v>1824</v>
      </c>
      <c r="E812" s="171" t="s">
        <v>46</v>
      </c>
      <c r="G812" s="62"/>
      <c r="H812" s="62"/>
      <c r="I812" s="62"/>
      <c r="J812" s="119">
        <v>45612</v>
      </c>
      <c r="K812" s="270"/>
      <c r="N812" s="182" t="s">
        <v>1825</v>
      </c>
      <c r="O812" s="163" t="s">
        <v>1826</v>
      </c>
      <c r="P812" s="198" t="s">
        <v>49</v>
      </c>
    </row>
    <row r="813" spans="2:16" ht="32.1" hidden="1">
      <c r="B813" s="48" t="s">
        <v>156</v>
      </c>
      <c r="C813" s="115"/>
      <c r="D813" s="116" t="s">
        <v>1827</v>
      </c>
      <c r="E813" s="171" t="s">
        <v>46</v>
      </c>
      <c r="G813" s="62"/>
      <c r="H813" s="62"/>
      <c r="I813" s="62"/>
      <c r="J813" s="119">
        <v>45569</v>
      </c>
      <c r="K813" s="270"/>
      <c r="N813" s="182" t="s">
        <v>1817</v>
      </c>
      <c r="O813" s="163"/>
      <c r="P813" s="198" t="s">
        <v>49</v>
      </c>
    </row>
    <row r="814" spans="2:16" ht="63.95" hidden="1">
      <c r="B814" s="48" t="s">
        <v>1609</v>
      </c>
      <c r="C814" s="115"/>
      <c r="D814" s="116" t="s">
        <v>1828</v>
      </c>
      <c r="E814" s="171" t="s">
        <v>46</v>
      </c>
      <c r="G814" s="62"/>
      <c r="H814" s="62"/>
      <c r="I814" s="62"/>
      <c r="J814" s="119">
        <v>45609</v>
      </c>
      <c r="K814" s="270"/>
      <c r="N814" s="182" t="s">
        <v>1819</v>
      </c>
      <c r="O814" s="163"/>
      <c r="P814" s="198" t="s">
        <v>49</v>
      </c>
    </row>
    <row r="815" spans="2:16" ht="63.95" hidden="1">
      <c r="B815" s="48" t="s">
        <v>156</v>
      </c>
      <c r="C815" s="115"/>
      <c r="D815" s="116" t="s">
        <v>1829</v>
      </c>
      <c r="E815" s="171" t="s">
        <v>46</v>
      </c>
      <c r="G815" s="62"/>
      <c r="H815" s="62"/>
      <c r="I815" s="62"/>
      <c r="J815" s="119">
        <v>45611</v>
      </c>
      <c r="K815" s="270">
        <v>2487580</v>
      </c>
      <c r="N815" s="182" t="s">
        <v>1830</v>
      </c>
      <c r="O815" s="163"/>
      <c r="P815" s="198" t="s">
        <v>49</v>
      </c>
    </row>
    <row r="816" spans="2:16" ht="32.1" hidden="1">
      <c r="B816" s="48" t="s">
        <v>129</v>
      </c>
      <c r="C816" s="115"/>
      <c r="D816" s="116" t="s">
        <v>1831</v>
      </c>
      <c r="E816" s="171" t="s">
        <v>46</v>
      </c>
      <c r="G816" s="62"/>
      <c r="H816" s="62"/>
      <c r="I816" s="62"/>
      <c r="J816" s="119">
        <v>45615</v>
      </c>
      <c r="K816" s="270">
        <v>2491734</v>
      </c>
      <c r="N816" s="182" t="s">
        <v>1832</v>
      </c>
      <c r="O816" s="163" t="s">
        <v>1606</v>
      </c>
      <c r="P816" s="198" t="s">
        <v>49</v>
      </c>
    </row>
    <row r="817" spans="2:16" ht="32.1" hidden="1">
      <c r="B817" s="48" t="s">
        <v>129</v>
      </c>
      <c r="C817" s="115"/>
      <c r="D817" s="116" t="s">
        <v>1833</v>
      </c>
      <c r="E817" s="171" t="s">
        <v>46</v>
      </c>
      <c r="G817" s="62"/>
      <c r="H817" s="62"/>
      <c r="I817" s="62"/>
      <c r="J817" s="119">
        <v>45615</v>
      </c>
      <c r="K817" s="270">
        <v>2491792</v>
      </c>
      <c r="N817" s="182" t="s">
        <v>1834</v>
      </c>
      <c r="O817" s="163"/>
      <c r="P817" s="198" t="s">
        <v>49</v>
      </c>
    </row>
    <row r="818" spans="2:16" ht="32.1" hidden="1">
      <c r="B818" s="48" t="s">
        <v>933</v>
      </c>
      <c r="C818" s="115"/>
      <c r="D818" s="116" t="s">
        <v>1835</v>
      </c>
      <c r="E818" s="171" t="s">
        <v>46</v>
      </c>
      <c r="G818" s="62"/>
      <c r="H818" s="62"/>
      <c r="I818" s="62"/>
      <c r="J818" s="119">
        <v>45616</v>
      </c>
      <c r="K818" s="270">
        <v>2495763</v>
      </c>
      <c r="N818" s="182" t="s">
        <v>1830</v>
      </c>
      <c r="O818" s="163"/>
      <c r="P818" s="198" t="s">
        <v>49</v>
      </c>
    </row>
    <row r="819" spans="2:16" ht="32.1" hidden="1">
      <c r="B819" s="48" t="s">
        <v>129</v>
      </c>
      <c r="C819" s="115"/>
      <c r="D819" s="116" t="s">
        <v>1836</v>
      </c>
      <c r="E819" s="171" t="s">
        <v>46</v>
      </c>
      <c r="G819" s="62"/>
      <c r="H819" s="62"/>
      <c r="I819" s="62"/>
      <c r="J819" s="119">
        <v>45616</v>
      </c>
      <c r="K819" s="270">
        <v>2495849</v>
      </c>
      <c r="N819" s="182" t="s">
        <v>1830</v>
      </c>
      <c r="O819" s="163"/>
      <c r="P819" s="198" t="s">
        <v>49</v>
      </c>
    </row>
    <row r="820" spans="2:16" ht="32.1" hidden="1">
      <c r="B820" s="48" t="s">
        <v>1609</v>
      </c>
      <c r="C820" s="115"/>
      <c r="D820" s="116" t="s">
        <v>1837</v>
      </c>
      <c r="E820" s="171" t="s">
        <v>46</v>
      </c>
      <c r="G820" s="62"/>
      <c r="H820" s="62"/>
      <c r="I820" s="62"/>
      <c r="J820" s="119">
        <v>45616</v>
      </c>
      <c r="K820" s="270">
        <v>2495853</v>
      </c>
      <c r="N820" s="182" t="s">
        <v>1834</v>
      </c>
      <c r="O820" s="163"/>
      <c r="P820" s="198" t="s">
        <v>49</v>
      </c>
    </row>
    <row r="821" spans="2:16" ht="32.1" hidden="1">
      <c r="B821" s="48" t="s">
        <v>178</v>
      </c>
      <c r="C821" s="115"/>
      <c r="D821" s="116" t="s">
        <v>1838</v>
      </c>
      <c r="E821" s="171" t="s">
        <v>46</v>
      </c>
      <c r="G821" s="62"/>
      <c r="H821" s="62"/>
      <c r="I821" s="62"/>
      <c r="J821" s="119">
        <v>45617</v>
      </c>
      <c r="K821" s="270">
        <v>2500459</v>
      </c>
      <c r="N821" s="182" t="s">
        <v>1830</v>
      </c>
      <c r="O821" s="163"/>
      <c r="P821" s="198" t="s">
        <v>49</v>
      </c>
    </row>
    <row r="822" spans="2:16" ht="32.1" hidden="1">
      <c r="B822" s="48" t="s">
        <v>1839</v>
      </c>
      <c r="C822" s="115"/>
      <c r="D822" s="116" t="s">
        <v>1840</v>
      </c>
      <c r="E822" s="171" t="s">
        <v>46</v>
      </c>
      <c r="G822" s="62"/>
      <c r="H822" s="62"/>
      <c r="I822" s="62"/>
      <c r="J822" s="119">
        <v>45617</v>
      </c>
      <c r="K822" s="270">
        <v>2500621</v>
      </c>
      <c r="N822" s="182" t="s">
        <v>1830</v>
      </c>
      <c r="O822" s="163" t="s">
        <v>1606</v>
      </c>
      <c r="P822" s="198" t="s">
        <v>49</v>
      </c>
    </row>
    <row r="823" spans="2:16" ht="111.95">
      <c r="B823" s="48" t="s">
        <v>190</v>
      </c>
      <c r="C823" s="115"/>
      <c r="D823" s="116" t="s">
        <v>1841</v>
      </c>
      <c r="E823" s="171" t="s">
        <v>46</v>
      </c>
      <c r="G823" s="62"/>
      <c r="H823" s="62"/>
      <c r="I823" s="62"/>
      <c r="J823" s="119">
        <v>45618</v>
      </c>
      <c r="K823" s="270">
        <v>2504040</v>
      </c>
      <c r="N823" s="182" t="s">
        <v>1830</v>
      </c>
      <c r="O823" s="163"/>
      <c r="P823" s="198" t="s">
        <v>49</v>
      </c>
    </row>
    <row r="824" spans="2:16" ht="32.1" hidden="1">
      <c r="B824" s="48" t="s">
        <v>1609</v>
      </c>
      <c r="C824" s="115"/>
      <c r="D824" s="116" t="s">
        <v>1842</v>
      </c>
      <c r="E824" s="171" t="s">
        <v>46</v>
      </c>
      <c r="G824" s="62"/>
      <c r="H824" s="62"/>
      <c r="I824" s="62"/>
      <c r="J824" s="119">
        <v>45618</v>
      </c>
      <c r="K824" s="270">
        <v>2504097</v>
      </c>
      <c r="N824" s="182" t="s">
        <v>1830</v>
      </c>
      <c r="O824" s="163" t="s">
        <v>1843</v>
      </c>
      <c r="P824" s="198" t="s">
        <v>49</v>
      </c>
    </row>
    <row r="825" spans="2:16" ht="96" hidden="1">
      <c r="B825" s="48" t="s">
        <v>67</v>
      </c>
      <c r="C825" s="115"/>
      <c r="D825" s="116" t="s">
        <v>1844</v>
      </c>
      <c r="E825" s="171" t="s">
        <v>46</v>
      </c>
      <c r="G825" s="62"/>
      <c r="H825" s="62"/>
      <c r="I825" s="62"/>
      <c r="J825" s="119">
        <v>45618</v>
      </c>
      <c r="K825" s="270"/>
      <c r="N825" s="182" t="s">
        <v>1845</v>
      </c>
      <c r="O825" s="163"/>
      <c r="P825" s="198" t="s">
        <v>49</v>
      </c>
    </row>
    <row r="826" spans="2:16" ht="48" hidden="1">
      <c r="B826" s="48" t="s">
        <v>222</v>
      </c>
      <c r="C826" s="115"/>
      <c r="D826" s="116" t="s">
        <v>1846</v>
      </c>
      <c r="E826" s="171" t="s">
        <v>46</v>
      </c>
      <c r="G826" s="62"/>
      <c r="H826" s="62"/>
      <c r="I826" s="62"/>
      <c r="J826" s="119">
        <v>45611</v>
      </c>
      <c r="K826" s="270"/>
      <c r="N826" s="182" t="s">
        <v>1830</v>
      </c>
      <c r="O826" s="163"/>
      <c r="P826" s="198" t="s">
        <v>49</v>
      </c>
    </row>
    <row r="827" spans="2:16" ht="32.1" hidden="1">
      <c r="B827" s="48" t="s">
        <v>1609</v>
      </c>
      <c r="C827" s="115"/>
      <c r="D827" s="116" t="s">
        <v>1847</v>
      </c>
      <c r="E827" s="171" t="s">
        <v>46</v>
      </c>
      <c r="G827" s="62"/>
      <c r="H827" s="62"/>
      <c r="I827" s="62"/>
      <c r="J827" s="119">
        <v>45621</v>
      </c>
      <c r="K827" s="270">
        <v>2516307</v>
      </c>
      <c r="N827" s="182" t="s">
        <v>1848</v>
      </c>
      <c r="O827" s="163" t="s">
        <v>1849</v>
      </c>
      <c r="P827" s="198" t="s">
        <v>49</v>
      </c>
    </row>
    <row r="828" spans="2:16" ht="32.1" hidden="1">
      <c r="B828" s="48" t="s">
        <v>1609</v>
      </c>
      <c r="C828" s="115"/>
      <c r="D828" s="116" t="s">
        <v>1850</v>
      </c>
      <c r="E828" s="171" t="s">
        <v>46</v>
      </c>
      <c r="G828" s="62"/>
      <c r="H828" s="62"/>
      <c r="I828" s="62"/>
      <c r="J828" s="119">
        <v>45622</v>
      </c>
      <c r="K828" s="270">
        <v>2519523</v>
      </c>
      <c r="N828" s="182" t="s">
        <v>1848</v>
      </c>
      <c r="O828" s="163"/>
      <c r="P828" s="198" t="s">
        <v>49</v>
      </c>
    </row>
    <row r="829" spans="2:16" ht="32.1" hidden="1">
      <c r="B829" s="48" t="s">
        <v>1609</v>
      </c>
      <c r="C829" s="115"/>
      <c r="D829" s="116" t="s">
        <v>1851</v>
      </c>
      <c r="E829" s="171" t="s">
        <v>46</v>
      </c>
      <c r="G829" s="62"/>
      <c r="H829" s="62"/>
      <c r="I829" s="62"/>
      <c r="J829" s="119">
        <v>45622</v>
      </c>
      <c r="K829" s="270">
        <v>2519554</v>
      </c>
      <c r="N829" s="182" t="s">
        <v>1848</v>
      </c>
      <c r="O829" s="163"/>
      <c r="P829" s="198" t="s">
        <v>49</v>
      </c>
    </row>
    <row r="830" spans="2:16" ht="32.1" hidden="1">
      <c r="B830" s="48" t="s">
        <v>1609</v>
      </c>
      <c r="C830" s="115"/>
      <c r="D830" s="116" t="s">
        <v>1852</v>
      </c>
      <c r="E830" s="171" t="s">
        <v>46</v>
      </c>
      <c r="G830" s="62"/>
      <c r="H830" s="62"/>
      <c r="I830" s="62"/>
      <c r="J830" s="119">
        <v>45622</v>
      </c>
      <c r="K830" s="270">
        <v>2519581</v>
      </c>
      <c r="N830" s="182" t="s">
        <v>1853</v>
      </c>
      <c r="O830" s="163"/>
      <c r="P830" s="198" t="s">
        <v>49</v>
      </c>
    </row>
    <row r="831" spans="2:16" ht="32.1" hidden="1">
      <c r="B831" s="48" t="s">
        <v>1609</v>
      </c>
      <c r="C831" s="115"/>
      <c r="D831" s="116" t="s">
        <v>1854</v>
      </c>
      <c r="E831" s="171" t="s">
        <v>46</v>
      </c>
      <c r="G831" s="62"/>
      <c r="H831" s="62"/>
      <c r="I831" s="62"/>
      <c r="J831" s="119">
        <v>45622</v>
      </c>
      <c r="K831" s="270">
        <v>2519584</v>
      </c>
      <c r="N831" s="182" t="s">
        <v>1848</v>
      </c>
      <c r="O831" s="163"/>
      <c r="P831" s="198" t="s">
        <v>49</v>
      </c>
    </row>
    <row r="832" spans="2:16" ht="32.1" hidden="1">
      <c r="B832" s="48" t="s">
        <v>170</v>
      </c>
      <c r="C832" s="115"/>
      <c r="D832" s="116" t="s">
        <v>1855</v>
      </c>
      <c r="E832" s="171" t="s">
        <v>46</v>
      </c>
      <c r="G832" s="62"/>
      <c r="H832" s="62"/>
      <c r="I832" s="62"/>
      <c r="J832" s="119">
        <v>45623</v>
      </c>
      <c r="K832" s="270">
        <v>2523135</v>
      </c>
      <c r="N832" s="182" t="s">
        <v>1853</v>
      </c>
      <c r="O832" s="163"/>
      <c r="P832" s="198" t="s">
        <v>49</v>
      </c>
    </row>
    <row r="833" spans="2:23" ht="32.1" hidden="1">
      <c r="B833" s="48" t="s">
        <v>71</v>
      </c>
      <c r="C833" s="115"/>
      <c r="D833" s="116" t="s">
        <v>1856</v>
      </c>
      <c r="E833" s="171" t="s">
        <v>46</v>
      </c>
      <c r="G833" s="62"/>
      <c r="H833" s="62"/>
      <c r="I833" s="62"/>
      <c r="J833" s="119">
        <v>45623</v>
      </c>
      <c r="K833" s="270">
        <v>2523168</v>
      </c>
      <c r="N833" s="182" t="s">
        <v>1848</v>
      </c>
      <c r="O833" s="163"/>
      <c r="P833" s="198" t="s">
        <v>49</v>
      </c>
    </row>
    <row r="834" spans="2:23" ht="32.1" hidden="1">
      <c r="B834" s="48" t="s">
        <v>71</v>
      </c>
      <c r="C834" s="115"/>
      <c r="D834" s="116" t="s">
        <v>1857</v>
      </c>
      <c r="E834" s="171" t="s">
        <v>46</v>
      </c>
      <c r="G834" s="62"/>
      <c r="H834" s="62"/>
      <c r="I834" s="62"/>
      <c r="J834" s="119">
        <v>45623</v>
      </c>
      <c r="K834" s="270">
        <v>2523178</v>
      </c>
      <c r="N834" s="182" t="s">
        <v>1848</v>
      </c>
      <c r="O834" s="163"/>
      <c r="P834" s="198" t="s">
        <v>49</v>
      </c>
    </row>
    <row r="835" spans="2:23" ht="32.1" hidden="1">
      <c r="B835" s="48" t="s">
        <v>71</v>
      </c>
      <c r="C835" s="115"/>
      <c r="D835" s="116" t="s">
        <v>1858</v>
      </c>
      <c r="E835" s="171" t="s">
        <v>46</v>
      </c>
      <c r="G835" s="62"/>
      <c r="H835" s="62"/>
      <c r="I835" s="62"/>
      <c r="J835" s="119">
        <v>45623</v>
      </c>
      <c r="K835" s="270">
        <v>2523205</v>
      </c>
      <c r="N835" s="182" t="s">
        <v>1848</v>
      </c>
      <c r="O835" s="163"/>
      <c r="P835" s="198" t="s">
        <v>49</v>
      </c>
    </row>
    <row r="836" spans="2:23" ht="32.1" hidden="1">
      <c r="B836" s="48" t="s">
        <v>71</v>
      </c>
      <c r="C836" s="115"/>
      <c r="D836" s="116" t="s">
        <v>1859</v>
      </c>
      <c r="E836" s="171" t="s">
        <v>46</v>
      </c>
      <c r="G836" s="62"/>
      <c r="H836" s="62"/>
      <c r="I836" s="62"/>
      <c r="J836" s="119">
        <v>45623</v>
      </c>
      <c r="K836" s="370">
        <v>2523214</v>
      </c>
      <c r="N836" s="182" t="s">
        <v>1848</v>
      </c>
      <c r="O836" s="163"/>
      <c r="P836" s="198" t="s">
        <v>49</v>
      </c>
    </row>
    <row r="837" spans="2:23" ht="48" hidden="1">
      <c r="B837" s="48" t="s">
        <v>58</v>
      </c>
      <c r="C837" s="115"/>
      <c r="D837" s="116" t="s">
        <v>1860</v>
      </c>
      <c r="E837" s="171" t="s">
        <v>46</v>
      </c>
      <c r="G837" s="62"/>
      <c r="H837" s="62"/>
      <c r="I837" s="62"/>
      <c r="J837" s="119">
        <v>45623</v>
      </c>
      <c r="K837" s="365">
        <v>2523906</v>
      </c>
      <c r="N837" s="182" t="s">
        <v>1861</v>
      </c>
      <c r="O837" s="163" t="s">
        <v>1606</v>
      </c>
      <c r="P837" s="198" t="s">
        <v>49</v>
      </c>
    </row>
    <row r="838" spans="2:23" ht="32.1" hidden="1">
      <c r="B838" s="48" t="s">
        <v>156</v>
      </c>
      <c r="C838" s="115"/>
      <c r="D838" s="116" t="s">
        <v>1862</v>
      </c>
      <c r="E838" s="171" t="s">
        <v>46</v>
      </c>
      <c r="G838" s="62"/>
      <c r="H838" s="62"/>
      <c r="I838" s="62"/>
      <c r="J838" s="119">
        <v>45623</v>
      </c>
      <c r="K838" s="374">
        <v>2524947</v>
      </c>
      <c r="N838" s="182" t="s">
        <v>1848</v>
      </c>
      <c r="O838" s="163"/>
      <c r="P838" s="198" t="s">
        <v>49</v>
      </c>
    </row>
    <row r="839" spans="2:23" ht="32.1" hidden="1">
      <c r="B839" s="48" t="s">
        <v>54</v>
      </c>
      <c r="C839" s="115"/>
      <c r="D839" s="116" t="s">
        <v>1863</v>
      </c>
      <c r="E839" s="171" t="s">
        <v>46</v>
      </c>
      <c r="G839" s="62"/>
      <c r="H839" s="62"/>
      <c r="I839" s="62"/>
      <c r="J839" s="119">
        <v>45624</v>
      </c>
      <c r="K839" s="270">
        <v>2527693</v>
      </c>
      <c r="N839" s="182" t="s">
        <v>1861</v>
      </c>
      <c r="O839" s="163"/>
      <c r="P839" s="198" t="s">
        <v>49</v>
      </c>
    </row>
    <row r="840" spans="2:23" ht="48" hidden="1">
      <c r="B840" s="48" t="s">
        <v>214</v>
      </c>
      <c r="C840" s="115"/>
      <c r="D840" s="116" t="s">
        <v>1864</v>
      </c>
      <c r="E840" s="171" t="s">
        <v>46</v>
      </c>
      <c r="G840" s="62"/>
      <c r="H840" s="62"/>
      <c r="I840" s="62"/>
      <c r="J840" s="119">
        <v>45624</v>
      </c>
      <c r="K840" s="270">
        <v>2527789</v>
      </c>
      <c r="N840" s="182" t="s">
        <v>1865</v>
      </c>
      <c r="O840" s="163"/>
      <c r="P840" s="198" t="s">
        <v>49</v>
      </c>
    </row>
    <row r="841" spans="2:23" ht="32.1" hidden="1">
      <c r="B841" s="48" t="s">
        <v>160</v>
      </c>
      <c r="C841" s="115"/>
      <c r="D841" s="116" t="s">
        <v>1866</v>
      </c>
      <c r="E841" s="171" t="s">
        <v>46</v>
      </c>
      <c r="G841" s="62"/>
      <c r="H841" s="62"/>
      <c r="I841" s="62"/>
      <c r="J841" s="119">
        <v>45624</v>
      </c>
      <c r="K841" s="270">
        <v>2528313</v>
      </c>
      <c r="N841" s="182" t="s">
        <v>1848</v>
      </c>
      <c r="O841" s="163"/>
      <c r="P841" s="198" t="s">
        <v>49</v>
      </c>
    </row>
    <row r="842" spans="2:23" s="186" customFormat="1" ht="96" hidden="1">
      <c r="B842" s="187" t="s">
        <v>86</v>
      </c>
      <c r="C842" s="188"/>
      <c r="D842" s="189" t="s">
        <v>1867</v>
      </c>
      <c r="E842" s="190" t="s">
        <v>46</v>
      </c>
      <c r="F842" s="1"/>
      <c r="G842" s="62"/>
      <c r="H842" s="62"/>
      <c r="I842" s="62"/>
      <c r="J842" s="191">
        <v>45624</v>
      </c>
      <c r="K842" s="331">
        <v>2528941</v>
      </c>
      <c r="L842" s="1"/>
      <c r="M842" s="1"/>
      <c r="N842" s="193" t="s">
        <v>1868</v>
      </c>
      <c r="O842" s="194" t="s">
        <v>1869</v>
      </c>
      <c r="P842" s="332" t="s">
        <v>49</v>
      </c>
      <c r="U842" s="197"/>
      <c r="V842" s="197"/>
      <c r="W842" s="197"/>
    </row>
    <row r="843" spans="2:23" ht="48" hidden="1">
      <c r="B843" s="48" t="s">
        <v>1609</v>
      </c>
      <c r="C843" s="115"/>
      <c r="D843" s="116" t="s">
        <v>1870</v>
      </c>
      <c r="E843" s="171" t="s">
        <v>46</v>
      </c>
      <c r="G843" s="62"/>
      <c r="H843" s="62"/>
      <c r="I843" s="62"/>
      <c r="J843" s="119">
        <v>45621</v>
      </c>
      <c r="K843" s="270"/>
      <c r="N843" s="182" t="s">
        <v>1848</v>
      </c>
      <c r="O843" s="163"/>
      <c r="P843" s="198" t="s">
        <v>49</v>
      </c>
    </row>
    <row r="844" spans="2:23" ht="32.1" hidden="1">
      <c r="B844" s="48" t="s">
        <v>86</v>
      </c>
      <c r="C844" s="115"/>
      <c r="D844" s="116" t="s">
        <v>1871</v>
      </c>
      <c r="E844" s="171" t="s">
        <v>46</v>
      </c>
      <c r="G844" s="62"/>
      <c r="H844" s="62"/>
      <c r="I844" s="62"/>
      <c r="J844" s="119">
        <v>45621</v>
      </c>
      <c r="K844" s="370"/>
      <c r="N844" s="182" t="s">
        <v>1848</v>
      </c>
      <c r="O844" s="163"/>
      <c r="P844" s="198" t="s">
        <v>49</v>
      </c>
    </row>
    <row r="845" spans="2:23" ht="48" hidden="1">
      <c r="B845" s="48" t="s">
        <v>58</v>
      </c>
      <c r="C845" s="115"/>
      <c r="D845" s="116" t="s">
        <v>1872</v>
      </c>
      <c r="E845" s="171" t="s">
        <v>46</v>
      </c>
      <c r="G845" s="62"/>
      <c r="H845" s="62"/>
      <c r="I845" s="62"/>
      <c r="J845" s="119">
        <v>45628</v>
      </c>
      <c r="K845" s="365">
        <v>2543096</v>
      </c>
      <c r="N845" s="182" t="s">
        <v>1093</v>
      </c>
      <c r="O845" s="163"/>
      <c r="P845" s="198" t="s">
        <v>49</v>
      </c>
    </row>
    <row r="846" spans="2:23" ht="48" hidden="1">
      <c r="B846" s="48" t="s">
        <v>156</v>
      </c>
      <c r="C846" s="115"/>
      <c r="D846" s="116" t="s">
        <v>1873</v>
      </c>
      <c r="E846" s="171" t="s">
        <v>46</v>
      </c>
      <c r="G846" s="62"/>
      <c r="H846" s="62"/>
      <c r="I846" s="62"/>
      <c r="J846" s="119">
        <v>45628</v>
      </c>
      <c r="K846" s="374">
        <v>2543932</v>
      </c>
      <c r="N846" s="182" t="s">
        <v>1093</v>
      </c>
      <c r="O846" s="163"/>
      <c r="P846" s="198" t="s">
        <v>49</v>
      </c>
    </row>
    <row r="847" spans="2:23" ht="111.95">
      <c r="B847" s="48" t="s">
        <v>190</v>
      </c>
      <c r="C847" s="115"/>
      <c r="D847" s="116" t="s">
        <v>1874</v>
      </c>
      <c r="E847" s="171" t="s">
        <v>46</v>
      </c>
      <c r="G847" s="62"/>
      <c r="H847" s="62"/>
      <c r="I847" s="62"/>
      <c r="J847" s="119">
        <v>45628</v>
      </c>
      <c r="K847" s="270">
        <v>2547319</v>
      </c>
      <c r="N847" s="182" t="s">
        <v>1875</v>
      </c>
      <c r="O847" s="163"/>
      <c r="P847" s="198" t="s">
        <v>49</v>
      </c>
    </row>
    <row r="848" spans="2:23" ht="48" hidden="1">
      <c r="B848" s="48" t="s">
        <v>156</v>
      </c>
      <c r="C848" s="115"/>
      <c r="D848" s="116" t="s">
        <v>1876</v>
      </c>
      <c r="E848" s="171" t="s">
        <v>46</v>
      </c>
      <c r="G848" s="62"/>
      <c r="H848" s="62"/>
      <c r="I848" s="62"/>
      <c r="J848" s="119">
        <v>45629</v>
      </c>
      <c r="K848" s="270">
        <v>2547377</v>
      </c>
      <c r="N848" s="182" t="s">
        <v>1875</v>
      </c>
      <c r="O848" s="163"/>
      <c r="P848" s="198" t="s">
        <v>49</v>
      </c>
    </row>
    <row r="849" spans="2:23" ht="32.1" hidden="1">
      <c r="B849" s="48" t="s">
        <v>174</v>
      </c>
      <c r="C849" s="115"/>
      <c r="D849" s="116" t="s">
        <v>1877</v>
      </c>
      <c r="E849" s="171" t="s">
        <v>46</v>
      </c>
      <c r="G849" s="62"/>
      <c r="H849" s="62"/>
      <c r="I849" s="62"/>
      <c r="J849" s="119">
        <v>45629</v>
      </c>
      <c r="K849" s="270">
        <v>2549128</v>
      </c>
      <c r="N849" s="182" t="s">
        <v>1878</v>
      </c>
      <c r="O849" s="163"/>
      <c r="P849" s="198" t="s">
        <v>49</v>
      </c>
    </row>
    <row r="850" spans="2:23" ht="32.1" hidden="1">
      <c r="B850" s="48" t="s">
        <v>129</v>
      </c>
      <c r="C850" s="115"/>
      <c r="D850" s="116" t="s">
        <v>1879</v>
      </c>
      <c r="E850" s="171" t="s">
        <v>46</v>
      </c>
      <c r="G850" s="62"/>
      <c r="H850" s="62"/>
      <c r="I850" s="62"/>
      <c r="J850" s="119">
        <v>45630</v>
      </c>
      <c r="K850" s="270">
        <v>2551762</v>
      </c>
      <c r="N850" s="182" t="s">
        <v>1875</v>
      </c>
      <c r="O850" s="163"/>
      <c r="P850" s="198" t="s">
        <v>49</v>
      </c>
    </row>
    <row r="851" spans="2:23" ht="32.1" hidden="1">
      <c r="B851" s="48" t="s">
        <v>1609</v>
      </c>
      <c r="C851" s="115"/>
      <c r="D851" s="116" t="s">
        <v>1880</v>
      </c>
      <c r="E851" s="171" t="s">
        <v>46</v>
      </c>
      <c r="G851" s="62"/>
      <c r="H851" s="62"/>
      <c r="I851" s="62"/>
      <c r="J851" s="119">
        <v>45630</v>
      </c>
      <c r="K851" s="270">
        <v>2555953</v>
      </c>
      <c r="N851" s="182" t="s">
        <v>1875</v>
      </c>
      <c r="O851" s="163"/>
      <c r="P851" s="198" t="s">
        <v>49</v>
      </c>
    </row>
    <row r="852" spans="2:23" ht="32.1" hidden="1">
      <c r="B852" s="48" t="s">
        <v>160</v>
      </c>
      <c r="C852" s="115"/>
      <c r="D852" s="116" t="s">
        <v>1881</v>
      </c>
      <c r="E852" s="171" t="s">
        <v>46</v>
      </c>
      <c r="G852" s="62"/>
      <c r="H852" s="62"/>
      <c r="I852" s="62"/>
      <c r="J852" s="119">
        <v>45631</v>
      </c>
      <c r="K852" s="270">
        <v>2556186</v>
      </c>
      <c r="N852" s="182" t="s">
        <v>1875</v>
      </c>
      <c r="O852" s="163"/>
      <c r="P852" s="198" t="s">
        <v>49</v>
      </c>
    </row>
    <row r="853" spans="2:23" s="208" customFormat="1" ht="124.5" hidden="1">
      <c r="B853" s="209" t="s">
        <v>1349</v>
      </c>
      <c r="C853" s="210"/>
      <c r="D853" s="211" t="s">
        <v>1882</v>
      </c>
      <c r="E853" s="212" t="s">
        <v>46</v>
      </c>
      <c r="F853" s="1"/>
      <c r="G853" s="62"/>
      <c r="H853" s="62"/>
      <c r="I853" s="62"/>
      <c r="J853" s="213">
        <v>45577</v>
      </c>
      <c r="K853" s="328">
        <v>2575164</v>
      </c>
      <c r="L853" s="1"/>
      <c r="M853" s="1"/>
      <c r="N853" s="215" t="s">
        <v>1883</v>
      </c>
      <c r="O853" s="216" t="s">
        <v>1884</v>
      </c>
      <c r="P853" s="330" t="s">
        <v>49</v>
      </c>
      <c r="U853" s="219"/>
      <c r="V853" s="219"/>
      <c r="W853" s="219"/>
    </row>
    <row r="854" spans="2:23" ht="32.1" hidden="1">
      <c r="B854" s="48" t="s">
        <v>933</v>
      </c>
      <c r="C854" s="115"/>
      <c r="D854" s="116" t="s">
        <v>1885</v>
      </c>
      <c r="E854" s="171" t="s">
        <v>46</v>
      </c>
      <c r="G854" s="62"/>
      <c r="H854" s="62"/>
      <c r="I854" s="62"/>
      <c r="J854" s="119">
        <v>45636</v>
      </c>
      <c r="K854" s="270">
        <v>2575244</v>
      </c>
      <c r="N854" s="182" t="s">
        <v>1886</v>
      </c>
      <c r="O854" s="163"/>
      <c r="P854" s="198" t="s">
        <v>49</v>
      </c>
    </row>
    <row r="855" spans="2:23" ht="32.1" hidden="1">
      <c r="B855" s="48" t="s">
        <v>933</v>
      </c>
      <c r="C855" s="115"/>
      <c r="D855" s="116" t="s">
        <v>1887</v>
      </c>
      <c r="E855" s="171" t="s">
        <v>46</v>
      </c>
      <c r="G855" s="62"/>
      <c r="H855" s="62"/>
      <c r="I855" s="62"/>
      <c r="J855" s="119">
        <v>45608</v>
      </c>
      <c r="K855" s="270">
        <v>2578658</v>
      </c>
      <c r="N855" s="182" t="s">
        <v>1888</v>
      </c>
      <c r="O855" s="163"/>
      <c r="P855" s="198" t="s">
        <v>49</v>
      </c>
    </row>
    <row r="856" spans="2:23" ht="48" hidden="1">
      <c r="B856" s="48" t="s">
        <v>54</v>
      </c>
      <c r="C856" s="115"/>
      <c r="D856" s="116" t="s">
        <v>1889</v>
      </c>
      <c r="E856" s="171" t="s">
        <v>46</v>
      </c>
      <c r="G856" s="62"/>
      <c r="H856" s="62"/>
      <c r="I856" s="62"/>
      <c r="J856" s="119" t="s">
        <v>1890</v>
      </c>
      <c r="K856" s="270">
        <v>2587235</v>
      </c>
      <c r="N856" s="182" t="s">
        <v>1886</v>
      </c>
      <c r="O856" s="163"/>
      <c r="P856" s="198" t="s">
        <v>49</v>
      </c>
    </row>
    <row r="857" spans="2:23" ht="48" hidden="1">
      <c r="B857" s="48" t="s">
        <v>75</v>
      </c>
      <c r="C857" s="115"/>
      <c r="D857" s="116" t="s">
        <v>1891</v>
      </c>
      <c r="E857" s="171" t="s">
        <v>46</v>
      </c>
      <c r="G857" s="62"/>
      <c r="H857" s="62"/>
      <c r="I857" s="62"/>
      <c r="J857" s="119">
        <v>45642</v>
      </c>
      <c r="K857" s="270">
        <v>2598535</v>
      </c>
      <c r="N857" s="182" t="s">
        <v>1892</v>
      </c>
      <c r="O857" s="163"/>
      <c r="P857" s="198" t="s">
        <v>49</v>
      </c>
    </row>
    <row r="858" spans="2:23" ht="32.1" hidden="1">
      <c r="B858" s="48" t="s">
        <v>170</v>
      </c>
      <c r="C858" s="115"/>
      <c r="D858" s="116" t="s">
        <v>1893</v>
      </c>
      <c r="E858" s="171" t="s">
        <v>46</v>
      </c>
      <c r="G858" s="62"/>
      <c r="H858" s="62"/>
      <c r="I858" s="62"/>
      <c r="J858" s="119">
        <v>45638</v>
      </c>
      <c r="K858" s="270">
        <v>2598777</v>
      </c>
      <c r="N858" s="182" t="s">
        <v>1886</v>
      </c>
      <c r="O858" s="163"/>
      <c r="P858" s="198" t="s">
        <v>49</v>
      </c>
    </row>
    <row r="859" spans="2:23" ht="32.1" hidden="1">
      <c r="B859" s="48" t="s">
        <v>1349</v>
      </c>
      <c r="C859" s="115"/>
      <c r="D859" s="116" t="s">
        <v>1894</v>
      </c>
      <c r="E859" s="171" t="s">
        <v>46</v>
      </c>
      <c r="G859" s="62"/>
      <c r="H859" s="62"/>
      <c r="I859" s="62"/>
      <c r="J859" s="119">
        <v>45642</v>
      </c>
      <c r="K859" s="270">
        <v>2598914</v>
      </c>
      <c r="N859" s="182" t="s">
        <v>1888</v>
      </c>
      <c r="O859" s="163"/>
      <c r="P859" s="198" t="s">
        <v>49</v>
      </c>
    </row>
    <row r="860" spans="2:23" ht="32.1" hidden="1">
      <c r="B860" s="48" t="s">
        <v>1839</v>
      </c>
      <c r="C860" s="115"/>
      <c r="D860" s="116" t="s">
        <v>1895</v>
      </c>
      <c r="E860" s="171" t="s">
        <v>46</v>
      </c>
      <c r="G860" s="62"/>
      <c r="H860" s="62"/>
      <c r="I860" s="62"/>
      <c r="J860" s="119">
        <v>45643</v>
      </c>
      <c r="K860" s="270">
        <v>2603136</v>
      </c>
      <c r="N860" s="182" t="s">
        <v>1888</v>
      </c>
      <c r="O860" s="163"/>
      <c r="P860" s="198" t="s">
        <v>49</v>
      </c>
    </row>
    <row r="861" spans="2:23" s="186" customFormat="1" ht="80.099999999999994" hidden="1">
      <c r="B861" s="187" t="s">
        <v>67</v>
      </c>
      <c r="C861" s="188"/>
      <c r="D861" s="189" t="s">
        <v>1896</v>
      </c>
      <c r="E861" s="190" t="s">
        <v>46</v>
      </c>
      <c r="F861" s="1"/>
      <c r="G861" s="62"/>
      <c r="H861" s="62"/>
      <c r="I861" s="62"/>
      <c r="J861" s="191">
        <v>45645</v>
      </c>
      <c r="K861" s="331">
        <v>2610735</v>
      </c>
      <c r="L861" s="1"/>
      <c r="M861" s="1"/>
      <c r="N861" s="193" t="s">
        <v>1897</v>
      </c>
      <c r="O861" s="194" t="s">
        <v>1898</v>
      </c>
      <c r="P861" s="332" t="s">
        <v>49</v>
      </c>
      <c r="Q861" s="1"/>
      <c r="R861" s="1"/>
      <c r="U861" s="197"/>
      <c r="V861" s="197"/>
      <c r="W861" s="197"/>
    </row>
    <row r="862" spans="2:23" ht="32.1" hidden="1">
      <c r="B862" s="48" t="s">
        <v>1480</v>
      </c>
      <c r="C862" s="115"/>
      <c r="D862" s="116" t="s">
        <v>1899</v>
      </c>
      <c r="E862" s="171" t="s">
        <v>46</v>
      </c>
      <c r="G862" s="62"/>
      <c r="H862" s="62"/>
      <c r="I862" s="62"/>
      <c r="J862" s="119">
        <v>45645</v>
      </c>
      <c r="K862" s="270">
        <v>2611352</v>
      </c>
      <c r="N862" s="182" t="s">
        <v>1886</v>
      </c>
      <c r="O862" s="163"/>
      <c r="P862" s="198" t="s">
        <v>49</v>
      </c>
    </row>
    <row r="863" spans="2:23" ht="63.95" hidden="1">
      <c r="B863" s="48" t="s">
        <v>1480</v>
      </c>
      <c r="C863" s="115"/>
      <c r="D863" s="116" t="s">
        <v>1900</v>
      </c>
      <c r="E863" s="171" t="s">
        <v>46</v>
      </c>
      <c r="G863" s="62"/>
      <c r="H863" s="62"/>
      <c r="I863" s="62"/>
      <c r="J863" s="119">
        <v>45645</v>
      </c>
      <c r="K863" s="270">
        <v>2611387</v>
      </c>
      <c r="N863" s="182" t="s">
        <v>1886</v>
      </c>
      <c r="O863" s="163"/>
      <c r="P863" s="198" t="s">
        <v>49</v>
      </c>
    </row>
    <row r="864" spans="2:23" ht="32.1" hidden="1">
      <c r="B864" s="48" t="s">
        <v>214</v>
      </c>
      <c r="C864" s="115"/>
      <c r="D864" s="116" t="s">
        <v>1901</v>
      </c>
      <c r="E864" s="171" t="s">
        <v>46</v>
      </c>
      <c r="G864" s="62"/>
      <c r="H864" s="62"/>
      <c r="I864" s="62"/>
      <c r="J864" s="119">
        <v>45645</v>
      </c>
      <c r="K864" s="270">
        <v>2612056</v>
      </c>
      <c r="N864" s="182" t="s">
        <v>1902</v>
      </c>
      <c r="O864" s="163"/>
      <c r="P864" s="198" t="s">
        <v>49</v>
      </c>
    </row>
    <row r="865" spans="2:16" ht="32.1" hidden="1">
      <c r="B865" s="48" t="s">
        <v>71</v>
      </c>
      <c r="C865" s="115"/>
      <c r="D865" s="116" t="s">
        <v>1903</v>
      </c>
      <c r="E865" s="171" t="s">
        <v>46</v>
      </c>
      <c r="G865" s="62"/>
      <c r="H865" s="62"/>
      <c r="I865" s="62"/>
      <c r="J865" s="119" t="s">
        <v>1904</v>
      </c>
      <c r="K865" s="270">
        <v>2625908</v>
      </c>
      <c r="N865" s="182" t="s">
        <v>1905</v>
      </c>
      <c r="O865" s="163" t="s">
        <v>1606</v>
      </c>
      <c r="P865" s="198" t="s">
        <v>49</v>
      </c>
    </row>
    <row r="866" spans="2:16" ht="32.1" hidden="1">
      <c r="B866" s="48" t="s">
        <v>1641</v>
      </c>
      <c r="C866" s="115"/>
      <c r="D866" s="116" t="s">
        <v>1906</v>
      </c>
      <c r="E866" s="171" t="s">
        <v>46</v>
      </c>
      <c r="G866" s="62"/>
      <c r="H866" s="62"/>
      <c r="I866" s="62"/>
      <c r="J866" s="119" t="s">
        <v>1907</v>
      </c>
      <c r="K866" s="270">
        <v>2629689</v>
      </c>
      <c r="N866" s="182" t="s">
        <v>1902</v>
      </c>
      <c r="O866" s="163"/>
      <c r="P866" s="198" t="s">
        <v>49</v>
      </c>
    </row>
    <row r="867" spans="2:16" ht="32.1" hidden="1">
      <c r="B867" s="48" t="s">
        <v>933</v>
      </c>
      <c r="C867" s="115"/>
      <c r="D867" s="116" t="s">
        <v>1908</v>
      </c>
      <c r="E867" s="171" t="s">
        <v>46</v>
      </c>
      <c r="G867" s="62"/>
      <c r="H867" s="62"/>
      <c r="I867" s="62"/>
      <c r="J867" s="119" t="s">
        <v>1909</v>
      </c>
      <c r="K867" s="270">
        <v>2637011</v>
      </c>
      <c r="N867" s="182" t="s">
        <v>1902</v>
      </c>
      <c r="O867" s="163"/>
      <c r="P867" s="198" t="s">
        <v>49</v>
      </c>
    </row>
    <row r="868" spans="2:16" ht="32.1" hidden="1">
      <c r="B868" s="48" t="s">
        <v>71</v>
      </c>
      <c r="C868" s="115"/>
      <c r="D868" s="116" t="s">
        <v>1910</v>
      </c>
      <c r="E868" s="171" t="s">
        <v>46</v>
      </c>
      <c r="G868" s="62"/>
      <c r="H868" s="62"/>
      <c r="I868" s="62"/>
      <c r="J868" s="119" t="s">
        <v>1911</v>
      </c>
      <c r="K868" s="270">
        <v>2640969</v>
      </c>
      <c r="N868" s="182" t="s">
        <v>1902</v>
      </c>
      <c r="O868" s="163"/>
      <c r="P868" s="198" t="s">
        <v>49</v>
      </c>
    </row>
    <row r="869" spans="2:16" ht="32.1" hidden="1">
      <c r="B869" s="48" t="s">
        <v>129</v>
      </c>
      <c r="C869" s="115"/>
      <c r="D869" s="116" t="s">
        <v>1912</v>
      </c>
      <c r="E869" s="171" t="s">
        <v>46</v>
      </c>
      <c r="G869" s="62"/>
      <c r="H869" s="62"/>
      <c r="I869" s="62"/>
      <c r="J869" s="119">
        <v>45656</v>
      </c>
      <c r="K869" s="270">
        <v>2652801</v>
      </c>
      <c r="N869" s="182" t="s">
        <v>1913</v>
      </c>
      <c r="O869" s="163" t="s">
        <v>1914</v>
      </c>
      <c r="P869" s="198" t="s">
        <v>49</v>
      </c>
    </row>
    <row r="870" spans="2:16" ht="32.1" hidden="1">
      <c r="B870" s="48" t="s">
        <v>222</v>
      </c>
      <c r="C870" s="115"/>
      <c r="D870" s="116" t="s">
        <v>1915</v>
      </c>
      <c r="E870" s="171" t="s">
        <v>46</v>
      </c>
      <c r="G870" s="62"/>
      <c r="H870" s="62"/>
      <c r="I870" s="62"/>
      <c r="J870" s="119">
        <v>45657</v>
      </c>
      <c r="K870" s="370">
        <v>2656598</v>
      </c>
      <c r="N870" s="182" t="s">
        <v>1916</v>
      </c>
      <c r="O870" s="163"/>
      <c r="P870" s="198" t="s">
        <v>49</v>
      </c>
    </row>
    <row r="871" spans="2:16" ht="63.95" hidden="1">
      <c r="B871" s="48" t="s">
        <v>58</v>
      </c>
      <c r="C871" s="115"/>
      <c r="D871" s="116" t="s">
        <v>1917</v>
      </c>
      <c r="E871" s="171" t="s">
        <v>46</v>
      </c>
      <c r="G871" s="62"/>
      <c r="H871" s="62"/>
      <c r="I871" s="62"/>
      <c r="J871" s="119">
        <v>45659</v>
      </c>
      <c r="K871" s="365">
        <v>2664411</v>
      </c>
      <c r="N871" s="182" t="s">
        <v>1918</v>
      </c>
      <c r="O871" s="163"/>
      <c r="P871" s="198" t="s">
        <v>49</v>
      </c>
    </row>
    <row r="872" spans="2:16" ht="32.1" hidden="1">
      <c r="B872" s="48" t="s">
        <v>933</v>
      </c>
      <c r="C872" s="115"/>
      <c r="D872" s="116" t="s">
        <v>1919</v>
      </c>
      <c r="E872" s="171" t="s">
        <v>46</v>
      </c>
      <c r="G872" s="62"/>
      <c r="H872" s="62"/>
      <c r="I872" s="62"/>
      <c r="J872" s="119">
        <v>45659</v>
      </c>
      <c r="K872" s="374">
        <v>2664684</v>
      </c>
      <c r="N872" s="182" t="s">
        <v>1920</v>
      </c>
      <c r="O872" s="163"/>
      <c r="P872" s="198" t="s">
        <v>49</v>
      </c>
    </row>
    <row r="873" spans="2:16" ht="32.1" hidden="1">
      <c r="B873" s="48" t="s">
        <v>1609</v>
      </c>
      <c r="C873" s="115"/>
      <c r="D873" s="116" t="s">
        <v>1921</v>
      </c>
      <c r="E873" s="171" t="s">
        <v>46</v>
      </c>
      <c r="G873" s="62"/>
      <c r="H873" s="62"/>
      <c r="I873" s="62"/>
      <c r="J873" s="119">
        <v>45660</v>
      </c>
      <c r="K873" s="270">
        <v>2667877</v>
      </c>
      <c r="N873" s="182" t="s">
        <v>1922</v>
      </c>
      <c r="O873" s="163"/>
      <c r="P873" s="198" t="s">
        <v>49</v>
      </c>
    </row>
    <row r="874" spans="2:16" ht="32.1" hidden="1">
      <c r="B874" s="48" t="s">
        <v>160</v>
      </c>
      <c r="C874" s="115"/>
      <c r="D874" s="116" t="s">
        <v>1923</v>
      </c>
      <c r="E874" s="171" t="s">
        <v>46</v>
      </c>
      <c r="G874" s="62"/>
      <c r="H874" s="62"/>
      <c r="I874" s="62"/>
      <c r="J874" s="119">
        <v>45660</v>
      </c>
      <c r="K874" s="270">
        <v>2668666</v>
      </c>
      <c r="N874" s="182" t="s">
        <v>1916</v>
      </c>
      <c r="O874" s="163"/>
      <c r="P874" s="198" t="s">
        <v>49</v>
      </c>
    </row>
    <row r="875" spans="2:16" ht="32.1" hidden="1">
      <c r="B875" s="48" t="s">
        <v>54</v>
      </c>
      <c r="C875" s="115"/>
      <c r="D875" s="116" t="s">
        <v>1924</v>
      </c>
      <c r="E875" s="171" t="s">
        <v>46</v>
      </c>
      <c r="G875" s="62"/>
      <c r="H875" s="62"/>
      <c r="I875" s="62"/>
      <c r="J875" s="119">
        <v>45664</v>
      </c>
      <c r="K875" s="270">
        <v>2683901</v>
      </c>
      <c r="N875" s="182" t="s">
        <v>1925</v>
      </c>
      <c r="O875" s="163"/>
      <c r="P875" s="198" t="s">
        <v>49</v>
      </c>
    </row>
    <row r="876" spans="2:16" ht="32.1" hidden="1">
      <c r="B876" s="48" t="s">
        <v>91</v>
      </c>
      <c r="C876" s="115"/>
      <c r="D876" s="116" t="s">
        <v>1926</v>
      </c>
      <c r="E876" s="171" t="s">
        <v>46</v>
      </c>
      <c r="G876" s="62"/>
      <c r="H876" s="62"/>
      <c r="I876" s="62"/>
      <c r="J876" s="119">
        <v>45664</v>
      </c>
      <c r="K876" s="270">
        <v>2683956</v>
      </c>
      <c r="N876" s="182" t="s">
        <v>1925</v>
      </c>
      <c r="O876" s="163"/>
      <c r="P876" s="198" t="s">
        <v>49</v>
      </c>
    </row>
    <row r="877" spans="2:16" ht="32.1" hidden="1">
      <c r="B877" s="48" t="s">
        <v>133</v>
      </c>
      <c r="C877" s="115"/>
      <c r="D877" s="116" t="s">
        <v>1927</v>
      </c>
      <c r="E877" s="171" t="s">
        <v>46</v>
      </c>
      <c r="G877" s="62"/>
      <c r="H877" s="62"/>
      <c r="I877" s="62"/>
      <c r="J877" s="119">
        <v>45665</v>
      </c>
      <c r="K877" s="270">
        <v>2692350</v>
      </c>
      <c r="N877" s="182" t="s">
        <v>1916</v>
      </c>
      <c r="O877" s="163"/>
      <c r="P877" s="198" t="s">
        <v>49</v>
      </c>
    </row>
    <row r="878" spans="2:16" ht="32.1" hidden="1">
      <c r="B878" s="48" t="s">
        <v>1839</v>
      </c>
      <c r="C878" s="115"/>
      <c r="D878" s="116" t="s">
        <v>1928</v>
      </c>
      <c r="E878" s="171" t="s">
        <v>46</v>
      </c>
      <c r="G878" s="62"/>
      <c r="H878" s="62"/>
      <c r="I878" s="62"/>
      <c r="J878" s="119">
        <v>45665</v>
      </c>
      <c r="K878" s="270">
        <v>2692351</v>
      </c>
      <c r="N878" s="182" t="s">
        <v>1929</v>
      </c>
      <c r="O878" s="163" t="s">
        <v>1930</v>
      </c>
      <c r="P878" s="198" t="s">
        <v>49</v>
      </c>
    </row>
    <row r="879" spans="2:16" ht="32.1" hidden="1">
      <c r="B879" s="48" t="s">
        <v>1839</v>
      </c>
      <c r="C879" s="115"/>
      <c r="D879" s="116" t="s">
        <v>1931</v>
      </c>
      <c r="E879" s="171" t="s">
        <v>46</v>
      </c>
      <c r="G879" s="62"/>
      <c r="H879" s="62"/>
      <c r="I879" s="62"/>
      <c r="J879" s="119">
        <v>45665</v>
      </c>
      <c r="K879" s="270">
        <v>2692353</v>
      </c>
      <c r="N879" s="182" t="s">
        <v>1925</v>
      </c>
      <c r="O879" s="163"/>
      <c r="P879" s="198" t="s">
        <v>49</v>
      </c>
    </row>
    <row r="880" spans="2:16" ht="48" hidden="1">
      <c r="B880" s="48" t="s">
        <v>71</v>
      </c>
      <c r="C880" s="115"/>
      <c r="D880" s="116" t="s">
        <v>1932</v>
      </c>
      <c r="E880" s="171" t="s">
        <v>46</v>
      </c>
      <c r="G880" s="62"/>
      <c r="H880" s="62"/>
      <c r="I880" s="62"/>
      <c r="J880" s="119">
        <v>45666</v>
      </c>
      <c r="K880" s="270">
        <v>2692364</v>
      </c>
      <c r="N880" s="182" t="s">
        <v>1916</v>
      </c>
      <c r="O880" s="163"/>
      <c r="P880" s="198" t="s">
        <v>49</v>
      </c>
    </row>
    <row r="881" spans="2:16" ht="32.1" hidden="1">
      <c r="B881" s="48" t="s">
        <v>1349</v>
      </c>
      <c r="C881" s="115"/>
      <c r="D881" s="116" t="s">
        <v>1933</v>
      </c>
      <c r="E881" s="171" t="s">
        <v>46</v>
      </c>
      <c r="G881" s="62"/>
      <c r="H881" s="62"/>
      <c r="I881" s="62"/>
      <c r="J881" s="119">
        <v>45670</v>
      </c>
      <c r="K881" s="270">
        <v>2706869</v>
      </c>
      <c r="N881" s="182" t="s">
        <v>1934</v>
      </c>
      <c r="O881" s="163"/>
      <c r="P881" s="198" t="s">
        <v>49</v>
      </c>
    </row>
    <row r="882" spans="2:16" ht="32.1" hidden="1">
      <c r="B882" s="48" t="s">
        <v>133</v>
      </c>
      <c r="C882" s="115"/>
      <c r="D882" s="116" t="s">
        <v>1935</v>
      </c>
      <c r="E882" s="171" t="s">
        <v>46</v>
      </c>
      <c r="G882" s="62"/>
      <c r="H882" s="62"/>
      <c r="I882" s="62"/>
      <c r="J882" s="119">
        <v>45670</v>
      </c>
      <c r="K882" s="270">
        <v>2707045</v>
      </c>
      <c r="N882" s="182" t="s">
        <v>1934</v>
      </c>
      <c r="O882" s="163"/>
      <c r="P882" s="198" t="s">
        <v>49</v>
      </c>
    </row>
    <row r="883" spans="2:16" ht="32.1" hidden="1">
      <c r="B883" s="48" t="s">
        <v>170</v>
      </c>
      <c r="C883" s="115"/>
      <c r="D883" s="116" t="s">
        <v>1936</v>
      </c>
      <c r="E883" s="171" t="s">
        <v>46</v>
      </c>
      <c r="G883" s="62"/>
      <c r="H883" s="62"/>
      <c r="I883" s="62"/>
      <c r="J883" s="119">
        <v>45670</v>
      </c>
      <c r="K883" s="270">
        <v>2707090</v>
      </c>
      <c r="N883" s="182" t="s">
        <v>1937</v>
      </c>
      <c r="O883" s="163"/>
      <c r="P883" s="198" t="s">
        <v>49</v>
      </c>
    </row>
    <row r="884" spans="2:16" ht="32.1" hidden="1">
      <c r="B884" s="48" t="s">
        <v>54</v>
      </c>
      <c r="C884" s="115"/>
      <c r="D884" s="116" t="s">
        <v>1938</v>
      </c>
      <c r="E884" s="171" t="s">
        <v>46</v>
      </c>
      <c r="G884" s="62"/>
      <c r="H884" s="62"/>
      <c r="I884" s="62"/>
      <c r="J884" s="119">
        <v>45670</v>
      </c>
      <c r="K884" s="270">
        <v>2707995</v>
      </c>
      <c r="N884" s="182" t="s">
        <v>1934</v>
      </c>
      <c r="O884" s="163"/>
      <c r="P884" s="198" t="s">
        <v>49</v>
      </c>
    </row>
    <row r="885" spans="2:16" ht="48" hidden="1">
      <c r="B885" s="48" t="s">
        <v>170</v>
      </c>
      <c r="C885" s="115"/>
      <c r="D885" s="116" t="s">
        <v>1939</v>
      </c>
      <c r="E885" s="171" t="s">
        <v>46</v>
      </c>
      <c r="G885" s="62"/>
      <c r="H885" s="62"/>
      <c r="I885" s="62"/>
      <c r="J885" s="119">
        <v>45671</v>
      </c>
      <c r="K885" s="370">
        <v>2710593</v>
      </c>
      <c r="N885" s="182" t="s">
        <v>1940</v>
      </c>
      <c r="O885" s="163" t="s">
        <v>1941</v>
      </c>
      <c r="P885" s="198" t="s">
        <v>49</v>
      </c>
    </row>
    <row r="886" spans="2:16" ht="32.1" hidden="1">
      <c r="B886" s="48" t="s">
        <v>58</v>
      </c>
      <c r="C886" s="115"/>
      <c r="D886" s="116" t="s">
        <v>1942</v>
      </c>
      <c r="E886" s="171" t="s">
        <v>46</v>
      </c>
      <c r="G886" s="62"/>
      <c r="H886" s="62"/>
      <c r="I886" s="62"/>
      <c r="J886" s="119">
        <v>45671</v>
      </c>
      <c r="K886" s="365">
        <v>2710758</v>
      </c>
      <c r="N886" s="182" t="s">
        <v>1934</v>
      </c>
      <c r="O886" s="163"/>
      <c r="P886" s="198" t="s">
        <v>49</v>
      </c>
    </row>
    <row r="887" spans="2:16" ht="32.1" hidden="1">
      <c r="B887" s="48" t="s">
        <v>58</v>
      </c>
      <c r="C887" s="115"/>
      <c r="D887" s="116" t="s">
        <v>1943</v>
      </c>
      <c r="E887" s="171" t="s">
        <v>46</v>
      </c>
      <c r="G887" s="62"/>
      <c r="H887" s="62"/>
      <c r="I887" s="62"/>
      <c r="J887" s="119">
        <v>45671</v>
      </c>
      <c r="K887" s="365">
        <v>2711177</v>
      </c>
      <c r="N887" s="182" t="s">
        <v>1944</v>
      </c>
      <c r="O887" s="163"/>
      <c r="P887" s="198" t="s">
        <v>49</v>
      </c>
    </row>
    <row r="888" spans="2:16" ht="48" hidden="1">
      <c r="B888" s="48" t="s">
        <v>170</v>
      </c>
      <c r="C888" s="115"/>
      <c r="D888" s="116" t="s">
        <v>1945</v>
      </c>
      <c r="E888" s="171" t="s">
        <v>46</v>
      </c>
      <c r="G888" s="62"/>
      <c r="H888" s="62"/>
      <c r="I888" s="62"/>
      <c r="J888" s="119">
        <v>45671</v>
      </c>
      <c r="K888" s="374">
        <v>2711369</v>
      </c>
      <c r="N888" s="182" t="s">
        <v>1940</v>
      </c>
      <c r="O888" s="163"/>
      <c r="P888" s="198" t="s">
        <v>49</v>
      </c>
    </row>
    <row r="889" spans="2:16" ht="48" hidden="1">
      <c r="B889" s="48" t="s">
        <v>156</v>
      </c>
      <c r="C889" s="115"/>
      <c r="D889" s="116" t="s">
        <v>1946</v>
      </c>
      <c r="E889" s="171" t="s">
        <v>46</v>
      </c>
      <c r="G889" s="62"/>
      <c r="H889" s="62"/>
      <c r="I889" s="62"/>
      <c r="J889" s="119">
        <v>45671</v>
      </c>
      <c r="K889" s="270">
        <v>2711430</v>
      </c>
      <c r="N889" s="182" t="s">
        <v>1934</v>
      </c>
      <c r="O889" s="163"/>
      <c r="P889" s="198" t="s">
        <v>49</v>
      </c>
    </row>
    <row r="890" spans="2:16" ht="32.1" hidden="1">
      <c r="B890" s="48" t="s">
        <v>63</v>
      </c>
      <c r="C890" s="115"/>
      <c r="D890" s="116" t="s">
        <v>1947</v>
      </c>
      <c r="E890" s="171" t="s">
        <v>46</v>
      </c>
      <c r="G890" s="62"/>
      <c r="H890" s="62"/>
      <c r="I890" s="62"/>
      <c r="J890" s="119">
        <v>45672</v>
      </c>
      <c r="K890" s="270">
        <v>2715302</v>
      </c>
      <c r="N890" s="182" t="s">
        <v>1934</v>
      </c>
      <c r="O890" s="163"/>
      <c r="P890" s="198" t="s">
        <v>49</v>
      </c>
    </row>
    <row r="891" spans="2:16" ht="32.1" hidden="1">
      <c r="B891" s="48" t="s">
        <v>99</v>
      </c>
      <c r="C891" s="115"/>
      <c r="D891" s="116" t="s">
        <v>1948</v>
      </c>
      <c r="E891" s="171" t="s">
        <v>46</v>
      </c>
      <c r="G891" s="62"/>
      <c r="H891" s="62"/>
      <c r="I891" s="62"/>
      <c r="J891" s="119">
        <v>45672</v>
      </c>
      <c r="K891" s="270">
        <v>2716320</v>
      </c>
      <c r="N891" s="182" t="s">
        <v>1949</v>
      </c>
      <c r="O891" s="163" t="s">
        <v>1950</v>
      </c>
      <c r="P891" s="198" t="s">
        <v>49</v>
      </c>
    </row>
    <row r="892" spans="2:16" ht="32.1" hidden="1">
      <c r="B892" s="48" t="s">
        <v>222</v>
      </c>
      <c r="C892" s="115"/>
      <c r="D892" s="116" t="s">
        <v>1951</v>
      </c>
      <c r="E892" s="171" t="s">
        <v>46</v>
      </c>
      <c r="G892" s="62"/>
      <c r="H892" s="62"/>
      <c r="I892" s="62"/>
      <c r="J892" s="119">
        <v>45673</v>
      </c>
      <c r="K892" s="270">
        <v>2719229</v>
      </c>
      <c r="N892" s="182" t="s">
        <v>1937</v>
      </c>
      <c r="O892" s="163"/>
      <c r="P892" s="198" t="s">
        <v>49</v>
      </c>
    </row>
    <row r="893" spans="2:16" ht="32.1" hidden="1">
      <c r="B893" s="48" t="s">
        <v>1641</v>
      </c>
      <c r="C893" s="115"/>
      <c r="D893" s="116" t="s">
        <v>1952</v>
      </c>
      <c r="E893" s="171" t="s">
        <v>46</v>
      </c>
      <c r="G893" s="62"/>
      <c r="H893" s="62"/>
      <c r="I893" s="62"/>
      <c r="J893" s="119">
        <v>45673</v>
      </c>
      <c r="K893" s="270">
        <v>2719256</v>
      </c>
      <c r="N893" s="182" t="s">
        <v>1953</v>
      </c>
      <c r="O893" s="163" t="s">
        <v>1954</v>
      </c>
      <c r="P893" s="198" t="s">
        <v>49</v>
      </c>
    </row>
    <row r="894" spans="2:16" ht="32.1">
      <c r="B894" s="48" t="s">
        <v>190</v>
      </c>
      <c r="C894" s="115"/>
      <c r="D894" s="116" t="s">
        <v>1955</v>
      </c>
      <c r="E894" s="171" t="s">
        <v>46</v>
      </c>
      <c r="G894" s="62"/>
      <c r="H894" s="62"/>
      <c r="I894" s="62"/>
      <c r="J894" s="119">
        <v>45673</v>
      </c>
      <c r="K894" s="370">
        <v>2719393</v>
      </c>
      <c r="N894" s="182" t="s">
        <v>1937</v>
      </c>
      <c r="O894" s="163"/>
      <c r="P894" s="198" t="s">
        <v>49</v>
      </c>
    </row>
    <row r="895" spans="2:16" ht="32.1" hidden="1">
      <c r="B895" s="48" t="s">
        <v>58</v>
      </c>
      <c r="C895" s="115"/>
      <c r="D895" s="116" t="s">
        <v>1956</v>
      </c>
      <c r="E895" s="171" t="s">
        <v>46</v>
      </c>
      <c r="G895" s="62"/>
      <c r="H895" s="62"/>
      <c r="I895" s="62"/>
      <c r="J895" s="119">
        <v>45674</v>
      </c>
      <c r="K895" s="365">
        <v>2723057</v>
      </c>
      <c r="N895" s="182" t="s">
        <v>1937</v>
      </c>
      <c r="O895" s="163" t="s">
        <v>1606</v>
      </c>
      <c r="P895" s="198" t="s">
        <v>49</v>
      </c>
    </row>
    <row r="896" spans="2:16" ht="32.1" hidden="1">
      <c r="B896" s="48" t="s">
        <v>1520</v>
      </c>
      <c r="C896" s="115"/>
      <c r="D896" s="116" t="s">
        <v>1957</v>
      </c>
      <c r="E896" s="171" t="s">
        <v>46</v>
      </c>
      <c r="G896" s="62"/>
      <c r="H896" s="62"/>
      <c r="I896" s="62"/>
      <c r="J896" s="119">
        <v>45674</v>
      </c>
      <c r="K896" s="374">
        <v>2723086</v>
      </c>
      <c r="N896" s="182" t="s">
        <v>1958</v>
      </c>
      <c r="O896" s="163" t="s">
        <v>1606</v>
      </c>
      <c r="P896" s="198" t="s">
        <v>49</v>
      </c>
    </row>
    <row r="897" spans="2:16" ht="32.1" hidden="1">
      <c r="B897" s="48" t="s">
        <v>1520</v>
      </c>
      <c r="C897" s="115"/>
      <c r="D897" s="116" t="s">
        <v>1959</v>
      </c>
      <c r="E897" s="171" t="s">
        <v>46</v>
      </c>
      <c r="G897" s="62"/>
      <c r="H897" s="62"/>
      <c r="I897" s="62"/>
      <c r="J897" s="119">
        <v>45674</v>
      </c>
      <c r="K897" s="270">
        <v>2723114</v>
      </c>
      <c r="N897" s="182" t="s">
        <v>1958</v>
      </c>
      <c r="O897" s="163"/>
      <c r="P897" s="198" t="s">
        <v>49</v>
      </c>
    </row>
    <row r="898" spans="2:16" ht="32.1" hidden="1">
      <c r="B898" s="48" t="s">
        <v>1609</v>
      </c>
      <c r="C898" s="115"/>
      <c r="D898" s="116" t="s">
        <v>1921</v>
      </c>
      <c r="E898" s="171" t="s">
        <v>46</v>
      </c>
      <c r="G898" s="62"/>
      <c r="H898" s="62"/>
      <c r="I898" s="62"/>
      <c r="J898" s="119">
        <v>45660</v>
      </c>
      <c r="K898" s="370">
        <v>2707217</v>
      </c>
      <c r="N898" s="182" t="s">
        <v>1934</v>
      </c>
      <c r="O898" s="163"/>
      <c r="P898" s="198" t="s">
        <v>49</v>
      </c>
    </row>
    <row r="899" spans="2:16" ht="32.1" hidden="1">
      <c r="B899" s="48" t="s">
        <v>58</v>
      </c>
      <c r="C899" s="115"/>
      <c r="D899" s="116" t="s">
        <v>1960</v>
      </c>
      <c r="E899" s="171" t="s">
        <v>46</v>
      </c>
      <c r="G899" s="62"/>
      <c r="H899" s="62"/>
      <c r="I899" s="62"/>
      <c r="J899" s="119">
        <v>45677</v>
      </c>
      <c r="K899" s="365">
        <v>2729000</v>
      </c>
      <c r="N899" s="182" t="s">
        <v>1961</v>
      </c>
      <c r="O899" s="163"/>
      <c r="P899" s="198" t="s">
        <v>49</v>
      </c>
    </row>
    <row r="900" spans="2:16" ht="32.1" hidden="1">
      <c r="B900" s="48" t="s">
        <v>933</v>
      </c>
      <c r="C900" s="115"/>
      <c r="D900" s="116" t="s">
        <v>1962</v>
      </c>
      <c r="E900" s="171" t="s">
        <v>46</v>
      </c>
      <c r="G900" s="62"/>
      <c r="H900" s="62"/>
      <c r="I900" s="62"/>
      <c r="J900" s="119">
        <v>45677</v>
      </c>
      <c r="K900" s="374">
        <v>2729003</v>
      </c>
      <c r="N900" s="182" t="s">
        <v>1961</v>
      </c>
      <c r="O900" s="163"/>
      <c r="P900" s="198" t="s">
        <v>49</v>
      </c>
    </row>
    <row r="901" spans="2:16" ht="32.1" hidden="1">
      <c r="B901" s="48" t="s">
        <v>214</v>
      </c>
      <c r="C901" s="115"/>
      <c r="D901" s="116" t="s">
        <v>1963</v>
      </c>
      <c r="E901" s="171" t="s">
        <v>46</v>
      </c>
      <c r="G901" s="62"/>
      <c r="H901" s="62"/>
      <c r="I901" s="62"/>
      <c r="J901" s="119">
        <v>45678</v>
      </c>
      <c r="K901" s="270">
        <v>2732749</v>
      </c>
      <c r="N901" s="182" t="s">
        <v>1961</v>
      </c>
      <c r="O901" s="163" t="s">
        <v>1606</v>
      </c>
      <c r="P901" s="198" t="s">
        <v>49</v>
      </c>
    </row>
    <row r="902" spans="2:16" ht="32.1" hidden="1">
      <c r="B902" s="48" t="s">
        <v>222</v>
      </c>
      <c r="C902" s="115"/>
      <c r="D902" s="116" t="s">
        <v>1964</v>
      </c>
      <c r="E902" s="171" t="s">
        <v>46</v>
      </c>
      <c r="G902" s="62"/>
      <c r="H902" s="62"/>
      <c r="I902" s="62"/>
      <c r="J902" s="119">
        <v>45678</v>
      </c>
      <c r="K902" s="270">
        <v>2733182</v>
      </c>
      <c r="N902" s="182" t="s">
        <v>1961</v>
      </c>
      <c r="O902" s="163"/>
      <c r="P902" s="198" t="s">
        <v>49</v>
      </c>
    </row>
    <row r="903" spans="2:16" ht="63.95" hidden="1">
      <c r="B903" s="187" t="s">
        <v>170</v>
      </c>
      <c r="C903" s="188"/>
      <c r="D903" s="189" t="s">
        <v>1965</v>
      </c>
      <c r="E903" s="190" t="s">
        <v>46</v>
      </c>
      <c r="G903" s="62"/>
      <c r="H903" s="62"/>
      <c r="I903" s="62"/>
      <c r="J903" s="191">
        <v>45678</v>
      </c>
      <c r="K903" s="331">
        <v>2733923</v>
      </c>
      <c r="N903" s="193" t="s">
        <v>1966</v>
      </c>
      <c r="O903" s="194" t="s">
        <v>1967</v>
      </c>
      <c r="P903" s="332" t="s">
        <v>49</v>
      </c>
    </row>
    <row r="904" spans="2:16" ht="32.1" hidden="1">
      <c r="B904" s="48" t="s">
        <v>54</v>
      </c>
      <c r="C904" s="115"/>
      <c r="D904" s="116" t="s">
        <v>1968</v>
      </c>
      <c r="E904" s="171" t="s">
        <v>46</v>
      </c>
      <c r="G904" s="62"/>
      <c r="H904" s="62"/>
      <c r="I904" s="62"/>
      <c r="J904" s="119">
        <v>45679</v>
      </c>
      <c r="K904" s="270">
        <v>2736767</v>
      </c>
      <c r="N904" s="182" t="s">
        <v>1961</v>
      </c>
      <c r="O904" s="163" t="s">
        <v>1969</v>
      </c>
      <c r="P904" s="198" t="s">
        <v>49</v>
      </c>
    </row>
    <row r="905" spans="2:16" ht="48" hidden="1">
      <c r="B905" s="48" t="s">
        <v>1349</v>
      </c>
      <c r="C905" s="115"/>
      <c r="D905" s="116" t="s">
        <v>1970</v>
      </c>
      <c r="E905" s="171" t="s">
        <v>46</v>
      </c>
      <c r="G905" s="62"/>
      <c r="H905" s="62"/>
      <c r="I905" s="62"/>
      <c r="J905" s="119">
        <v>45679</v>
      </c>
      <c r="K905" s="270">
        <v>2737359</v>
      </c>
      <c r="N905" s="182" t="s">
        <v>1961</v>
      </c>
      <c r="O905" s="163"/>
      <c r="P905" s="198" t="s">
        <v>49</v>
      </c>
    </row>
    <row r="906" spans="2:16" ht="48" hidden="1">
      <c r="B906" s="48" t="s">
        <v>71</v>
      </c>
      <c r="C906" s="115"/>
      <c r="D906" s="116" t="s">
        <v>1971</v>
      </c>
      <c r="E906" s="171" t="s">
        <v>46</v>
      </c>
      <c r="G906" s="62"/>
      <c r="H906" s="62"/>
      <c r="I906" s="62"/>
      <c r="J906" s="119">
        <v>45681</v>
      </c>
      <c r="K906" s="270">
        <v>2744664</v>
      </c>
      <c r="N906" s="182" t="s">
        <v>1961</v>
      </c>
      <c r="O906" s="163"/>
      <c r="P906" s="198" t="s">
        <v>49</v>
      </c>
    </row>
    <row r="907" spans="2:16" ht="32.1" hidden="1">
      <c r="B907" s="48" t="s">
        <v>1641</v>
      </c>
      <c r="C907" s="115"/>
      <c r="D907" s="116" t="s">
        <v>1972</v>
      </c>
      <c r="E907" s="171" t="s">
        <v>46</v>
      </c>
      <c r="G907" s="62"/>
      <c r="H907" s="62"/>
      <c r="I907" s="62"/>
      <c r="J907" s="119">
        <v>45681</v>
      </c>
      <c r="K907" s="270">
        <v>2744691</v>
      </c>
      <c r="N907" s="182" t="s">
        <v>1961</v>
      </c>
      <c r="O907" s="163" t="s">
        <v>1606</v>
      </c>
      <c r="P907" s="198" t="s">
        <v>49</v>
      </c>
    </row>
    <row r="908" spans="2:16" ht="48" hidden="1">
      <c r="B908" s="48" t="s">
        <v>129</v>
      </c>
      <c r="C908" s="115"/>
      <c r="D908" s="116" t="s">
        <v>1973</v>
      </c>
      <c r="E908" s="171" t="s">
        <v>46</v>
      </c>
      <c r="G908" s="62"/>
      <c r="H908" s="62"/>
      <c r="I908" s="62"/>
      <c r="J908" s="119">
        <v>45679</v>
      </c>
      <c r="K908" s="370"/>
      <c r="N908" s="182" t="s">
        <v>1961</v>
      </c>
      <c r="O908" s="163"/>
      <c r="P908" s="198" t="s">
        <v>49</v>
      </c>
    </row>
    <row r="909" spans="2:16" ht="32.1" hidden="1">
      <c r="B909" s="48" t="s">
        <v>58</v>
      </c>
      <c r="C909" s="115"/>
      <c r="D909" s="116" t="s">
        <v>1974</v>
      </c>
      <c r="E909" s="171" t="s">
        <v>46</v>
      </c>
      <c r="G909" s="62"/>
      <c r="H909" s="62"/>
      <c r="I909" s="62"/>
      <c r="J909" s="119">
        <v>45684</v>
      </c>
      <c r="K909" s="365">
        <v>2757355</v>
      </c>
      <c r="N909" s="182" t="s">
        <v>1975</v>
      </c>
      <c r="O909" s="163"/>
      <c r="P909" s="198" t="s">
        <v>49</v>
      </c>
    </row>
    <row r="910" spans="2:16" ht="32.1" hidden="1">
      <c r="B910" s="48" t="s">
        <v>160</v>
      </c>
      <c r="C910" s="115"/>
      <c r="D910" s="116" t="s">
        <v>1976</v>
      </c>
      <c r="E910" s="171" t="s">
        <v>46</v>
      </c>
      <c r="G910" s="62"/>
      <c r="H910" s="62"/>
      <c r="I910" s="62"/>
      <c r="J910" s="119">
        <v>45685</v>
      </c>
      <c r="K910" s="374">
        <v>2760240</v>
      </c>
      <c r="N910" s="182" t="s">
        <v>1977</v>
      </c>
      <c r="O910" s="163"/>
      <c r="P910" s="198" t="s">
        <v>49</v>
      </c>
    </row>
    <row r="911" spans="2:16" ht="48" hidden="1">
      <c r="B911" s="48" t="s">
        <v>1480</v>
      </c>
      <c r="C911" s="115"/>
      <c r="D911" s="116" t="s">
        <v>1978</v>
      </c>
      <c r="E911" s="171" t="s">
        <v>46</v>
      </c>
      <c r="G911" s="62"/>
      <c r="H911" s="62"/>
      <c r="I911" s="62"/>
      <c r="J911" s="119">
        <v>45686</v>
      </c>
      <c r="K911" s="270">
        <v>2764613</v>
      </c>
      <c r="N911" s="182" t="s">
        <v>1977</v>
      </c>
      <c r="O911" s="163"/>
      <c r="P911" s="198" t="s">
        <v>49</v>
      </c>
    </row>
    <row r="912" spans="2:16" ht="63.95" hidden="1">
      <c r="B912" s="48" t="s">
        <v>129</v>
      </c>
      <c r="C912" s="115"/>
      <c r="D912" s="116" t="s">
        <v>1979</v>
      </c>
      <c r="E912" s="171" t="s">
        <v>46</v>
      </c>
      <c r="G912" s="62"/>
      <c r="H912" s="62"/>
      <c r="I912" s="62"/>
      <c r="J912" s="119">
        <v>45688</v>
      </c>
      <c r="K912" s="270">
        <v>2772970</v>
      </c>
      <c r="N912" s="182" t="s">
        <v>1975</v>
      </c>
      <c r="O912" s="163" t="s">
        <v>1606</v>
      </c>
      <c r="P912" s="198" t="s">
        <v>49</v>
      </c>
    </row>
    <row r="913" spans="2:23" ht="32.1" hidden="1">
      <c r="B913" s="48" t="s">
        <v>1349</v>
      </c>
      <c r="C913" s="115"/>
      <c r="D913" s="116" t="s">
        <v>1980</v>
      </c>
      <c r="E913" s="171" t="s">
        <v>46</v>
      </c>
      <c r="J913" s="119">
        <v>45691</v>
      </c>
      <c r="K913" s="370">
        <v>2783872</v>
      </c>
      <c r="N913" s="182" t="s">
        <v>1981</v>
      </c>
      <c r="O913" s="163"/>
      <c r="P913" s="198" t="s">
        <v>49</v>
      </c>
    </row>
    <row r="914" spans="2:23" ht="63.95" hidden="1">
      <c r="B914" s="48" t="s">
        <v>58</v>
      </c>
      <c r="C914" s="115"/>
      <c r="D914" s="116" t="s">
        <v>1982</v>
      </c>
      <c r="E914" s="171" t="s">
        <v>46</v>
      </c>
      <c r="J914" s="119">
        <v>45691</v>
      </c>
      <c r="K914" s="365">
        <v>2784018</v>
      </c>
      <c r="N914" s="182" t="s">
        <v>1983</v>
      </c>
      <c r="O914" s="163"/>
      <c r="P914" s="198" t="s">
        <v>49</v>
      </c>
    </row>
    <row r="915" spans="2:23" ht="32.1" hidden="1">
      <c r="B915" s="48" t="s">
        <v>63</v>
      </c>
      <c r="C915" s="115"/>
      <c r="D915" s="116" t="s">
        <v>1984</v>
      </c>
      <c r="E915" s="171" t="s">
        <v>46</v>
      </c>
      <c r="J915" s="119">
        <v>45694</v>
      </c>
      <c r="K915" s="374">
        <v>2795358</v>
      </c>
      <c r="N915" s="182" t="s">
        <v>1985</v>
      </c>
      <c r="O915" s="163"/>
      <c r="P915" s="198" t="s">
        <v>49</v>
      </c>
    </row>
    <row r="916" spans="2:23" ht="32.1" hidden="1">
      <c r="B916" s="48" t="s">
        <v>91</v>
      </c>
      <c r="C916" s="115"/>
      <c r="D916" s="116" t="s">
        <v>1986</v>
      </c>
      <c r="E916" s="171" t="s">
        <v>46</v>
      </c>
      <c r="J916" s="119">
        <v>45694</v>
      </c>
      <c r="K916" s="270">
        <v>2799080</v>
      </c>
      <c r="N916" s="182" t="s">
        <v>1985</v>
      </c>
      <c r="O916" s="163"/>
      <c r="P916" s="198" t="s">
        <v>49</v>
      </c>
    </row>
    <row r="917" spans="2:23" ht="32.1" hidden="1">
      <c r="B917" s="48" t="s">
        <v>160</v>
      </c>
      <c r="C917" s="115"/>
      <c r="D917" s="116" t="s">
        <v>1987</v>
      </c>
      <c r="E917" s="171" t="s">
        <v>46</v>
      </c>
      <c r="J917" s="119">
        <v>45695</v>
      </c>
      <c r="K917" s="270">
        <v>2799361</v>
      </c>
      <c r="N917" s="182" t="s">
        <v>1985</v>
      </c>
      <c r="O917" s="163"/>
      <c r="P917" s="198" t="s">
        <v>49</v>
      </c>
    </row>
    <row r="918" spans="2:23" ht="32.1" hidden="1">
      <c r="B918" s="48" t="s">
        <v>156</v>
      </c>
      <c r="C918" s="115"/>
      <c r="D918" s="116" t="s">
        <v>1988</v>
      </c>
      <c r="E918" s="171" t="s">
        <v>46</v>
      </c>
      <c r="J918" s="119">
        <v>45695</v>
      </c>
      <c r="K918" s="270">
        <v>2799602</v>
      </c>
      <c r="N918" s="182" t="s">
        <v>1985</v>
      </c>
      <c r="O918" s="163"/>
      <c r="P918" s="198" t="s">
        <v>49</v>
      </c>
    </row>
    <row r="919" spans="2:23" ht="32.1" hidden="1">
      <c r="B919" s="48" t="s">
        <v>156</v>
      </c>
      <c r="C919" s="115"/>
      <c r="D919" s="116" t="s">
        <v>1989</v>
      </c>
      <c r="E919" s="171" t="s">
        <v>46</v>
      </c>
      <c r="J919" s="119">
        <v>45695</v>
      </c>
      <c r="K919" s="270">
        <v>2799605</v>
      </c>
      <c r="N919" s="182" t="s">
        <v>1985</v>
      </c>
      <c r="O919" s="163"/>
      <c r="P919" s="198" t="s">
        <v>49</v>
      </c>
    </row>
    <row r="920" spans="2:23" s="186" customFormat="1" ht="48" hidden="1">
      <c r="B920" s="187" t="s">
        <v>1839</v>
      </c>
      <c r="C920" s="188"/>
      <c r="D920" s="189" t="s">
        <v>1990</v>
      </c>
      <c r="E920" s="190" t="s">
        <v>46</v>
      </c>
      <c r="F920" s="1"/>
      <c r="G920" s="1"/>
      <c r="H920" s="1"/>
      <c r="I920" s="1"/>
      <c r="J920" s="191">
        <v>45695</v>
      </c>
      <c r="K920" s="331">
        <v>2799717</v>
      </c>
      <c r="L920" s="1"/>
      <c r="M920" s="1"/>
      <c r="N920" s="193" t="s">
        <v>1991</v>
      </c>
      <c r="O920" s="194" t="s">
        <v>1992</v>
      </c>
      <c r="P920" s="332" t="s">
        <v>49</v>
      </c>
      <c r="Q920" s="1"/>
      <c r="R920" s="1"/>
      <c r="U920" s="197"/>
      <c r="V920" s="197"/>
      <c r="W920" s="197"/>
    </row>
    <row r="921" spans="2:23" ht="32.1" hidden="1">
      <c r="B921" s="48" t="s">
        <v>160</v>
      </c>
      <c r="C921" s="115"/>
      <c r="D921" s="116" t="s">
        <v>1993</v>
      </c>
      <c r="E921" s="171" t="s">
        <v>46</v>
      </c>
      <c r="J921" s="119">
        <v>45698</v>
      </c>
      <c r="K921" s="270">
        <v>2810620</v>
      </c>
      <c r="N921" s="182" t="s">
        <v>1994</v>
      </c>
      <c r="O921" s="163"/>
      <c r="P921" s="198" t="s">
        <v>49</v>
      </c>
    </row>
    <row r="922" spans="2:23" ht="48" hidden="1">
      <c r="B922" s="48" t="s">
        <v>67</v>
      </c>
      <c r="C922" s="115"/>
      <c r="D922" s="116" t="s">
        <v>1995</v>
      </c>
      <c r="E922" s="171" t="s">
        <v>46</v>
      </c>
      <c r="J922" s="119">
        <v>45698</v>
      </c>
      <c r="K922" s="270">
        <v>2811628</v>
      </c>
      <c r="N922" s="182" t="s">
        <v>1996</v>
      </c>
      <c r="O922" s="163"/>
      <c r="P922" s="198" t="s">
        <v>49</v>
      </c>
    </row>
    <row r="923" spans="2:23" ht="63.95">
      <c r="B923" s="48" t="s">
        <v>190</v>
      </c>
      <c r="C923" s="115"/>
      <c r="D923" s="116" t="s">
        <v>1997</v>
      </c>
      <c r="E923" s="171" t="s">
        <v>46</v>
      </c>
      <c r="J923" s="119">
        <v>45698</v>
      </c>
      <c r="K923" s="270">
        <v>2811642</v>
      </c>
      <c r="N923" s="182" t="s">
        <v>1996</v>
      </c>
      <c r="O923" s="163"/>
      <c r="P923" s="198" t="s">
        <v>49</v>
      </c>
    </row>
    <row r="924" spans="2:23" ht="32.1" hidden="1">
      <c r="B924" s="48" t="s">
        <v>86</v>
      </c>
      <c r="C924" s="115"/>
      <c r="D924" s="116" t="s">
        <v>1998</v>
      </c>
      <c r="E924" s="171" t="s">
        <v>46</v>
      </c>
      <c r="J924" s="119">
        <v>45699</v>
      </c>
      <c r="K924" s="270">
        <v>2816085</v>
      </c>
      <c r="N924" s="182" t="s">
        <v>1994</v>
      </c>
      <c r="O924" s="163"/>
      <c r="P924" s="198" t="s">
        <v>49</v>
      </c>
    </row>
    <row r="925" spans="2:23" ht="48" hidden="1">
      <c r="B925" s="48" t="s">
        <v>1480</v>
      </c>
      <c r="C925" s="115"/>
      <c r="D925" s="116" t="s">
        <v>1999</v>
      </c>
      <c r="E925" s="171" t="s">
        <v>46</v>
      </c>
      <c r="J925" s="119">
        <v>45700</v>
      </c>
      <c r="K925" s="270">
        <v>2819269</v>
      </c>
      <c r="N925" s="182" t="s">
        <v>1996</v>
      </c>
      <c r="O925" s="163"/>
      <c r="P925" s="198" t="s">
        <v>49</v>
      </c>
    </row>
    <row r="926" spans="2:23" ht="32.1" hidden="1">
      <c r="B926" s="48" t="s">
        <v>91</v>
      </c>
      <c r="C926" s="115"/>
      <c r="D926" s="116" t="s">
        <v>2000</v>
      </c>
      <c r="E926" s="171" t="s">
        <v>46</v>
      </c>
      <c r="J926" s="119">
        <v>45701</v>
      </c>
      <c r="K926" s="270">
        <v>2822603</v>
      </c>
      <c r="N926" s="182" t="s">
        <v>1996</v>
      </c>
      <c r="O926" s="163"/>
      <c r="P926" s="198" t="s">
        <v>49</v>
      </c>
    </row>
    <row r="927" spans="2:23" ht="32.1" hidden="1">
      <c r="B927" s="48" t="s">
        <v>170</v>
      </c>
      <c r="C927" s="115"/>
      <c r="D927" s="116" t="s">
        <v>2001</v>
      </c>
      <c r="E927" s="171" t="s">
        <v>46</v>
      </c>
      <c r="J927" s="119">
        <v>45702</v>
      </c>
      <c r="K927" s="270">
        <v>2827463</v>
      </c>
      <c r="N927" s="182" t="s">
        <v>1996</v>
      </c>
      <c r="O927" s="163"/>
      <c r="P927" s="198" t="s">
        <v>49</v>
      </c>
    </row>
    <row r="928" spans="2:23" ht="32.1" hidden="1">
      <c r="B928" s="48" t="s">
        <v>63</v>
      </c>
      <c r="C928" s="115"/>
      <c r="D928" s="116" t="s">
        <v>2002</v>
      </c>
      <c r="E928" s="171" t="s">
        <v>46</v>
      </c>
      <c r="J928" s="119">
        <v>45700</v>
      </c>
      <c r="K928" s="329" t="s">
        <v>2003</v>
      </c>
      <c r="N928" s="182" t="s">
        <v>1996</v>
      </c>
      <c r="O928" s="163"/>
      <c r="P928" s="198" t="s">
        <v>49</v>
      </c>
    </row>
    <row r="929" spans="2:16" ht="32.1" hidden="1">
      <c r="B929" s="48" t="s">
        <v>54</v>
      </c>
      <c r="C929" s="115"/>
      <c r="D929" s="116" t="s">
        <v>2004</v>
      </c>
      <c r="E929" s="171" t="s">
        <v>46</v>
      </c>
      <c r="J929" s="119">
        <v>45705</v>
      </c>
      <c r="K929" s="329">
        <v>2838789</v>
      </c>
      <c r="N929" s="182" t="s">
        <v>2005</v>
      </c>
      <c r="O929" s="163"/>
      <c r="P929" s="198" t="s">
        <v>49</v>
      </c>
    </row>
    <row r="930" spans="2:16" ht="32.1" hidden="1">
      <c r="B930" s="48" t="s">
        <v>99</v>
      </c>
      <c r="C930" s="115"/>
      <c r="D930" s="116" t="s">
        <v>2006</v>
      </c>
      <c r="E930" s="171" t="s">
        <v>46</v>
      </c>
      <c r="J930" s="119">
        <v>45705</v>
      </c>
      <c r="K930" s="329">
        <v>2838887</v>
      </c>
      <c r="N930" s="182" t="s">
        <v>2005</v>
      </c>
      <c r="O930" s="163"/>
      <c r="P930" s="198" t="s">
        <v>49</v>
      </c>
    </row>
    <row r="931" spans="2:16" ht="32.1" hidden="1">
      <c r="B931" s="48" t="s">
        <v>1609</v>
      </c>
      <c r="C931" s="115"/>
      <c r="D931" s="116" t="s">
        <v>2007</v>
      </c>
      <c r="E931" s="171" t="s">
        <v>46</v>
      </c>
      <c r="J931" s="119">
        <v>45706</v>
      </c>
      <c r="K931" s="329">
        <v>2841885</v>
      </c>
      <c r="N931" s="182" t="s">
        <v>2008</v>
      </c>
      <c r="O931" s="163"/>
      <c r="P931" s="198" t="s">
        <v>49</v>
      </c>
    </row>
    <row r="932" spans="2:16" ht="32.1" hidden="1">
      <c r="B932" s="48" t="s">
        <v>156</v>
      </c>
      <c r="C932" s="115"/>
      <c r="D932" s="116" t="s">
        <v>2009</v>
      </c>
      <c r="E932" s="171" t="s">
        <v>46</v>
      </c>
      <c r="J932" s="119">
        <v>45706</v>
      </c>
      <c r="K932" s="329">
        <v>2841914</v>
      </c>
      <c r="N932" s="182" t="s">
        <v>2008</v>
      </c>
      <c r="O932" s="163"/>
      <c r="P932" s="198" t="s">
        <v>49</v>
      </c>
    </row>
    <row r="933" spans="2:16" ht="80.099999999999994" hidden="1">
      <c r="B933" s="187" t="s">
        <v>79</v>
      </c>
      <c r="C933" s="188"/>
      <c r="D933" s="189" t="s">
        <v>2010</v>
      </c>
      <c r="E933" s="190" t="s">
        <v>46</v>
      </c>
      <c r="F933" s="186"/>
      <c r="G933" s="186"/>
      <c r="H933" s="186"/>
      <c r="I933" s="186"/>
      <c r="J933" s="191">
        <v>45706</v>
      </c>
      <c r="K933" s="344">
        <v>2842195</v>
      </c>
      <c r="L933" s="186"/>
      <c r="M933" s="186"/>
      <c r="N933" s="193" t="s">
        <v>2011</v>
      </c>
      <c r="O933" s="194" t="s">
        <v>2012</v>
      </c>
      <c r="P933" s="332" t="s">
        <v>49</v>
      </c>
    </row>
    <row r="934" spans="2:16" ht="48" hidden="1">
      <c r="B934" s="48" t="s">
        <v>71</v>
      </c>
      <c r="C934" s="115"/>
      <c r="D934" s="116" t="s">
        <v>2013</v>
      </c>
      <c r="E934" s="171" t="s">
        <v>46</v>
      </c>
      <c r="J934" s="119">
        <v>45706</v>
      </c>
      <c r="K934" s="329">
        <v>2843062</v>
      </c>
      <c r="N934" s="182" t="s">
        <v>2005</v>
      </c>
      <c r="O934" s="163"/>
      <c r="P934" s="198" t="s">
        <v>49</v>
      </c>
    </row>
    <row r="935" spans="2:16" ht="48" hidden="1">
      <c r="B935" s="48" t="s">
        <v>933</v>
      </c>
      <c r="C935" s="115"/>
      <c r="D935" s="116" t="s">
        <v>2014</v>
      </c>
      <c r="E935" s="171" t="s">
        <v>46</v>
      </c>
      <c r="J935" s="119">
        <v>45706</v>
      </c>
      <c r="K935" s="329">
        <v>2843108</v>
      </c>
      <c r="N935" s="182" t="s">
        <v>2005</v>
      </c>
      <c r="O935" s="163"/>
      <c r="P935" s="198" t="s">
        <v>49</v>
      </c>
    </row>
    <row r="936" spans="2:16" ht="32.1" hidden="1">
      <c r="B936" s="48" t="s">
        <v>75</v>
      </c>
      <c r="C936" s="115"/>
      <c r="D936" s="116" t="s">
        <v>2015</v>
      </c>
      <c r="E936" s="171" t="s">
        <v>46</v>
      </c>
      <c r="J936" s="119">
        <v>45707</v>
      </c>
      <c r="K936" s="361">
        <v>2846882</v>
      </c>
      <c r="N936" s="182" t="s">
        <v>2008</v>
      </c>
      <c r="O936" s="163"/>
      <c r="P936" s="198" t="s">
        <v>49</v>
      </c>
    </row>
    <row r="937" spans="2:16" ht="32.1" hidden="1">
      <c r="B937" s="48" t="s">
        <v>58</v>
      </c>
      <c r="C937" s="115"/>
      <c r="D937" s="116" t="s">
        <v>2016</v>
      </c>
      <c r="E937" s="171" t="s">
        <v>46</v>
      </c>
      <c r="J937" s="119">
        <v>45714</v>
      </c>
      <c r="K937" s="359">
        <v>2871826</v>
      </c>
      <c r="N937" s="182" t="s">
        <v>2017</v>
      </c>
      <c r="O937" s="163"/>
      <c r="P937" s="198" t="s">
        <v>49</v>
      </c>
    </row>
    <row r="938" spans="2:16" ht="32.1" hidden="1">
      <c r="B938" s="48" t="s">
        <v>58</v>
      </c>
      <c r="C938" s="115"/>
      <c r="D938" s="116" t="s">
        <v>2018</v>
      </c>
      <c r="E938" s="171" t="s">
        <v>46</v>
      </c>
      <c r="J938" s="119">
        <v>45714</v>
      </c>
      <c r="K938" s="359">
        <v>2872395</v>
      </c>
      <c r="N938" s="182" t="s">
        <v>2017</v>
      </c>
      <c r="O938" s="163"/>
      <c r="P938" s="198" t="s">
        <v>49</v>
      </c>
    </row>
    <row r="939" spans="2:16" ht="159.94999999999999" hidden="1">
      <c r="B939" s="48" t="s">
        <v>71</v>
      </c>
      <c r="C939" s="115"/>
      <c r="D939" s="116" t="s">
        <v>2019</v>
      </c>
      <c r="E939" s="171" t="s">
        <v>46</v>
      </c>
      <c r="J939" s="119">
        <v>45715</v>
      </c>
      <c r="K939" s="358">
        <v>2876161</v>
      </c>
      <c r="N939" s="182" t="s">
        <v>2020</v>
      </c>
      <c r="O939" s="316" t="s">
        <v>2021</v>
      </c>
      <c r="P939" s="198" t="s">
        <v>49</v>
      </c>
    </row>
    <row r="940" spans="2:16" ht="63.95" hidden="1">
      <c r="B940" s="48" t="s">
        <v>54</v>
      </c>
      <c r="C940" s="115"/>
      <c r="D940" s="116" t="s">
        <v>2022</v>
      </c>
      <c r="E940" s="171" t="s">
        <v>46</v>
      </c>
      <c r="J940" s="119">
        <v>45715</v>
      </c>
      <c r="K940" s="329">
        <v>2876286</v>
      </c>
      <c r="N940" s="182" t="s">
        <v>2017</v>
      </c>
      <c r="O940" s="163"/>
      <c r="P940" s="198" t="s">
        <v>49</v>
      </c>
    </row>
    <row r="941" spans="2:16" ht="32.1" hidden="1">
      <c r="B941" s="48" t="s">
        <v>156</v>
      </c>
      <c r="C941" s="115"/>
      <c r="D941" s="116" t="s">
        <v>2023</v>
      </c>
      <c r="E941" s="171" t="s">
        <v>46</v>
      </c>
      <c r="J941" s="119">
        <v>45720</v>
      </c>
      <c r="K941" s="329">
        <v>2896657</v>
      </c>
      <c r="N941" s="182" t="s">
        <v>2024</v>
      </c>
      <c r="O941" s="163"/>
      <c r="P941" s="198" t="s">
        <v>49</v>
      </c>
    </row>
    <row r="942" spans="2:16" ht="32.1" hidden="1">
      <c r="B942" s="48" t="s">
        <v>63</v>
      </c>
      <c r="C942" s="115"/>
      <c r="D942" s="116" t="s">
        <v>2025</v>
      </c>
      <c r="E942" s="171" t="s">
        <v>46</v>
      </c>
      <c r="J942" s="119">
        <v>45722</v>
      </c>
      <c r="K942" s="329">
        <v>2903884</v>
      </c>
      <c r="N942" s="182" t="s">
        <v>2026</v>
      </c>
      <c r="O942" s="163"/>
      <c r="P942" s="198" t="s">
        <v>49</v>
      </c>
    </row>
    <row r="943" spans="2:16" ht="63.95" hidden="1">
      <c r="B943" s="48" t="s">
        <v>214</v>
      </c>
      <c r="C943" s="115"/>
      <c r="D943" s="116" t="s">
        <v>2027</v>
      </c>
      <c r="E943" s="171" t="s">
        <v>46</v>
      </c>
      <c r="J943" s="119">
        <v>45723</v>
      </c>
      <c r="K943" s="329">
        <v>2908334</v>
      </c>
      <c r="N943" s="182" t="s">
        <v>2026</v>
      </c>
      <c r="O943" s="163"/>
      <c r="P943" s="198" t="s">
        <v>49</v>
      </c>
    </row>
    <row r="944" spans="2:16" ht="32.1" hidden="1">
      <c r="B944" s="48" t="s">
        <v>178</v>
      </c>
      <c r="C944" s="115"/>
      <c r="D944" s="116" t="s">
        <v>2028</v>
      </c>
      <c r="E944" s="171" t="s">
        <v>46</v>
      </c>
      <c r="J944" s="119">
        <v>45726</v>
      </c>
      <c r="K944" s="329">
        <v>2919524</v>
      </c>
      <c r="N944" s="182" t="s">
        <v>2029</v>
      </c>
      <c r="O944" s="163"/>
      <c r="P944" s="198" t="s">
        <v>49</v>
      </c>
    </row>
    <row r="945" spans="2:16" ht="48">
      <c r="B945" s="48" t="s">
        <v>190</v>
      </c>
      <c r="C945" s="115"/>
      <c r="D945" s="116" t="s">
        <v>2030</v>
      </c>
      <c r="E945" s="171" t="s">
        <v>46</v>
      </c>
      <c r="J945" s="119">
        <v>45726</v>
      </c>
      <c r="K945" s="329">
        <v>2919932</v>
      </c>
      <c r="N945" s="182" t="s">
        <v>2031</v>
      </c>
      <c r="O945" s="163"/>
      <c r="P945" s="198" t="s">
        <v>49</v>
      </c>
    </row>
    <row r="946" spans="2:16" ht="32.1">
      <c r="B946" s="48" t="s">
        <v>190</v>
      </c>
      <c r="C946" s="115"/>
      <c r="D946" s="116" t="s">
        <v>2032</v>
      </c>
      <c r="E946" s="171" t="s">
        <v>46</v>
      </c>
      <c r="J946" s="119">
        <v>45726</v>
      </c>
      <c r="K946" s="329">
        <v>2919961</v>
      </c>
      <c r="N946" s="182" t="s">
        <v>2033</v>
      </c>
      <c r="O946" s="163"/>
      <c r="P946" s="198" t="s">
        <v>49</v>
      </c>
    </row>
    <row r="947" spans="2:16" ht="32.1" hidden="1">
      <c r="B947" s="48" t="s">
        <v>1641</v>
      </c>
      <c r="C947" s="115"/>
      <c r="D947" s="116" t="s">
        <v>2034</v>
      </c>
      <c r="E947" s="171" t="s">
        <v>46</v>
      </c>
      <c r="J947" s="119">
        <v>45726</v>
      </c>
      <c r="K947" s="329">
        <v>2919963</v>
      </c>
      <c r="N947" s="182" t="s">
        <v>2029</v>
      </c>
      <c r="O947" s="163"/>
      <c r="P947" s="198" t="s">
        <v>49</v>
      </c>
    </row>
    <row r="948" spans="2:16" ht="32.1" hidden="1">
      <c r="B948" s="48" t="s">
        <v>54</v>
      </c>
      <c r="C948" s="115"/>
      <c r="D948" s="116" t="s">
        <v>2035</v>
      </c>
      <c r="E948" s="171" t="s">
        <v>46</v>
      </c>
      <c r="J948" s="119">
        <v>45726</v>
      </c>
      <c r="K948" s="329">
        <v>2920021</v>
      </c>
      <c r="N948" s="182" t="s">
        <v>2031</v>
      </c>
      <c r="O948" s="163"/>
      <c r="P948" s="198" t="s">
        <v>49</v>
      </c>
    </row>
    <row r="949" spans="2:16" ht="159.94999999999999" hidden="1">
      <c r="B949" s="48" t="s">
        <v>1480</v>
      </c>
      <c r="C949" s="115"/>
      <c r="D949" s="116" t="s">
        <v>2036</v>
      </c>
      <c r="E949" s="171" t="s">
        <v>46</v>
      </c>
      <c r="J949" s="119">
        <v>45728</v>
      </c>
      <c r="K949" s="329">
        <v>2929236</v>
      </c>
      <c r="N949" s="182" t="s">
        <v>2037</v>
      </c>
      <c r="O949" s="316" t="s">
        <v>2038</v>
      </c>
      <c r="P949" s="198" t="s">
        <v>49</v>
      </c>
    </row>
    <row r="950" spans="2:16" ht="48" hidden="1">
      <c r="B950" s="48" t="s">
        <v>160</v>
      </c>
      <c r="C950" s="115"/>
      <c r="D950" s="116" t="s">
        <v>2039</v>
      </c>
      <c r="E950" s="171" t="s">
        <v>46</v>
      </c>
      <c r="J950" s="119">
        <v>45728</v>
      </c>
      <c r="K950" s="329">
        <v>2929276</v>
      </c>
      <c r="N950" s="182" t="s">
        <v>2031</v>
      </c>
      <c r="O950" s="163"/>
      <c r="P950" s="198" t="s">
        <v>49</v>
      </c>
    </row>
    <row r="951" spans="2:16" ht="32.1" hidden="1">
      <c r="B951" s="48" t="s">
        <v>178</v>
      </c>
      <c r="C951" s="115"/>
      <c r="D951" s="116" t="s">
        <v>2040</v>
      </c>
      <c r="E951" s="171" t="s">
        <v>46</v>
      </c>
      <c r="J951" s="119">
        <v>45730</v>
      </c>
      <c r="K951" s="329">
        <v>2936045</v>
      </c>
      <c r="N951" s="182" t="s">
        <v>2031</v>
      </c>
      <c r="O951" s="163"/>
      <c r="P951" s="198" t="s">
        <v>49</v>
      </c>
    </row>
    <row r="952" spans="2:16" ht="32.1" hidden="1">
      <c r="B952" s="48" t="s">
        <v>63</v>
      </c>
      <c r="C952" s="115"/>
      <c r="D952" s="116" t="s">
        <v>2041</v>
      </c>
      <c r="E952" s="171" t="s">
        <v>46</v>
      </c>
      <c r="J952" s="119">
        <v>45730</v>
      </c>
      <c r="K952" s="329">
        <v>2936927</v>
      </c>
      <c r="N952" s="182" t="s">
        <v>2042</v>
      </c>
      <c r="O952" s="163"/>
      <c r="P952" s="198" t="s">
        <v>49</v>
      </c>
    </row>
    <row r="953" spans="2:16" ht="80.099999999999994" hidden="1">
      <c r="B953" s="48" t="s">
        <v>67</v>
      </c>
      <c r="C953" s="115"/>
      <c r="D953" s="116" t="s">
        <v>2043</v>
      </c>
      <c r="E953" s="171" t="s">
        <v>46</v>
      </c>
      <c r="J953" s="119">
        <v>45734</v>
      </c>
      <c r="K953" s="329">
        <v>2952135</v>
      </c>
      <c r="N953" s="182" t="s">
        <v>2044</v>
      </c>
      <c r="O953" s="163" t="s">
        <v>2045</v>
      </c>
      <c r="P953" s="198" t="s">
        <v>49</v>
      </c>
    </row>
    <row r="954" spans="2:16" ht="32.1" hidden="1">
      <c r="B954" s="48" t="s">
        <v>160</v>
      </c>
      <c r="C954" s="115"/>
      <c r="D954" s="116" t="s">
        <v>2046</v>
      </c>
      <c r="E954" s="171" t="s">
        <v>46</v>
      </c>
      <c r="J954" s="119">
        <v>45734</v>
      </c>
      <c r="K954" s="329">
        <v>2952430</v>
      </c>
      <c r="N954" s="182" t="s">
        <v>2047</v>
      </c>
      <c r="O954" s="163"/>
      <c r="P954" s="198" t="s">
        <v>49</v>
      </c>
    </row>
    <row r="955" spans="2:16" ht="32.1" hidden="1">
      <c r="B955" s="48" t="s">
        <v>214</v>
      </c>
      <c r="C955" s="115"/>
      <c r="D955" s="116" t="s">
        <v>2048</v>
      </c>
      <c r="E955" s="171" t="s">
        <v>46</v>
      </c>
      <c r="J955" s="119">
        <v>45735</v>
      </c>
      <c r="K955" s="329">
        <v>2956675</v>
      </c>
      <c r="N955" s="182" t="s">
        <v>2047</v>
      </c>
      <c r="O955" s="163"/>
      <c r="P955" s="198" t="s">
        <v>49</v>
      </c>
    </row>
    <row r="956" spans="2:16" ht="32.1" hidden="1">
      <c r="B956" s="48" t="s">
        <v>54</v>
      </c>
      <c r="C956" s="115"/>
      <c r="D956" s="116" t="s">
        <v>2049</v>
      </c>
      <c r="E956" s="171" t="s">
        <v>46</v>
      </c>
      <c r="J956" s="119">
        <v>45736</v>
      </c>
      <c r="K956" s="329">
        <v>2960800</v>
      </c>
      <c r="N956" s="182" t="s">
        <v>2042</v>
      </c>
      <c r="O956" s="163"/>
      <c r="P956" s="198" t="s">
        <v>49</v>
      </c>
    </row>
    <row r="957" spans="2:16" ht="48">
      <c r="B957" s="48" t="s">
        <v>190</v>
      </c>
      <c r="C957" s="115"/>
      <c r="D957" s="116" t="s">
        <v>2050</v>
      </c>
      <c r="E957" s="171" t="s">
        <v>46</v>
      </c>
      <c r="J957" s="119">
        <v>45740</v>
      </c>
      <c r="K957" s="329">
        <v>2974925</v>
      </c>
      <c r="N957" s="182" t="s">
        <v>2051</v>
      </c>
      <c r="O957" s="163"/>
      <c r="P957" s="198" t="s">
        <v>49</v>
      </c>
    </row>
    <row r="958" spans="2:16" ht="32.1" hidden="1">
      <c r="B958" s="48" t="s">
        <v>160</v>
      </c>
      <c r="C958" s="115"/>
      <c r="D958" s="116" t="s">
        <v>2052</v>
      </c>
      <c r="E958" s="171" t="s">
        <v>46</v>
      </c>
      <c r="J958" s="119">
        <v>45742</v>
      </c>
      <c r="K958" s="329">
        <v>2983269</v>
      </c>
      <c r="N958" s="182" t="s">
        <v>2053</v>
      </c>
      <c r="O958" s="163" t="s">
        <v>1992</v>
      </c>
      <c r="P958" s="198" t="s">
        <v>49</v>
      </c>
    </row>
    <row r="959" spans="2:16" ht="32.1" hidden="1">
      <c r="B959" s="48" t="s">
        <v>63</v>
      </c>
      <c r="C959" s="115"/>
      <c r="D959" s="116" t="s">
        <v>2054</v>
      </c>
      <c r="E959" s="171" t="s">
        <v>46</v>
      </c>
      <c r="J959" s="119">
        <v>45742</v>
      </c>
      <c r="K959" s="329">
        <v>2983367</v>
      </c>
      <c r="N959" s="182" t="s">
        <v>2033</v>
      </c>
      <c r="O959" s="163" t="s">
        <v>1625</v>
      </c>
      <c r="P959" s="198" t="s">
        <v>49</v>
      </c>
    </row>
    <row r="960" spans="2:16" ht="63.95" hidden="1">
      <c r="B960" s="48" t="s">
        <v>222</v>
      </c>
      <c r="C960" s="115"/>
      <c r="D960" s="116" t="s">
        <v>2055</v>
      </c>
      <c r="E960" s="171" t="s">
        <v>46</v>
      </c>
      <c r="J960" s="119">
        <v>45743</v>
      </c>
      <c r="K960" s="329">
        <v>2987423</v>
      </c>
      <c r="N960" s="182" t="s">
        <v>2056</v>
      </c>
      <c r="O960" s="163"/>
      <c r="P960" s="198" t="s">
        <v>49</v>
      </c>
    </row>
    <row r="961" spans="2:16" ht="32.1" hidden="1">
      <c r="B961" s="48" t="s">
        <v>54</v>
      </c>
      <c r="C961" s="115"/>
      <c r="D961" s="116" t="s">
        <v>2057</v>
      </c>
      <c r="E961" s="171" t="s">
        <v>46</v>
      </c>
      <c r="J961" s="119">
        <v>45743</v>
      </c>
      <c r="K961" s="361">
        <v>2987947</v>
      </c>
      <c r="N961" s="182" t="s">
        <v>2058</v>
      </c>
      <c r="O961" s="163" t="s">
        <v>1992</v>
      </c>
      <c r="P961" s="198" t="s">
        <v>49</v>
      </c>
    </row>
    <row r="962" spans="2:16" ht="48" hidden="1">
      <c r="B962" s="48" t="s">
        <v>58</v>
      </c>
      <c r="C962" s="115"/>
      <c r="D962" s="116" t="s">
        <v>2059</v>
      </c>
      <c r="E962" s="171" t="s">
        <v>46</v>
      </c>
      <c r="J962" s="119">
        <v>45743</v>
      </c>
      <c r="K962" s="359"/>
      <c r="N962" s="182" t="s">
        <v>2053</v>
      </c>
      <c r="O962" s="163"/>
      <c r="P962" s="198" t="s">
        <v>49</v>
      </c>
    </row>
    <row r="963" spans="2:16" ht="32.1" hidden="1">
      <c r="B963" s="48" t="s">
        <v>1349</v>
      </c>
      <c r="C963" s="115"/>
      <c r="D963" s="116" t="s">
        <v>2060</v>
      </c>
      <c r="E963" s="171" t="s">
        <v>46</v>
      </c>
      <c r="J963" s="119">
        <v>45747</v>
      </c>
      <c r="K963" s="358">
        <v>3003092</v>
      </c>
      <c r="N963" s="182" t="s">
        <v>2061</v>
      </c>
      <c r="O963" s="163"/>
      <c r="P963" s="198" t="s">
        <v>49</v>
      </c>
    </row>
    <row r="964" spans="2:16" ht="63.95" hidden="1">
      <c r="B964" s="48" t="s">
        <v>2062</v>
      </c>
      <c r="C964" s="115"/>
      <c r="D964" s="116" t="s">
        <v>2063</v>
      </c>
      <c r="E964" s="171" t="s">
        <v>46</v>
      </c>
      <c r="J964" s="119">
        <v>45747</v>
      </c>
      <c r="K964" s="329">
        <v>3003273</v>
      </c>
      <c r="N964" s="182" t="s">
        <v>2064</v>
      </c>
      <c r="O964" s="163"/>
      <c r="P964" s="198" t="s">
        <v>49</v>
      </c>
    </row>
    <row r="965" spans="2:16" ht="32.1" hidden="1">
      <c r="B965" s="48" t="s">
        <v>2065</v>
      </c>
      <c r="C965" s="115"/>
      <c r="D965" s="116" t="s">
        <v>2066</v>
      </c>
      <c r="E965" s="171" t="s">
        <v>46</v>
      </c>
      <c r="J965" s="119">
        <v>45748</v>
      </c>
      <c r="K965" s="329">
        <v>3007415</v>
      </c>
      <c r="N965" s="182" t="s">
        <v>2067</v>
      </c>
      <c r="O965" s="163"/>
      <c r="P965" s="198" t="s">
        <v>49</v>
      </c>
    </row>
    <row r="966" spans="2:16" ht="32.1" hidden="1">
      <c r="B966" s="48" t="s">
        <v>2065</v>
      </c>
      <c r="C966" s="115"/>
      <c r="D966" s="116" t="s">
        <v>2068</v>
      </c>
      <c r="E966" s="171" t="s">
        <v>46</v>
      </c>
      <c r="J966" s="119">
        <v>45748</v>
      </c>
      <c r="K966" s="329">
        <v>3007441</v>
      </c>
      <c r="N966" s="182" t="s">
        <v>2058</v>
      </c>
      <c r="O966" s="163" t="s">
        <v>1992</v>
      </c>
      <c r="P966" s="198" t="s">
        <v>49</v>
      </c>
    </row>
    <row r="967" spans="2:16" ht="32.1" hidden="1">
      <c r="B967" s="48" t="s">
        <v>2069</v>
      </c>
      <c r="C967" s="115"/>
      <c r="D967" s="116" t="s">
        <v>2070</v>
      </c>
      <c r="E967" s="171" t="s">
        <v>46</v>
      </c>
      <c r="J967" s="119">
        <v>45748</v>
      </c>
      <c r="K967" s="329">
        <v>3007478</v>
      </c>
      <c r="N967" s="182" t="s">
        <v>2033</v>
      </c>
      <c r="O967" s="163" t="s">
        <v>2071</v>
      </c>
      <c r="P967" s="198" t="s">
        <v>49</v>
      </c>
    </row>
    <row r="968" spans="2:16" ht="32.1" hidden="1">
      <c r="B968" s="48" t="s">
        <v>2072</v>
      </c>
      <c r="C968" s="115"/>
      <c r="D968" s="116" t="s">
        <v>2073</v>
      </c>
      <c r="E968" s="171" t="s">
        <v>46</v>
      </c>
      <c r="J968" s="119">
        <v>45748</v>
      </c>
      <c r="K968" s="329">
        <v>3008384</v>
      </c>
      <c r="N968" s="182" t="s">
        <v>2033</v>
      </c>
      <c r="O968" s="163" t="s">
        <v>2071</v>
      </c>
      <c r="P968" s="198" t="s">
        <v>49</v>
      </c>
    </row>
    <row r="969" spans="2:16" ht="32.1" hidden="1">
      <c r="B969" s="48" t="s">
        <v>2062</v>
      </c>
      <c r="C969" s="115"/>
      <c r="D969" s="116" t="s">
        <v>2074</v>
      </c>
      <c r="E969" s="171" t="s">
        <v>46</v>
      </c>
      <c r="J969" s="119">
        <v>45749</v>
      </c>
      <c r="K969" s="329">
        <v>3011719</v>
      </c>
      <c r="N969" s="182" t="s">
        <v>2061</v>
      </c>
      <c r="O969" s="163"/>
      <c r="P969" s="198" t="s">
        <v>49</v>
      </c>
    </row>
    <row r="970" spans="2:16" ht="63.95" hidden="1">
      <c r="B970" s="48" t="s">
        <v>2062</v>
      </c>
      <c r="C970" s="115"/>
      <c r="D970" s="116" t="s">
        <v>2075</v>
      </c>
      <c r="E970" s="171" t="s">
        <v>46</v>
      </c>
      <c r="J970" s="119">
        <v>45749</v>
      </c>
      <c r="K970" s="329">
        <v>3011736</v>
      </c>
      <c r="N970" s="182" t="s">
        <v>2058</v>
      </c>
      <c r="O970" s="163" t="s">
        <v>1992</v>
      </c>
      <c r="P970" s="198" t="s">
        <v>49</v>
      </c>
    </row>
    <row r="971" spans="2:16" ht="32.1" hidden="1">
      <c r="B971" s="48" t="s">
        <v>2076</v>
      </c>
      <c r="C971" s="115"/>
      <c r="D971" s="116" t="s">
        <v>2077</v>
      </c>
      <c r="E971" s="171" t="s">
        <v>46</v>
      </c>
      <c r="J971" s="119">
        <v>45749</v>
      </c>
      <c r="K971" s="329">
        <v>3011764</v>
      </c>
      <c r="N971" s="182" t="s">
        <v>1913</v>
      </c>
      <c r="O971" s="163" t="s">
        <v>2078</v>
      </c>
      <c r="P971" s="198" t="s">
        <v>49</v>
      </c>
    </row>
    <row r="972" spans="2:16" ht="32.1" hidden="1">
      <c r="B972" s="48" t="s">
        <v>2079</v>
      </c>
      <c r="C972" s="115"/>
      <c r="D972" s="116" t="s">
        <v>2080</v>
      </c>
      <c r="E972" s="171" t="s">
        <v>46</v>
      </c>
      <c r="J972" s="119">
        <v>45749</v>
      </c>
      <c r="K972" s="329">
        <v>3011861</v>
      </c>
      <c r="N972" s="182" t="s">
        <v>2058</v>
      </c>
      <c r="O972" s="163" t="s">
        <v>1992</v>
      </c>
      <c r="P972" s="198" t="s">
        <v>49</v>
      </c>
    </row>
    <row r="973" spans="2:16" ht="32.1" hidden="1">
      <c r="B973" s="48" t="s">
        <v>2079</v>
      </c>
      <c r="C973" s="115"/>
      <c r="D973" s="116" t="s">
        <v>2081</v>
      </c>
      <c r="E973" s="171" t="s">
        <v>46</v>
      </c>
      <c r="J973" s="119">
        <v>45749</v>
      </c>
      <c r="K973" s="329">
        <v>3011862</v>
      </c>
      <c r="N973" s="182" t="s">
        <v>2058</v>
      </c>
      <c r="O973" s="163" t="s">
        <v>1992</v>
      </c>
      <c r="P973" s="198" t="s">
        <v>49</v>
      </c>
    </row>
    <row r="974" spans="2:16" ht="32.1" hidden="1">
      <c r="B974" s="48" t="s">
        <v>2079</v>
      </c>
      <c r="C974" s="115"/>
      <c r="D974" s="116" t="s">
        <v>2082</v>
      </c>
      <c r="E974" s="171" t="s">
        <v>46</v>
      </c>
      <c r="J974" s="119">
        <v>45750</v>
      </c>
      <c r="K974" s="329">
        <v>3015543</v>
      </c>
      <c r="N974" s="182" t="s">
        <v>2058</v>
      </c>
      <c r="O974" s="163" t="s">
        <v>1992</v>
      </c>
      <c r="P974" s="198" t="s">
        <v>49</v>
      </c>
    </row>
    <row r="975" spans="2:16" ht="32.1" hidden="1">
      <c r="B975" s="48" t="s">
        <v>2079</v>
      </c>
      <c r="C975" s="115"/>
      <c r="D975" s="116" t="s">
        <v>2083</v>
      </c>
      <c r="E975" s="171" t="s">
        <v>46</v>
      </c>
      <c r="J975" s="119">
        <v>45750</v>
      </c>
      <c r="K975" s="329">
        <v>3015544</v>
      </c>
      <c r="N975" s="182" t="s">
        <v>1913</v>
      </c>
      <c r="O975" s="163"/>
      <c r="P975" s="198" t="s">
        <v>49</v>
      </c>
    </row>
    <row r="976" spans="2:16" ht="48" hidden="1">
      <c r="B976" s="48" t="s">
        <v>2062</v>
      </c>
      <c r="C976" s="115"/>
      <c r="D976" s="116" t="s">
        <v>2084</v>
      </c>
      <c r="E976" s="171" t="s">
        <v>46</v>
      </c>
      <c r="J976" s="119">
        <v>45750</v>
      </c>
      <c r="K976" s="361">
        <v>3015575</v>
      </c>
      <c r="N976" s="182" t="s">
        <v>2058</v>
      </c>
      <c r="O976" s="163" t="s">
        <v>1992</v>
      </c>
      <c r="P976" s="198" t="s">
        <v>49</v>
      </c>
    </row>
    <row r="977" spans="1:16384" s="1" customFormat="1" ht="48" hidden="1">
      <c r="B977" s="48" t="s">
        <v>2085</v>
      </c>
      <c r="C977" s="115"/>
      <c r="D977" s="116" t="s">
        <v>2086</v>
      </c>
      <c r="E977" s="171" t="s">
        <v>46</v>
      </c>
      <c r="J977" s="119">
        <v>45750</v>
      </c>
      <c r="K977" s="359">
        <v>3015684</v>
      </c>
      <c r="N977" s="182" t="s">
        <v>2058</v>
      </c>
      <c r="O977" s="163" t="s">
        <v>2087</v>
      </c>
      <c r="P977" s="198" t="s">
        <v>49</v>
      </c>
      <c r="U977" s="6"/>
      <c r="V977" s="6"/>
      <c r="W977" s="6"/>
    </row>
    <row r="978" spans="1:16384" s="1" customFormat="1" ht="32.1" hidden="1">
      <c r="B978" s="48" t="s">
        <v>2088</v>
      </c>
      <c r="C978" s="115"/>
      <c r="D978" s="116" t="s">
        <v>2089</v>
      </c>
      <c r="E978" s="171" t="s">
        <v>46</v>
      </c>
      <c r="J978" s="119">
        <v>45750</v>
      </c>
      <c r="K978" s="358">
        <v>3015713</v>
      </c>
      <c r="N978" s="182" t="s">
        <v>2033</v>
      </c>
      <c r="O978" s="163"/>
      <c r="P978" s="198" t="s">
        <v>49</v>
      </c>
      <c r="U978" s="6"/>
      <c r="V978" s="6"/>
      <c r="W978" s="6"/>
    </row>
    <row r="979" spans="1:16384" customFormat="1" ht="32.1" hidden="1">
      <c r="A979" s="336"/>
      <c r="B979" s="48" t="s">
        <v>2088</v>
      </c>
      <c r="C979" s="115"/>
      <c r="D979" s="116" t="s">
        <v>2090</v>
      </c>
      <c r="E979" s="171" t="s">
        <v>46</v>
      </c>
      <c r="F979" s="338"/>
      <c r="G979" s="337"/>
      <c r="H979" s="337"/>
      <c r="I979" s="337"/>
      <c r="J979" s="119">
        <v>45756</v>
      </c>
      <c r="K979" s="329">
        <v>3048960</v>
      </c>
      <c r="N979" s="182" t="s">
        <v>2033</v>
      </c>
      <c r="O979" s="163" t="s">
        <v>1992</v>
      </c>
      <c r="P979" s="198" t="s">
        <v>49</v>
      </c>
    </row>
    <row r="980" spans="1:16384" customFormat="1" ht="32.1" hidden="1">
      <c r="A980" s="336"/>
      <c r="B980" s="48" t="s">
        <v>2088</v>
      </c>
      <c r="C980" s="115"/>
      <c r="D980" s="116" t="s">
        <v>2091</v>
      </c>
      <c r="E980" s="171" t="s">
        <v>46</v>
      </c>
      <c r="F980" s="338"/>
      <c r="G980" s="337"/>
      <c r="H980" s="337"/>
      <c r="I980" s="337"/>
      <c r="J980" s="119">
        <v>45758</v>
      </c>
      <c r="K980" s="329">
        <v>3048931</v>
      </c>
      <c r="N980" s="182" t="s">
        <v>2092</v>
      </c>
      <c r="O980" s="163"/>
      <c r="P980" s="198" t="s">
        <v>49</v>
      </c>
    </row>
    <row r="981" spans="1:16384" s="1" customFormat="1" ht="32.1" hidden="1">
      <c r="A981" s="342"/>
      <c r="B981" s="48" t="s">
        <v>2093</v>
      </c>
      <c r="C981" s="115"/>
      <c r="D981" s="116" t="s">
        <v>2094</v>
      </c>
      <c r="E981" s="117" t="s">
        <v>46</v>
      </c>
      <c r="F981" s="339"/>
      <c r="G981" s="340"/>
      <c r="H981" s="339"/>
      <c r="I981" s="340"/>
      <c r="J981" s="119">
        <v>45754</v>
      </c>
      <c r="K981" s="329">
        <v>3033009</v>
      </c>
      <c r="L981" s="339"/>
      <c r="M981" s="340"/>
      <c r="N981" s="182" t="s">
        <v>2058</v>
      </c>
      <c r="O981" s="163" t="s">
        <v>1992</v>
      </c>
      <c r="P981" s="164" t="s">
        <v>49</v>
      </c>
      <c r="Q981" s="340"/>
      <c r="R981" s="339"/>
      <c r="S981" s="342"/>
      <c r="T981" s="343"/>
      <c r="U981" s="342"/>
      <c r="V981" s="343"/>
      <c r="W981" s="342"/>
      <c r="X981" s="343"/>
      <c r="Y981" s="342"/>
      <c r="Z981" s="343"/>
      <c r="AA981" s="342"/>
      <c r="AB981" s="343"/>
      <c r="AC981" s="342"/>
      <c r="AD981" s="343"/>
      <c r="AE981" s="342"/>
      <c r="AF981" s="343"/>
      <c r="AG981" s="342"/>
      <c r="AH981" s="343"/>
      <c r="AI981" s="342"/>
      <c r="AJ981" s="343"/>
      <c r="AK981" s="342"/>
      <c r="AL981" s="343"/>
      <c r="AM981" s="342"/>
      <c r="AN981" s="343"/>
      <c r="AO981" s="342"/>
      <c r="AP981" s="343"/>
      <c r="AQ981" s="342"/>
      <c r="AR981" s="343"/>
      <c r="AS981" s="342"/>
      <c r="AT981" s="343"/>
      <c r="AU981" s="342"/>
      <c r="AV981" s="343"/>
      <c r="AW981" s="342"/>
      <c r="AX981" s="343"/>
      <c r="AY981" s="342"/>
      <c r="AZ981" s="343"/>
      <c r="BA981" s="342"/>
      <c r="BB981" s="343"/>
      <c r="BC981" s="342"/>
      <c r="BD981" s="343"/>
      <c r="BE981" s="342"/>
      <c r="BF981" s="343"/>
      <c r="BG981" s="342"/>
      <c r="BH981" s="343"/>
      <c r="BI981" s="342"/>
      <c r="BJ981" s="343"/>
      <c r="BK981" s="342"/>
      <c r="BL981" s="343"/>
      <c r="BM981" s="342"/>
      <c r="BN981" s="343"/>
      <c r="BO981" s="342"/>
      <c r="BP981" s="343"/>
      <c r="BQ981" s="342"/>
      <c r="BR981" s="343"/>
      <c r="BS981" s="342"/>
      <c r="BT981" s="343"/>
      <c r="BU981" s="342"/>
      <c r="BV981" s="343"/>
      <c r="BW981" s="342"/>
      <c r="BX981" s="343"/>
      <c r="BY981" s="342"/>
      <c r="BZ981" s="343"/>
      <c r="CA981" s="342"/>
      <c r="CB981" s="343"/>
      <c r="CC981" s="342"/>
      <c r="CD981" s="343"/>
      <c r="CE981" s="342"/>
      <c r="CF981" s="343"/>
      <c r="CG981" s="342"/>
      <c r="CH981" s="343"/>
      <c r="CI981" s="342"/>
      <c r="CJ981" s="343"/>
      <c r="CK981" s="342"/>
      <c r="CL981" s="343"/>
      <c r="CM981" s="342"/>
      <c r="CN981" s="343"/>
      <c r="CO981" s="342"/>
      <c r="CP981" s="343"/>
      <c r="CQ981" s="342"/>
      <c r="CR981" s="343"/>
      <c r="CS981" s="342"/>
      <c r="CT981" s="343"/>
      <c r="CU981" s="342"/>
      <c r="CV981" s="343"/>
      <c r="CW981" s="342"/>
      <c r="CX981" s="343"/>
      <c r="CY981" s="342"/>
      <c r="CZ981" s="343"/>
      <c r="DA981" s="342"/>
      <c r="DB981" s="343"/>
      <c r="DC981" s="342"/>
      <c r="DD981" s="343"/>
      <c r="DE981" s="342"/>
      <c r="DF981" s="343"/>
      <c r="DG981" s="342"/>
      <c r="DH981" s="343"/>
      <c r="DI981" s="342"/>
      <c r="DJ981" s="343"/>
      <c r="DK981" s="342"/>
      <c r="DL981" s="343"/>
      <c r="DM981" s="342"/>
      <c r="DN981" s="343"/>
      <c r="DO981" s="342"/>
      <c r="DP981" s="343"/>
      <c r="DQ981" s="342"/>
      <c r="DR981" s="343"/>
      <c r="DS981" s="342"/>
      <c r="DT981" s="343"/>
      <c r="DU981" s="342"/>
      <c r="DV981" s="343"/>
      <c r="DW981" s="342"/>
      <c r="DX981" s="343"/>
      <c r="DY981" s="342"/>
      <c r="DZ981" s="343"/>
      <c r="EA981" s="342"/>
      <c r="EB981" s="343"/>
      <c r="EC981" s="342"/>
      <c r="ED981" s="343"/>
      <c r="EE981" s="342"/>
      <c r="EF981" s="343"/>
      <c r="EG981" s="342"/>
      <c r="EH981" s="343"/>
      <c r="EI981" s="342"/>
      <c r="EJ981" s="343"/>
      <c r="EK981" s="342"/>
      <c r="EL981" s="343"/>
      <c r="EM981" s="342"/>
      <c r="EN981" s="343"/>
      <c r="EO981" s="342"/>
      <c r="EP981" s="343"/>
      <c r="EQ981" s="342"/>
      <c r="ER981" s="343"/>
      <c r="ES981" s="342"/>
      <c r="ET981" s="343"/>
      <c r="EU981" s="342"/>
      <c r="EV981" s="343"/>
      <c r="EW981" s="342"/>
      <c r="EX981" s="343"/>
      <c r="EY981" s="342"/>
      <c r="EZ981" s="343"/>
      <c r="FA981" s="342"/>
      <c r="FB981" s="343"/>
      <c r="FC981" s="342"/>
      <c r="FD981" s="343"/>
      <c r="FE981" s="342"/>
      <c r="FF981" s="343"/>
      <c r="FG981" s="342"/>
      <c r="FH981" s="343"/>
      <c r="FI981" s="342"/>
      <c r="FJ981" s="343"/>
      <c r="FK981" s="342"/>
      <c r="FL981" s="343"/>
      <c r="FM981" s="342"/>
      <c r="FN981" s="343"/>
      <c r="FO981" s="342"/>
      <c r="FP981" s="343"/>
      <c r="FQ981" s="342"/>
      <c r="FR981" s="343"/>
      <c r="FS981" s="342"/>
      <c r="FT981" s="343"/>
      <c r="FU981" s="342"/>
      <c r="FV981" s="343"/>
      <c r="FW981" s="342"/>
      <c r="FX981" s="343"/>
      <c r="FY981" s="342"/>
      <c r="FZ981" s="343"/>
      <c r="GA981" s="342"/>
      <c r="GB981" s="343"/>
      <c r="GC981" s="342"/>
      <c r="GD981" s="343"/>
      <c r="GE981" s="342"/>
      <c r="GF981" s="343"/>
      <c r="GG981" s="342"/>
      <c r="GH981" s="343"/>
      <c r="GI981" s="342"/>
      <c r="GJ981" s="343"/>
      <c r="GK981" s="342"/>
      <c r="GL981" s="343"/>
      <c r="GM981" s="342"/>
      <c r="GN981" s="343"/>
      <c r="GO981" s="342"/>
      <c r="GP981" s="343"/>
      <c r="GQ981" s="342"/>
      <c r="GR981" s="343"/>
      <c r="GS981" s="342"/>
      <c r="GT981" s="343"/>
      <c r="GU981" s="342"/>
      <c r="GV981" s="343"/>
      <c r="GW981" s="342"/>
      <c r="GX981" s="343"/>
      <c r="GY981" s="342"/>
      <c r="GZ981" s="343"/>
      <c r="HA981" s="342"/>
      <c r="HB981" s="343"/>
      <c r="HC981" s="342"/>
      <c r="HD981" s="343"/>
      <c r="HE981" s="342"/>
      <c r="HF981" s="343"/>
      <c r="HG981" s="342"/>
      <c r="HH981" s="343"/>
      <c r="HI981" s="342"/>
      <c r="HJ981" s="343"/>
      <c r="HK981" s="342"/>
      <c r="HL981" s="343"/>
      <c r="HM981" s="342"/>
      <c r="HN981" s="343"/>
      <c r="HO981" s="342"/>
      <c r="HP981" s="343"/>
      <c r="HQ981" s="342"/>
      <c r="HR981" s="343"/>
      <c r="HS981" s="342"/>
      <c r="HT981" s="343"/>
      <c r="HU981" s="342"/>
      <c r="HV981" s="343"/>
      <c r="HW981" s="342"/>
      <c r="HX981" s="343"/>
      <c r="HY981" s="342"/>
      <c r="HZ981" s="343"/>
      <c r="IA981" s="342"/>
      <c r="IB981" s="343"/>
      <c r="IC981" s="342"/>
      <c r="ID981" s="343"/>
      <c r="IE981" s="342"/>
      <c r="IF981" s="343"/>
      <c r="IG981" s="342"/>
      <c r="IH981" s="343"/>
      <c r="II981" s="342"/>
      <c r="IJ981" s="343"/>
      <c r="IK981" s="342"/>
      <c r="IL981" s="343"/>
      <c r="IM981" s="342"/>
      <c r="IN981" s="343"/>
      <c r="IO981" s="342"/>
      <c r="IP981" s="343"/>
      <c r="IQ981" s="342"/>
      <c r="IR981" s="343"/>
      <c r="IS981" s="342"/>
      <c r="IT981" s="343"/>
      <c r="IU981" s="342"/>
      <c r="IV981" s="343"/>
      <c r="IW981" s="342"/>
      <c r="IX981" s="343"/>
      <c r="IY981" s="342"/>
      <c r="IZ981" s="343"/>
      <c r="JA981" s="342"/>
      <c r="JB981" s="343"/>
      <c r="JC981" s="342"/>
      <c r="JD981" s="343"/>
      <c r="JE981" s="342"/>
      <c r="JF981" s="343"/>
      <c r="JG981" s="342"/>
      <c r="JH981" s="343"/>
      <c r="JI981" s="342"/>
      <c r="JJ981" s="343"/>
      <c r="JK981" s="342"/>
      <c r="JL981" s="343"/>
      <c r="JM981" s="342"/>
      <c r="JN981" s="343"/>
      <c r="JO981" s="342"/>
      <c r="JP981" s="343"/>
      <c r="JQ981" s="342"/>
      <c r="JR981" s="343"/>
      <c r="JS981" s="342"/>
      <c r="JT981" s="343"/>
      <c r="JU981" s="342"/>
      <c r="JV981" s="343"/>
      <c r="JW981" s="342"/>
      <c r="JX981" s="343"/>
      <c r="JY981" s="342"/>
      <c r="JZ981" s="343"/>
      <c r="KA981" s="342"/>
      <c r="KB981" s="343"/>
      <c r="KC981" s="342"/>
      <c r="KD981" s="343"/>
      <c r="KE981" s="342"/>
      <c r="KF981" s="343"/>
      <c r="KG981" s="342"/>
      <c r="KH981" s="343"/>
      <c r="KI981" s="342"/>
      <c r="KJ981" s="343"/>
      <c r="KK981" s="342"/>
      <c r="KL981" s="343"/>
      <c r="KM981" s="342"/>
      <c r="KN981" s="343"/>
      <c r="KO981" s="342"/>
      <c r="KP981" s="343"/>
      <c r="KQ981" s="342"/>
      <c r="KR981" s="343"/>
      <c r="KS981" s="342"/>
      <c r="KT981" s="343"/>
      <c r="KU981" s="342"/>
      <c r="KV981" s="343"/>
      <c r="KW981" s="342"/>
      <c r="KX981" s="343"/>
      <c r="KY981" s="342"/>
      <c r="KZ981" s="343"/>
      <c r="LA981" s="342"/>
      <c r="LB981" s="343"/>
      <c r="LC981" s="342"/>
      <c r="LD981" s="343"/>
      <c r="LE981" s="342"/>
      <c r="LF981" s="343"/>
      <c r="LG981" s="342"/>
      <c r="LH981" s="343"/>
      <c r="LI981" s="342"/>
      <c r="LJ981" s="343"/>
      <c r="LK981" s="342"/>
      <c r="LL981" s="343"/>
      <c r="LM981" s="342"/>
      <c r="LN981" s="343"/>
      <c r="LO981" s="342"/>
      <c r="LP981" s="343"/>
      <c r="LQ981" s="342"/>
      <c r="LR981" s="343"/>
      <c r="LS981" s="342"/>
      <c r="LT981" s="343"/>
      <c r="LU981" s="342"/>
      <c r="LV981" s="343"/>
      <c r="LW981" s="342"/>
      <c r="LX981" s="343"/>
      <c r="LY981" s="342"/>
      <c r="LZ981" s="343"/>
      <c r="MA981" s="342"/>
      <c r="MB981" s="343"/>
      <c r="MC981" s="342"/>
      <c r="MD981" s="343"/>
      <c r="ME981" s="342"/>
      <c r="MF981" s="343"/>
      <c r="MG981" s="342"/>
      <c r="MH981" s="343"/>
      <c r="MI981" s="342"/>
      <c r="MJ981" s="343"/>
      <c r="MK981" s="342"/>
      <c r="ML981" s="343"/>
      <c r="MM981" s="342"/>
      <c r="MN981" s="343"/>
      <c r="MO981" s="342"/>
      <c r="MP981" s="343"/>
      <c r="MQ981" s="342"/>
      <c r="MR981" s="343"/>
      <c r="MS981" s="342"/>
      <c r="MT981" s="343"/>
      <c r="MU981" s="342"/>
      <c r="MV981" s="343"/>
      <c r="MW981" s="342"/>
      <c r="MX981" s="343"/>
      <c r="MY981" s="342"/>
      <c r="MZ981" s="343"/>
      <c r="NA981" s="342"/>
      <c r="NB981" s="343"/>
      <c r="NC981" s="342"/>
      <c r="ND981" s="343"/>
      <c r="NE981" s="342"/>
      <c r="NF981" s="343"/>
      <c r="NG981" s="342"/>
      <c r="NH981" s="343"/>
      <c r="NI981" s="342"/>
      <c r="NJ981" s="343"/>
      <c r="NK981" s="342"/>
      <c r="NL981" s="343"/>
      <c r="NM981" s="342"/>
      <c r="NN981" s="343"/>
      <c r="NO981" s="342"/>
      <c r="NP981" s="343"/>
      <c r="NQ981" s="342"/>
      <c r="NR981" s="343"/>
      <c r="NS981" s="342"/>
      <c r="NT981" s="343"/>
      <c r="NU981" s="342"/>
      <c r="NV981" s="343"/>
      <c r="NW981" s="342"/>
      <c r="NX981" s="343"/>
      <c r="NY981" s="342"/>
      <c r="NZ981" s="343"/>
      <c r="OA981" s="342"/>
      <c r="OB981" s="343"/>
      <c r="OC981" s="342"/>
      <c r="OD981" s="343"/>
      <c r="OE981" s="342"/>
      <c r="OF981" s="343"/>
      <c r="OG981" s="342"/>
      <c r="OH981" s="343"/>
      <c r="OI981" s="342"/>
      <c r="OJ981" s="343"/>
      <c r="OK981" s="342"/>
      <c r="OL981" s="343"/>
      <c r="OM981" s="342"/>
      <c r="ON981" s="343"/>
      <c r="OO981" s="342"/>
      <c r="OP981" s="343"/>
      <c r="OQ981" s="342"/>
      <c r="OR981" s="343"/>
      <c r="OS981" s="342"/>
      <c r="OT981" s="343"/>
      <c r="OU981" s="342"/>
      <c r="OV981" s="343"/>
      <c r="OW981" s="342"/>
      <c r="OX981" s="343"/>
      <c r="OY981" s="342"/>
      <c r="OZ981" s="343"/>
      <c r="PA981" s="342"/>
      <c r="PB981" s="343"/>
      <c r="PC981" s="342"/>
      <c r="PD981" s="343"/>
      <c r="PE981" s="342"/>
      <c r="PF981" s="343"/>
      <c r="PG981" s="342"/>
      <c r="PH981" s="343"/>
      <c r="PI981" s="342"/>
      <c r="PJ981" s="343"/>
      <c r="PK981" s="342"/>
      <c r="PL981" s="343"/>
      <c r="PM981" s="342"/>
      <c r="PN981" s="343"/>
      <c r="PO981" s="342"/>
      <c r="PP981" s="343"/>
      <c r="PQ981" s="342"/>
      <c r="PR981" s="343"/>
      <c r="PS981" s="342"/>
      <c r="PT981" s="343"/>
      <c r="PU981" s="342"/>
      <c r="PV981" s="343"/>
      <c r="PW981" s="342"/>
      <c r="PX981" s="343"/>
      <c r="PY981" s="342"/>
      <c r="PZ981" s="343"/>
      <c r="QA981" s="342"/>
      <c r="QB981" s="343"/>
      <c r="QC981" s="342"/>
      <c r="QD981" s="343"/>
      <c r="QE981" s="342"/>
      <c r="QF981" s="343"/>
      <c r="QG981" s="342"/>
      <c r="QH981" s="343"/>
      <c r="QI981" s="342"/>
      <c r="QJ981" s="343"/>
      <c r="QK981" s="342"/>
      <c r="QL981" s="343"/>
      <c r="QM981" s="342"/>
      <c r="QN981" s="343"/>
      <c r="QO981" s="342"/>
      <c r="QP981" s="343"/>
      <c r="QQ981" s="342"/>
      <c r="QR981" s="343"/>
      <c r="QS981" s="342"/>
      <c r="QT981" s="343"/>
      <c r="QU981" s="342"/>
      <c r="QV981" s="343"/>
      <c r="QW981" s="342"/>
      <c r="QX981" s="343"/>
      <c r="QY981" s="342"/>
      <c r="QZ981" s="343"/>
      <c r="RA981" s="342"/>
      <c r="RB981" s="343"/>
      <c r="RC981" s="342"/>
      <c r="RD981" s="343"/>
      <c r="RE981" s="342"/>
      <c r="RF981" s="343"/>
      <c r="RG981" s="342"/>
      <c r="RH981" s="343"/>
      <c r="RI981" s="342"/>
      <c r="RJ981" s="343"/>
      <c r="RK981" s="342"/>
      <c r="RL981" s="343"/>
      <c r="RM981" s="342"/>
      <c r="RN981" s="343"/>
      <c r="RO981" s="342"/>
      <c r="RP981" s="343"/>
      <c r="RQ981" s="342"/>
      <c r="RR981" s="343"/>
      <c r="RS981" s="342"/>
      <c r="RT981" s="343"/>
      <c r="RU981" s="342"/>
      <c r="RV981" s="343"/>
      <c r="RW981" s="342"/>
      <c r="RX981" s="343"/>
      <c r="RY981" s="342"/>
      <c r="RZ981" s="343"/>
      <c r="SA981" s="342"/>
      <c r="SB981" s="343"/>
      <c r="SC981" s="342"/>
      <c r="SD981" s="343"/>
      <c r="SE981" s="342"/>
      <c r="SF981" s="343"/>
      <c r="SG981" s="342"/>
      <c r="SH981" s="343"/>
      <c r="SI981" s="342"/>
      <c r="SJ981" s="343"/>
      <c r="SK981" s="342"/>
      <c r="SL981" s="343"/>
      <c r="SM981" s="342"/>
      <c r="SN981" s="343"/>
      <c r="SO981" s="342"/>
      <c r="SP981" s="343"/>
      <c r="SQ981" s="342"/>
      <c r="SR981" s="343"/>
      <c r="SS981" s="342"/>
      <c r="ST981" s="343"/>
      <c r="SU981" s="342"/>
      <c r="SV981" s="343"/>
      <c r="SW981" s="342"/>
      <c r="SX981" s="343"/>
      <c r="SY981" s="342"/>
      <c r="SZ981" s="343"/>
      <c r="TA981" s="342"/>
      <c r="TB981" s="343"/>
      <c r="TC981" s="342"/>
      <c r="TD981" s="343"/>
      <c r="TE981" s="342"/>
      <c r="TF981" s="343"/>
      <c r="TG981" s="342"/>
      <c r="TH981" s="343"/>
      <c r="TI981" s="342"/>
      <c r="TJ981" s="343"/>
      <c r="TK981" s="342"/>
      <c r="TL981" s="343"/>
      <c r="TM981" s="342"/>
      <c r="TN981" s="343"/>
      <c r="TO981" s="342"/>
      <c r="TP981" s="343"/>
      <c r="TQ981" s="342"/>
      <c r="TR981" s="343"/>
      <c r="TS981" s="342"/>
      <c r="TT981" s="343"/>
      <c r="TU981" s="342"/>
      <c r="TV981" s="343"/>
      <c r="TW981" s="342"/>
      <c r="TX981" s="343"/>
      <c r="TY981" s="342"/>
      <c r="TZ981" s="343"/>
      <c r="UA981" s="342"/>
      <c r="UB981" s="343"/>
      <c r="UC981" s="342"/>
      <c r="UD981" s="343"/>
      <c r="UE981" s="342"/>
      <c r="UF981" s="343"/>
      <c r="UG981" s="342"/>
      <c r="UH981" s="343"/>
      <c r="UI981" s="342"/>
      <c r="UJ981" s="343"/>
      <c r="UK981" s="342"/>
      <c r="UL981" s="343"/>
      <c r="UM981" s="342"/>
      <c r="UN981" s="343"/>
      <c r="UO981" s="342"/>
      <c r="UP981" s="343"/>
      <c r="UQ981" s="342"/>
      <c r="UR981" s="343"/>
      <c r="US981" s="342"/>
      <c r="UT981" s="343"/>
      <c r="UU981" s="342"/>
      <c r="UV981" s="343"/>
      <c r="UW981" s="342"/>
      <c r="UX981" s="343"/>
      <c r="UY981" s="342"/>
      <c r="UZ981" s="343"/>
      <c r="VA981" s="342"/>
      <c r="VB981" s="343"/>
      <c r="VC981" s="342"/>
      <c r="VD981" s="343"/>
      <c r="VE981" s="342"/>
      <c r="VF981" s="343"/>
      <c r="VG981" s="342"/>
      <c r="VH981" s="343"/>
      <c r="VI981" s="342"/>
      <c r="VJ981" s="343"/>
      <c r="VK981" s="342"/>
      <c r="VL981" s="343"/>
      <c r="VM981" s="342"/>
      <c r="VN981" s="343"/>
      <c r="VO981" s="342"/>
      <c r="VP981" s="343"/>
      <c r="VQ981" s="342"/>
      <c r="VR981" s="343"/>
      <c r="VS981" s="342"/>
      <c r="VT981" s="343"/>
      <c r="VU981" s="342"/>
      <c r="VV981" s="343"/>
      <c r="VW981" s="342"/>
      <c r="VX981" s="343"/>
      <c r="VY981" s="342"/>
      <c r="VZ981" s="343"/>
      <c r="WA981" s="342"/>
      <c r="WB981" s="343"/>
      <c r="WC981" s="342"/>
      <c r="WD981" s="343"/>
      <c r="WE981" s="342"/>
      <c r="WF981" s="343"/>
      <c r="WG981" s="342"/>
      <c r="WH981" s="343"/>
      <c r="WI981" s="342"/>
      <c r="WJ981" s="343"/>
      <c r="WK981" s="342"/>
      <c r="WL981" s="343"/>
      <c r="WM981" s="342"/>
      <c r="WN981" s="343"/>
      <c r="WO981" s="342"/>
      <c r="WP981" s="343"/>
      <c r="WQ981" s="342"/>
      <c r="WR981" s="343"/>
      <c r="WS981" s="342"/>
      <c r="WT981" s="343"/>
      <c r="WU981" s="342"/>
      <c r="WV981" s="343"/>
      <c r="WW981" s="342"/>
      <c r="WX981" s="343"/>
      <c r="WY981" s="342"/>
      <c r="WZ981" s="343"/>
      <c r="XA981" s="342"/>
      <c r="XB981" s="343"/>
      <c r="XC981" s="342"/>
      <c r="XD981" s="343"/>
      <c r="XE981" s="342"/>
      <c r="XF981" s="343"/>
      <c r="XG981" s="342"/>
      <c r="XH981" s="343"/>
      <c r="XI981" s="342"/>
      <c r="XJ981" s="343"/>
      <c r="XK981" s="342"/>
      <c r="XL981" s="343"/>
      <c r="XM981" s="342"/>
      <c r="XN981" s="343"/>
      <c r="XO981" s="342"/>
      <c r="XP981" s="343"/>
      <c r="XQ981" s="342"/>
      <c r="XR981" s="343"/>
      <c r="XS981" s="342"/>
      <c r="XT981" s="343"/>
      <c r="XU981" s="342"/>
      <c r="XV981" s="343"/>
      <c r="XW981" s="342"/>
      <c r="XX981" s="343"/>
      <c r="XY981" s="342"/>
      <c r="XZ981" s="343"/>
      <c r="YA981" s="342"/>
      <c r="YB981" s="343"/>
      <c r="YC981" s="342"/>
      <c r="YD981" s="343"/>
      <c r="YE981" s="342"/>
      <c r="YF981" s="343"/>
      <c r="YG981" s="342"/>
      <c r="YH981" s="343"/>
      <c r="YI981" s="342"/>
      <c r="YJ981" s="343"/>
      <c r="YK981" s="342"/>
      <c r="YL981" s="343"/>
      <c r="YM981" s="342"/>
      <c r="YN981" s="343"/>
      <c r="YO981" s="342"/>
      <c r="YP981" s="343"/>
      <c r="YQ981" s="342"/>
      <c r="YR981" s="343"/>
      <c r="YS981" s="342"/>
      <c r="YT981" s="343"/>
      <c r="YU981" s="342"/>
      <c r="YV981" s="343"/>
      <c r="YW981" s="342"/>
      <c r="YX981" s="343"/>
      <c r="YY981" s="342"/>
      <c r="YZ981" s="343"/>
      <c r="ZA981" s="342"/>
      <c r="ZB981" s="343"/>
      <c r="ZC981" s="342"/>
      <c r="ZD981" s="343"/>
      <c r="ZE981" s="342"/>
      <c r="ZF981" s="343"/>
      <c r="ZG981" s="342"/>
      <c r="ZH981" s="343"/>
      <c r="ZI981" s="342"/>
      <c r="ZJ981" s="343"/>
      <c r="ZK981" s="342"/>
      <c r="ZL981" s="343"/>
      <c r="ZM981" s="342"/>
      <c r="ZN981" s="343"/>
      <c r="ZO981" s="342"/>
      <c r="ZP981" s="343"/>
      <c r="ZQ981" s="342"/>
      <c r="ZR981" s="343"/>
      <c r="ZS981" s="342"/>
      <c r="ZT981" s="343"/>
      <c r="ZU981" s="342"/>
      <c r="ZV981" s="343"/>
      <c r="ZW981" s="342"/>
      <c r="ZX981" s="343"/>
      <c r="ZY981" s="342"/>
      <c r="ZZ981" s="343"/>
      <c r="AAA981" s="342"/>
      <c r="AAB981" s="343"/>
      <c r="AAC981" s="342"/>
      <c r="AAD981" s="343"/>
      <c r="AAE981" s="342"/>
      <c r="AAF981" s="343"/>
      <c r="AAG981" s="342"/>
      <c r="AAH981" s="343"/>
      <c r="AAI981" s="342"/>
      <c r="AAJ981" s="343"/>
      <c r="AAK981" s="342"/>
      <c r="AAL981" s="343"/>
      <c r="AAM981" s="342"/>
      <c r="AAN981" s="343"/>
      <c r="AAO981" s="342"/>
      <c r="AAP981" s="343"/>
      <c r="AAQ981" s="342"/>
      <c r="AAR981" s="343"/>
      <c r="AAS981" s="342"/>
      <c r="AAT981" s="343"/>
      <c r="AAU981" s="342"/>
      <c r="AAV981" s="343"/>
      <c r="AAW981" s="342"/>
      <c r="AAX981" s="343"/>
      <c r="AAY981" s="342"/>
      <c r="AAZ981" s="343"/>
      <c r="ABA981" s="342"/>
      <c r="ABB981" s="343"/>
      <c r="ABC981" s="342"/>
      <c r="ABD981" s="343"/>
      <c r="ABE981" s="342"/>
      <c r="ABF981" s="343"/>
      <c r="ABG981" s="342"/>
      <c r="ABH981" s="343"/>
      <c r="ABI981" s="342"/>
      <c r="ABJ981" s="343"/>
      <c r="ABK981" s="342"/>
      <c r="ABL981" s="343"/>
      <c r="ABM981" s="342"/>
      <c r="ABN981" s="343"/>
      <c r="ABO981" s="342"/>
      <c r="ABP981" s="343"/>
      <c r="ABQ981" s="342"/>
      <c r="ABR981" s="343"/>
      <c r="ABS981" s="342"/>
      <c r="ABT981" s="343"/>
      <c r="ABU981" s="342"/>
      <c r="ABV981" s="343"/>
      <c r="ABW981" s="342"/>
      <c r="ABX981" s="343"/>
      <c r="ABY981" s="342"/>
      <c r="ABZ981" s="343"/>
      <c r="ACA981" s="342"/>
      <c r="ACB981" s="343"/>
      <c r="ACC981" s="342"/>
      <c r="ACD981" s="343"/>
      <c r="ACE981" s="342"/>
      <c r="ACF981" s="343"/>
      <c r="ACG981" s="342"/>
      <c r="ACH981" s="343"/>
      <c r="ACI981" s="342"/>
      <c r="ACJ981" s="343"/>
      <c r="ACK981" s="342"/>
      <c r="ACL981" s="343"/>
      <c r="ACM981" s="342"/>
      <c r="ACN981" s="343"/>
      <c r="ACO981" s="342"/>
      <c r="ACP981" s="343"/>
      <c r="ACQ981" s="342"/>
      <c r="ACR981" s="343"/>
      <c r="ACS981" s="342"/>
      <c r="ACT981" s="343"/>
      <c r="ACU981" s="342"/>
      <c r="ACV981" s="343"/>
      <c r="ACW981" s="342"/>
      <c r="ACX981" s="343"/>
      <c r="ACY981" s="342"/>
      <c r="ACZ981" s="343"/>
      <c r="ADA981" s="342"/>
      <c r="ADB981" s="343"/>
      <c r="ADC981" s="342"/>
      <c r="ADD981" s="343"/>
      <c r="ADE981" s="342"/>
      <c r="ADF981" s="343"/>
      <c r="ADG981" s="342"/>
      <c r="ADH981" s="343"/>
      <c r="ADI981" s="342"/>
      <c r="ADJ981" s="343"/>
      <c r="ADK981" s="342"/>
      <c r="ADL981" s="343"/>
      <c r="ADM981" s="342"/>
      <c r="ADN981" s="343"/>
      <c r="ADO981" s="342"/>
      <c r="ADP981" s="343"/>
      <c r="ADQ981" s="342"/>
      <c r="ADR981" s="343"/>
      <c r="ADS981" s="342"/>
      <c r="ADT981" s="343"/>
      <c r="ADU981" s="342"/>
      <c r="ADV981" s="343"/>
      <c r="ADW981" s="342"/>
      <c r="ADX981" s="343"/>
      <c r="ADY981" s="342"/>
      <c r="ADZ981" s="343"/>
      <c r="AEA981" s="342"/>
      <c r="AEB981" s="343"/>
      <c r="AEC981" s="342"/>
      <c r="AED981" s="343"/>
      <c r="AEE981" s="342"/>
      <c r="AEF981" s="343"/>
      <c r="AEG981" s="342"/>
      <c r="AEH981" s="343"/>
      <c r="AEI981" s="342"/>
      <c r="AEJ981" s="343"/>
      <c r="AEK981" s="342"/>
      <c r="AEL981" s="343"/>
      <c r="AEM981" s="342"/>
      <c r="AEN981" s="343"/>
      <c r="AEO981" s="342"/>
      <c r="AEP981" s="343"/>
      <c r="AEQ981" s="342"/>
      <c r="AER981" s="343"/>
      <c r="AES981" s="342"/>
      <c r="AET981" s="343"/>
      <c r="AEU981" s="342"/>
      <c r="AEV981" s="343"/>
      <c r="AEW981" s="342"/>
      <c r="AEX981" s="343"/>
      <c r="AEY981" s="342"/>
      <c r="AEZ981" s="343"/>
      <c r="AFA981" s="342"/>
      <c r="AFB981" s="343"/>
      <c r="AFC981" s="342"/>
      <c r="AFD981" s="343"/>
      <c r="AFE981" s="342"/>
      <c r="AFF981" s="343"/>
      <c r="AFG981" s="342"/>
      <c r="AFH981" s="343"/>
      <c r="AFI981" s="342"/>
      <c r="AFJ981" s="343"/>
      <c r="AFK981" s="342"/>
      <c r="AFL981" s="343"/>
      <c r="AFM981" s="342"/>
      <c r="AFN981" s="343"/>
      <c r="AFO981" s="342"/>
      <c r="AFP981" s="343"/>
      <c r="AFQ981" s="342"/>
      <c r="AFR981" s="343"/>
      <c r="AFS981" s="342"/>
      <c r="AFT981" s="343"/>
      <c r="AFU981" s="342"/>
      <c r="AFV981" s="343"/>
      <c r="AFW981" s="342"/>
      <c r="AFX981" s="343"/>
      <c r="AFY981" s="342"/>
      <c r="AFZ981" s="343"/>
      <c r="AGA981" s="342"/>
      <c r="AGB981" s="343"/>
      <c r="AGC981" s="342"/>
      <c r="AGD981" s="343"/>
      <c r="AGE981" s="342"/>
      <c r="AGF981" s="343"/>
      <c r="AGG981" s="342"/>
      <c r="AGH981" s="343"/>
      <c r="AGI981" s="342"/>
      <c r="AGJ981" s="343"/>
      <c r="AGK981" s="342"/>
      <c r="AGL981" s="343"/>
      <c r="AGM981" s="342"/>
      <c r="AGN981" s="343"/>
      <c r="AGO981" s="342"/>
      <c r="AGP981" s="343"/>
      <c r="AGQ981" s="342"/>
      <c r="AGR981" s="343"/>
      <c r="AGS981" s="342"/>
      <c r="AGT981" s="343"/>
      <c r="AGU981" s="342"/>
      <c r="AGV981" s="343"/>
      <c r="AGW981" s="342"/>
      <c r="AGX981" s="343"/>
      <c r="AGY981" s="342"/>
      <c r="AGZ981" s="343"/>
      <c r="AHA981" s="342"/>
      <c r="AHB981" s="343"/>
      <c r="AHC981" s="342"/>
      <c r="AHD981" s="343"/>
      <c r="AHE981" s="342"/>
      <c r="AHF981" s="343"/>
      <c r="AHG981" s="342"/>
      <c r="AHH981" s="343"/>
      <c r="AHI981" s="342"/>
      <c r="AHJ981" s="343"/>
      <c r="AHK981" s="342"/>
      <c r="AHL981" s="343"/>
      <c r="AHM981" s="342"/>
      <c r="AHN981" s="343"/>
      <c r="AHO981" s="342"/>
      <c r="AHP981" s="343"/>
      <c r="AHQ981" s="342"/>
      <c r="AHR981" s="343"/>
      <c r="AHS981" s="342"/>
      <c r="AHT981" s="343"/>
      <c r="AHU981" s="342"/>
      <c r="AHV981" s="343"/>
      <c r="AHW981" s="342"/>
      <c r="AHX981" s="343"/>
      <c r="AHY981" s="342"/>
      <c r="AHZ981" s="343"/>
      <c r="AIA981" s="342"/>
      <c r="AIB981" s="343"/>
      <c r="AIC981" s="342"/>
      <c r="AID981" s="343"/>
      <c r="AIE981" s="342"/>
      <c r="AIF981" s="343"/>
      <c r="AIG981" s="342"/>
      <c r="AIH981" s="343"/>
      <c r="AII981" s="342"/>
      <c r="AIJ981" s="343"/>
      <c r="AIK981" s="342"/>
      <c r="AIL981" s="343"/>
      <c r="AIM981" s="342"/>
      <c r="AIN981" s="343"/>
      <c r="AIO981" s="342"/>
      <c r="AIP981" s="343"/>
      <c r="AIQ981" s="342"/>
      <c r="AIR981" s="343"/>
      <c r="AIS981" s="342"/>
      <c r="AIT981" s="343"/>
      <c r="AIU981" s="342"/>
      <c r="AIV981" s="343"/>
      <c r="AIW981" s="342"/>
      <c r="AIX981" s="343"/>
      <c r="AIY981" s="342"/>
      <c r="AIZ981" s="343"/>
      <c r="AJA981" s="342"/>
      <c r="AJB981" s="343"/>
      <c r="AJC981" s="342"/>
      <c r="AJD981" s="343"/>
      <c r="AJE981" s="342"/>
      <c r="AJF981" s="343"/>
      <c r="AJG981" s="342"/>
      <c r="AJH981" s="343"/>
      <c r="AJI981" s="342"/>
      <c r="AJJ981" s="343"/>
      <c r="AJK981" s="342"/>
      <c r="AJL981" s="343"/>
      <c r="AJM981" s="342"/>
      <c r="AJN981" s="343"/>
      <c r="AJO981" s="342"/>
      <c r="AJP981" s="343"/>
      <c r="AJQ981" s="342"/>
      <c r="AJR981" s="343"/>
      <c r="AJS981" s="342"/>
      <c r="AJT981" s="343"/>
      <c r="AJU981" s="342"/>
      <c r="AJV981" s="343"/>
      <c r="AJW981" s="342"/>
      <c r="AJX981" s="343"/>
      <c r="AJY981" s="342"/>
      <c r="AJZ981" s="343"/>
      <c r="AKA981" s="342"/>
      <c r="AKB981" s="343"/>
      <c r="AKC981" s="342"/>
      <c r="AKD981" s="343"/>
      <c r="AKE981" s="342"/>
      <c r="AKF981" s="343"/>
      <c r="AKG981" s="342"/>
      <c r="AKH981" s="343"/>
      <c r="AKI981" s="342"/>
      <c r="AKJ981" s="343"/>
      <c r="AKK981" s="342"/>
      <c r="AKL981" s="343"/>
      <c r="AKM981" s="342"/>
      <c r="AKN981" s="343"/>
      <c r="AKO981" s="342"/>
      <c r="AKP981" s="343"/>
      <c r="AKQ981" s="342"/>
      <c r="AKR981" s="343"/>
      <c r="AKS981" s="342"/>
      <c r="AKT981" s="343"/>
      <c r="AKU981" s="342"/>
      <c r="AKV981" s="343"/>
      <c r="AKW981" s="342"/>
      <c r="AKX981" s="343"/>
      <c r="AKY981" s="342"/>
      <c r="AKZ981" s="343"/>
      <c r="ALA981" s="342"/>
      <c r="ALB981" s="343"/>
      <c r="ALC981" s="342"/>
      <c r="ALD981" s="343"/>
      <c r="ALE981" s="342"/>
      <c r="ALF981" s="343"/>
      <c r="ALG981" s="342"/>
      <c r="ALH981" s="343"/>
      <c r="ALI981" s="342"/>
      <c r="ALJ981" s="343"/>
      <c r="ALK981" s="342"/>
      <c r="ALL981" s="343"/>
      <c r="ALM981" s="342"/>
      <c r="ALN981" s="343"/>
      <c r="ALO981" s="342"/>
      <c r="ALP981" s="343"/>
      <c r="ALQ981" s="342"/>
      <c r="ALR981" s="343"/>
      <c r="ALS981" s="342"/>
      <c r="ALT981" s="343"/>
      <c r="ALU981" s="342"/>
      <c r="ALV981" s="343"/>
      <c r="ALW981" s="342"/>
      <c r="ALX981" s="343"/>
      <c r="ALY981" s="342"/>
      <c r="ALZ981" s="343"/>
      <c r="AMA981" s="342"/>
      <c r="AMB981" s="343"/>
      <c r="AMC981" s="342"/>
      <c r="AMD981" s="343"/>
      <c r="AME981" s="342"/>
      <c r="AMF981" s="343"/>
      <c r="AMG981" s="342"/>
      <c r="AMH981" s="343"/>
      <c r="AMI981" s="342"/>
      <c r="AMJ981" s="343"/>
      <c r="AMK981" s="342"/>
      <c r="AML981" s="343"/>
      <c r="AMM981" s="342"/>
      <c r="AMN981" s="343"/>
      <c r="AMO981" s="342"/>
      <c r="AMP981" s="343"/>
      <c r="AMQ981" s="342"/>
      <c r="AMR981" s="343"/>
      <c r="AMS981" s="342"/>
      <c r="AMT981" s="343"/>
      <c r="AMU981" s="342"/>
      <c r="AMV981" s="343"/>
      <c r="AMW981" s="342"/>
      <c r="AMX981" s="343"/>
      <c r="AMY981" s="342"/>
      <c r="AMZ981" s="343"/>
      <c r="ANA981" s="342"/>
      <c r="ANB981" s="343"/>
      <c r="ANC981" s="342"/>
      <c r="AND981" s="343"/>
      <c r="ANE981" s="342"/>
      <c r="ANF981" s="343"/>
      <c r="ANG981" s="342"/>
      <c r="ANH981" s="343"/>
      <c r="ANI981" s="342"/>
      <c r="ANJ981" s="343"/>
      <c r="ANK981" s="342"/>
      <c r="ANL981" s="343"/>
      <c r="ANM981" s="342"/>
      <c r="ANN981" s="343"/>
      <c r="ANO981" s="342"/>
      <c r="ANP981" s="343"/>
      <c r="ANQ981" s="342"/>
      <c r="ANR981" s="343"/>
      <c r="ANS981" s="342"/>
      <c r="ANT981" s="343"/>
      <c r="ANU981" s="342"/>
      <c r="ANV981" s="343"/>
      <c r="ANW981" s="342"/>
      <c r="ANX981" s="343"/>
      <c r="ANY981" s="342"/>
      <c r="ANZ981" s="343"/>
      <c r="AOA981" s="342"/>
      <c r="AOB981" s="343"/>
      <c r="AOC981" s="342"/>
      <c r="AOD981" s="343"/>
      <c r="AOE981" s="342"/>
      <c r="AOF981" s="343"/>
      <c r="AOG981" s="342"/>
      <c r="AOH981" s="343"/>
      <c r="AOI981" s="342"/>
      <c r="AOJ981" s="343"/>
      <c r="AOK981" s="342"/>
      <c r="AOL981" s="343"/>
      <c r="AOM981" s="342"/>
      <c r="AON981" s="343"/>
      <c r="AOO981" s="342"/>
      <c r="AOP981" s="343"/>
      <c r="AOQ981" s="342"/>
      <c r="AOR981" s="343"/>
      <c r="AOS981" s="342"/>
      <c r="AOT981" s="343"/>
      <c r="AOU981" s="342"/>
      <c r="AOV981" s="343"/>
      <c r="AOW981" s="342"/>
      <c r="AOX981" s="343"/>
      <c r="AOY981" s="342"/>
      <c r="AOZ981" s="343"/>
      <c r="APA981" s="342"/>
      <c r="APB981" s="343"/>
      <c r="APC981" s="342"/>
      <c r="APD981" s="343"/>
      <c r="APE981" s="342"/>
      <c r="APF981" s="343"/>
      <c r="APG981" s="342"/>
      <c r="APH981" s="343"/>
      <c r="API981" s="342"/>
      <c r="APJ981" s="343"/>
      <c r="APK981" s="342"/>
      <c r="APL981" s="343"/>
      <c r="APM981" s="342"/>
      <c r="APN981" s="343"/>
      <c r="APO981" s="342"/>
      <c r="APP981" s="343"/>
      <c r="APQ981" s="342"/>
      <c r="APR981" s="343"/>
      <c r="APS981" s="342"/>
      <c r="APT981" s="343"/>
      <c r="APU981" s="342"/>
      <c r="APV981" s="343"/>
      <c r="APW981" s="342"/>
      <c r="APX981" s="343"/>
      <c r="APY981" s="342"/>
      <c r="APZ981" s="343"/>
      <c r="AQA981" s="342"/>
      <c r="AQB981" s="343"/>
      <c r="AQC981" s="342"/>
      <c r="AQD981" s="343"/>
      <c r="AQE981" s="342"/>
      <c r="AQF981" s="343"/>
      <c r="AQG981" s="342"/>
      <c r="AQH981" s="343"/>
      <c r="AQI981" s="342"/>
      <c r="AQJ981" s="343"/>
      <c r="AQK981" s="342"/>
      <c r="AQL981" s="343"/>
      <c r="AQM981" s="342"/>
      <c r="AQN981" s="343"/>
      <c r="AQO981" s="342"/>
      <c r="AQP981" s="343"/>
      <c r="AQQ981" s="342"/>
      <c r="AQR981" s="343"/>
      <c r="AQS981" s="342"/>
      <c r="AQT981" s="343"/>
      <c r="AQU981" s="342"/>
      <c r="AQV981" s="343"/>
      <c r="AQW981" s="342"/>
      <c r="AQX981" s="343"/>
      <c r="AQY981" s="342"/>
      <c r="AQZ981" s="343"/>
      <c r="ARA981" s="342"/>
      <c r="ARB981" s="343"/>
      <c r="ARC981" s="342"/>
      <c r="ARD981" s="343"/>
      <c r="ARE981" s="342"/>
      <c r="ARF981" s="343"/>
      <c r="ARG981" s="342"/>
      <c r="ARH981" s="343"/>
      <c r="ARI981" s="342"/>
      <c r="ARJ981" s="343"/>
      <c r="ARK981" s="342"/>
      <c r="ARL981" s="343"/>
      <c r="ARM981" s="342"/>
      <c r="ARN981" s="343"/>
      <c r="ARO981" s="342"/>
      <c r="ARP981" s="343"/>
      <c r="ARQ981" s="342"/>
      <c r="ARR981" s="343"/>
      <c r="ARS981" s="342"/>
      <c r="ART981" s="343"/>
      <c r="ARU981" s="342"/>
      <c r="ARV981" s="343"/>
      <c r="ARW981" s="342"/>
      <c r="ARX981" s="343"/>
      <c r="ARY981" s="342"/>
      <c r="ARZ981" s="343"/>
      <c r="ASA981" s="342"/>
      <c r="ASB981" s="343"/>
      <c r="ASC981" s="342"/>
      <c r="ASD981" s="343"/>
      <c r="ASE981" s="342"/>
      <c r="ASF981" s="343"/>
      <c r="ASG981" s="342"/>
      <c r="ASH981" s="343"/>
      <c r="ASI981" s="342"/>
      <c r="ASJ981" s="343"/>
      <c r="ASK981" s="342"/>
      <c r="ASL981" s="343"/>
      <c r="ASM981" s="342"/>
      <c r="ASN981" s="343"/>
      <c r="ASO981" s="342"/>
      <c r="ASP981" s="343"/>
      <c r="ASQ981" s="342"/>
      <c r="ASR981" s="343"/>
      <c r="ASS981" s="342"/>
      <c r="AST981" s="343"/>
      <c r="ASU981" s="342"/>
      <c r="ASV981" s="343"/>
      <c r="ASW981" s="342"/>
      <c r="ASX981" s="343"/>
      <c r="ASY981" s="342"/>
      <c r="ASZ981" s="343"/>
      <c r="ATA981" s="342"/>
      <c r="ATB981" s="343"/>
      <c r="ATC981" s="342"/>
      <c r="ATD981" s="343"/>
      <c r="ATE981" s="342"/>
      <c r="ATF981" s="343"/>
      <c r="ATG981" s="342"/>
      <c r="ATH981" s="343"/>
      <c r="ATI981" s="342"/>
      <c r="ATJ981" s="343"/>
      <c r="ATK981" s="342"/>
      <c r="ATL981" s="343"/>
      <c r="ATM981" s="342"/>
      <c r="ATN981" s="343"/>
      <c r="ATO981" s="342"/>
      <c r="ATP981" s="343"/>
      <c r="ATQ981" s="342"/>
      <c r="ATR981" s="343"/>
      <c r="ATS981" s="342"/>
      <c r="ATT981" s="343"/>
      <c r="ATU981" s="342"/>
      <c r="ATV981" s="343"/>
      <c r="ATW981" s="342"/>
      <c r="ATX981" s="343"/>
      <c r="ATY981" s="342"/>
      <c r="ATZ981" s="343"/>
      <c r="AUA981" s="342"/>
      <c r="AUB981" s="343"/>
      <c r="AUC981" s="342"/>
      <c r="AUD981" s="343"/>
      <c r="AUE981" s="342"/>
      <c r="AUF981" s="343"/>
      <c r="AUG981" s="342"/>
      <c r="AUH981" s="343"/>
      <c r="AUI981" s="342"/>
      <c r="AUJ981" s="343"/>
      <c r="AUK981" s="342"/>
      <c r="AUL981" s="343"/>
      <c r="AUM981" s="342"/>
      <c r="AUN981" s="343"/>
      <c r="AUO981" s="342"/>
      <c r="AUP981" s="343"/>
      <c r="AUQ981" s="342"/>
      <c r="AUR981" s="343"/>
      <c r="AUS981" s="342"/>
      <c r="AUT981" s="343"/>
      <c r="AUU981" s="342"/>
      <c r="AUV981" s="343"/>
      <c r="AUW981" s="342"/>
      <c r="AUX981" s="343"/>
      <c r="AUY981" s="342"/>
      <c r="AUZ981" s="343"/>
      <c r="AVA981" s="342"/>
      <c r="AVB981" s="343"/>
      <c r="AVC981" s="342"/>
      <c r="AVD981" s="343"/>
      <c r="AVE981" s="342"/>
      <c r="AVF981" s="343"/>
      <c r="AVG981" s="342"/>
      <c r="AVH981" s="343"/>
      <c r="AVI981" s="342"/>
      <c r="AVJ981" s="343"/>
      <c r="AVK981" s="342"/>
      <c r="AVL981" s="343"/>
      <c r="AVM981" s="342"/>
      <c r="AVN981" s="343"/>
      <c r="AVO981" s="342"/>
      <c r="AVP981" s="343"/>
      <c r="AVQ981" s="342"/>
      <c r="AVR981" s="343"/>
      <c r="AVS981" s="342"/>
      <c r="AVT981" s="343"/>
      <c r="AVU981" s="342"/>
      <c r="AVV981" s="343"/>
      <c r="AVW981" s="342"/>
      <c r="AVX981" s="343"/>
      <c r="AVY981" s="342"/>
      <c r="AVZ981" s="343"/>
      <c r="AWA981" s="342"/>
      <c r="AWB981" s="343"/>
      <c r="AWC981" s="342"/>
      <c r="AWD981" s="343"/>
      <c r="AWE981" s="342"/>
      <c r="AWF981" s="343"/>
      <c r="AWG981" s="342"/>
      <c r="AWH981" s="343"/>
      <c r="AWI981" s="342"/>
      <c r="AWJ981" s="343"/>
      <c r="AWK981" s="342"/>
      <c r="AWL981" s="343"/>
      <c r="AWM981" s="342"/>
      <c r="AWN981" s="343"/>
      <c r="AWO981" s="342"/>
      <c r="AWP981" s="343"/>
      <c r="AWQ981" s="342"/>
      <c r="AWR981" s="343"/>
      <c r="AWS981" s="342"/>
      <c r="AWT981" s="343"/>
      <c r="AWU981" s="342"/>
      <c r="AWV981" s="343"/>
      <c r="AWW981" s="342"/>
      <c r="AWX981" s="343"/>
      <c r="AWY981" s="342"/>
      <c r="AWZ981" s="343"/>
      <c r="AXA981" s="342"/>
      <c r="AXB981" s="343"/>
      <c r="AXC981" s="342"/>
      <c r="AXD981" s="343"/>
      <c r="AXE981" s="342"/>
      <c r="AXF981" s="343"/>
      <c r="AXG981" s="342"/>
      <c r="AXH981" s="343"/>
      <c r="AXI981" s="342"/>
      <c r="AXJ981" s="343"/>
      <c r="AXK981" s="342"/>
      <c r="AXL981" s="343"/>
      <c r="AXM981" s="342"/>
      <c r="AXN981" s="343"/>
      <c r="AXO981" s="342"/>
      <c r="AXP981" s="343"/>
      <c r="AXQ981" s="342"/>
      <c r="AXR981" s="343"/>
      <c r="AXS981" s="342"/>
      <c r="AXT981" s="343"/>
      <c r="AXU981" s="342"/>
      <c r="AXV981" s="343"/>
      <c r="AXW981" s="342"/>
      <c r="AXX981" s="343"/>
      <c r="AXY981" s="342"/>
      <c r="AXZ981" s="343"/>
      <c r="AYA981" s="342"/>
      <c r="AYB981" s="343"/>
      <c r="AYC981" s="342"/>
      <c r="AYD981" s="343"/>
      <c r="AYE981" s="342"/>
      <c r="AYF981" s="343"/>
      <c r="AYG981" s="342"/>
      <c r="AYH981" s="343"/>
      <c r="AYI981" s="342"/>
      <c r="AYJ981" s="343"/>
      <c r="AYK981" s="342"/>
      <c r="AYL981" s="343"/>
      <c r="AYM981" s="342"/>
      <c r="AYN981" s="343"/>
      <c r="AYO981" s="342"/>
      <c r="AYP981" s="343"/>
      <c r="AYQ981" s="342"/>
      <c r="AYR981" s="343"/>
      <c r="AYS981" s="342"/>
      <c r="AYT981" s="343"/>
      <c r="AYU981" s="342"/>
      <c r="AYV981" s="343"/>
      <c r="AYW981" s="342"/>
      <c r="AYX981" s="343"/>
      <c r="AYY981" s="342"/>
      <c r="AYZ981" s="343"/>
      <c r="AZA981" s="342"/>
      <c r="AZB981" s="343"/>
      <c r="AZC981" s="342"/>
      <c r="AZD981" s="343"/>
      <c r="AZE981" s="342"/>
      <c r="AZF981" s="343"/>
      <c r="AZG981" s="342"/>
      <c r="AZH981" s="343"/>
      <c r="AZI981" s="342"/>
      <c r="AZJ981" s="343"/>
      <c r="AZK981" s="342"/>
      <c r="AZL981" s="343"/>
      <c r="AZM981" s="342"/>
      <c r="AZN981" s="343"/>
      <c r="AZO981" s="342"/>
      <c r="AZP981" s="343"/>
      <c r="AZQ981" s="342"/>
      <c r="AZR981" s="343"/>
      <c r="AZS981" s="342"/>
      <c r="AZT981" s="343"/>
      <c r="AZU981" s="342"/>
      <c r="AZV981" s="343"/>
      <c r="AZW981" s="342"/>
      <c r="AZX981" s="343"/>
      <c r="AZY981" s="342"/>
      <c r="AZZ981" s="343"/>
      <c r="BAA981" s="342"/>
      <c r="BAB981" s="343"/>
      <c r="BAC981" s="342"/>
      <c r="BAD981" s="343"/>
      <c r="BAE981" s="342"/>
      <c r="BAF981" s="343"/>
      <c r="BAG981" s="342"/>
      <c r="BAH981" s="343"/>
      <c r="BAI981" s="342"/>
      <c r="BAJ981" s="343"/>
      <c r="BAK981" s="342"/>
      <c r="BAL981" s="343"/>
      <c r="BAM981" s="342"/>
      <c r="BAN981" s="343"/>
      <c r="BAO981" s="342"/>
      <c r="BAP981" s="343"/>
      <c r="BAQ981" s="342"/>
      <c r="BAR981" s="343"/>
      <c r="BAS981" s="342"/>
      <c r="BAT981" s="343"/>
      <c r="BAU981" s="342"/>
      <c r="BAV981" s="343"/>
      <c r="BAW981" s="342"/>
      <c r="BAX981" s="343"/>
      <c r="BAY981" s="342"/>
      <c r="BAZ981" s="343"/>
      <c r="BBA981" s="342"/>
      <c r="BBB981" s="343"/>
      <c r="BBC981" s="342"/>
      <c r="BBD981" s="343"/>
      <c r="BBE981" s="342"/>
      <c r="BBF981" s="343"/>
      <c r="BBG981" s="342"/>
      <c r="BBH981" s="343"/>
      <c r="BBI981" s="342"/>
      <c r="BBJ981" s="343"/>
      <c r="BBK981" s="342"/>
      <c r="BBL981" s="343"/>
      <c r="BBM981" s="342"/>
      <c r="BBN981" s="343"/>
      <c r="BBO981" s="342"/>
      <c r="BBP981" s="343"/>
      <c r="BBQ981" s="342"/>
      <c r="BBR981" s="343"/>
      <c r="BBS981" s="342"/>
      <c r="BBT981" s="343"/>
      <c r="BBU981" s="342"/>
      <c r="BBV981" s="343"/>
      <c r="BBW981" s="342"/>
      <c r="BBX981" s="343"/>
      <c r="BBY981" s="342"/>
      <c r="BBZ981" s="343"/>
      <c r="BCA981" s="342"/>
      <c r="BCB981" s="343"/>
      <c r="BCC981" s="342"/>
      <c r="BCD981" s="343"/>
      <c r="BCE981" s="342"/>
      <c r="BCF981" s="343"/>
      <c r="BCG981" s="342"/>
      <c r="BCH981" s="343"/>
      <c r="BCI981" s="342"/>
      <c r="BCJ981" s="343"/>
      <c r="BCK981" s="342"/>
      <c r="BCL981" s="343"/>
      <c r="BCM981" s="342"/>
      <c r="BCN981" s="343"/>
      <c r="BCO981" s="342"/>
      <c r="BCP981" s="343"/>
      <c r="BCQ981" s="342"/>
      <c r="BCR981" s="343"/>
      <c r="BCS981" s="342"/>
      <c r="BCT981" s="343"/>
      <c r="BCU981" s="342"/>
      <c r="BCV981" s="343"/>
      <c r="BCW981" s="342"/>
      <c r="BCX981" s="343"/>
      <c r="BCY981" s="342"/>
      <c r="BCZ981" s="343"/>
      <c r="BDA981" s="342"/>
      <c r="BDB981" s="343"/>
      <c r="BDC981" s="342"/>
      <c r="BDD981" s="343"/>
      <c r="BDE981" s="342"/>
      <c r="BDF981" s="343"/>
      <c r="BDG981" s="342"/>
      <c r="BDH981" s="343"/>
      <c r="BDI981" s="342"/>
      <c r="BDJ981" s="343"/>
      <c r="BDK981" s="342"/>
      <c r="BDL981" s="343"/>
      <c r="BDM981" s="342"/>
      <c r="BDN981" s="343"/>
      <c r="BDO981" s="342"/>
      <c r="BDP981" s="343"/>
      <c r="BDQ981" s="342"/>
      <c r="BDR981" s="343"/>
      <c r="BDS981" s="342"/>
      <c r="BDT981" s="343"/>
      <c r="BDU981" s="342"/>
      <c r="BDV981" s="343"/>
      <c r="BDW981" s="342"/>
      <c r="BDX981" s="343"/>
      <c r="BDY981" s="342"/>
      <c r="BDZ981" s="343"/>
      <c r="BEA981" s="342"/>
      <c r="BEB981" s="343"/>
      <c r="BEC981" s="342"/>
      <c r="BED981" s="343"/>
      <c r="BEE981" s="342"/>
      <c r="BEF981" s="343"/>
      <c r="BEG981" s="342"/>
      <c r="BEH981" s="343"/>
      <c r="BEI981" s="342"/>
      <c r="BEJ981" s="343"/>
      <c r="BEK981" s="342"/>
      <c r="BEL981" s="343"/>
      <c r="BEM981" s="342"/>
      <c r="BEN981" s="343"/>
      <c r="BEO981" s="342"/>
      <c r="BEP981" s="343"/>
      <c r="BEQ981" s="342"/>
      <c r="BER981" s="343"/>
      <c r="BES981" s="342"/>
      <c r="BET981" s="343"/>
      <c r="BEU981" s="342"/>
      <c r="BEV981" s="343"/>
      <c r="BEW981" s="342"/>
      <c r="BEX981" s="343"/>
      <c r="BEY981" s="342"/>
      <c r="BEZ981" s="343"/>
      <c r="BFA981" s="342"/>
      <c r="BFB981" s="343"/>
      <c r="BFC981" s="342"/>
      <c r="BFD981" s="343"/>
      <c r="BFE981" s="342"/>
      <c r="BFF981" s="343"/>
      <c r="BFG981" s="342"/>
      <c r="BFH981" s="343"/>
      <c r="BFI981" s="342"/>
      <c r="BFJ981" s="343"/>
      <c r="BFK981" s="342"/>
      <c r="BFL981" s="343"/>
      <c r="BFM981" s="342"/>
      <c r="BFN981" s="343"/>
      <c r="BFO981" s="342"/>
      <c r="BFP981" s="343"/>
      <c r="BFQ981" s="342"/>
      <c r="BFR981" s="343"/>
      <c r="BFS981" s="342"/>
      <c r="BFT981" s="343"/>
      <c r="BFU981" s="342"/>
      <c r="BFV981" s="343"/>
      <c r="BFW981" s="342"/>
      <c r="BFX981" s="343"/>
      <c r="BFY981" s="342"/>
      <c r="BFZ981" s="343"/>
      <c r="BGA981" s="342"/>
      <c r="BGB981" s="343"/>
      <c r="BGC981" s="342"/>
      <c r="BGD981" s="343"/>
      <c r="BGE981" s="342"/>
      <c r="BGF981" s="343"/>
      <c r="BGG981" s="342"/>
      <c r="BGH981" s="343"/>
      <c r="BGI981" s="342"/>
      <c r="BGJ981" s="343"/>
      <c r="BGK981" s="342"/>
      <c r="BGL981" s="343"/>
      <c r="BGM981" s="342"/>
      <c r="BGN981" s="343"/>
      <c r="BGO981" s="342"/>
      <c r="BGP981" s="343"/>
      <c r="BGQ981" s="342"/>
      <c r="BGR981" s="343"/>
      <c r="BGS981" s="342"/>
      <c r="BGT981" s="343"/>
      <c r="BGU981" s="342"/>
      <c r="BGV981" s="343"/>
      <c r="BGW981" s="342"/>
      <c r="BGX981" s="343"/>
      <c r="BGY981" s="342"/>
      <c r="BGZ981" s="343"/>
      <c r="BHA981" s="342"/>
      <c r="BHB981" s="343"/>
      <c r="BHC981" s="342"/>
      <c r="BHD981" s="343"/>
      <c r="BHE981" s="342"/>
      <c r="BHF981" s="343"/>
      <c r="BHG981" s="342"/>
      <c r="BHH981" s="343"/>
      <c r="BHI981" s="342"/>
      <c r="BHJ981" s="343"/>
      <c r="BHK981" s="342"/>
      <c r="BHL981" s="343"/>
      <c r="BHM981" s="342"/>
      <c r="BHN981" s="343"/>
      <c r="BHO981" s="342"/>
      <c r="BHP981" s="343"/>
      <c r="BHQ981" s="342"/>
      <c r="BHR981" s="343"/>
      <c r="BHS981" s="342"/>
      <c r="BHT981" s="343"/>
      <c r="BHU981" s="342"/>
      <c r="BHV981" s="343"/>
      <c r="BHW981" s="342"/>
      <c r="BHX981" s="343"/>
      <c r="BHY981" s="342"/>
      <c r="BHZ981" s="343"/>
      <c r="BIA981" s="342"/>
      <c r="BIB981" s="343"/>
      <c r="BIC981" s="342"/>
      <c r="BID981" s="343"/>
      <c r="BIE981" s="342"/>
      <c r="BIF981" s="343"/>
      <c r="BIG981" s="342"/>
      <c r="BIH981" s="343"/>
      <c r="BII981" s="342"/>
      <c r="BIJ981" s="343"/>
      <c r="BIK981" s="342"/>
      <c r="BIL981" s="343"/>
      <c r="BIM981" s="342"/>
      <c r="BIN981" s="343"/>
      <c r="BIO981" s="342"/>
      <c r="BIP981" s="343"/>
      <c r="BIQ981" s="342"/>
      <c r="BIR981" s="343"/>
      <c r="BIS981" s="342"/>
      <c r="BIT981" s="343"/>
      <c r="BIU981" s="342"/>
      <c r="BIV981" s="343"/>
      <c r="BIW981" s="342"/>
      <c r="BIX981" s="343"/>
      <c r="BIY981" s="342"/>
      <c r="BIZ981" s="343"/>
      <c r="BJA981" s="342"/>
      <c r="BJB981" s="343"/>
      <c r="BJC981" s="342"/>
      <c r="BJD981" s="343"/>
      <c r="BJE981" s="342"/>
      <c r="BJF981" s="343"/>
      <c r="BJG981" s="342"/>
      <c r="BJH981" s="343"/>
      <c r="BJI981" s="342"/>
      <c r="BJJ981" s="343"/>
      <c r="BJK981" s="342"/>
      <c r="BJL981" s="343"/>
      <c r="BJM981" s="342"/>
      <c r="BJN981" s="343"/>
      <c r="BJO981" s="342"/>
      <c r="BJP981" s="343"/>
      <c r="BJQ981" s="342"/>
      <c r="BJR981" s="343"/>
      <c r="BJS981" s="342"/>
      <c r="BJT981" s="343"/>
      <c r="BJU981" s="342"/>
      <c r="BJV981" s="343"/>
      <c r="BJW981" s="342"/>
      <c r="BJX981" s="343"/>
      <c r="BJY981" s="342"/>
      <c r="BJZ981" s="343"/>
      <c r="BKA981" s="342"/>
      <c r="BKB981" s="343"/>
      <c r="BKC981" s="342"/>
      <c r="BKD981" s="343"/>
      <c r="BKE981" s="342"/>
      <c r="BKF981" s="343"/>
      <c r="BKG981" s="342"/>
      <c r="BKH981" s="343"/>
      <c r="BKI981" s="342"/>
      <c r="BKJ981" s="343"/>
      <c r="BKK981" s="342"/>
      <c r="BKL981" s="343"/>
      <c r="BKM981" s="342"/>
      <c r="BKN981" s="343"/>
      <c r="BKO981" s="342"/>
      <c r="BKP981" s="343"/>
      <c r="BKQ981" s="342"/>
      <c r="BKR981" s="343"/>
      <c r="BKS981" s="342"/>
      <c r="BKT981" s="343"/>
      <c r="BKU981" s="342"/>
      <c r="BKV981" s="343"/>
      <c r="BKW981" s="342"/>
      <c r="BKX981" s="343"/>
      <c r="BKY981" s="342"/>
      <c r="BKZ981" s="343"/>
      <c r="BLA981" s="342"/>
      <c r="BLB981" s="343"/>
      <c r="BLC981" s="342"/>
      <c r="BLD981" s="343"/>
      <c r="BLE981" s="342"/>
      <c r="BLF981" s="343"/>
      <c r="BLG981" s="342"/>
      <c r="BLH981" s="343"/>
      <c r="BLI981" s="342"/>
      <c r="BLJ981" s="343"/>
      <c r="BLK981" s="342"/>
      <c r="BLL981" s="343"/>
      <c r="BLM981" s="342"/>
      <c r="BLN981" s="343"/>
      <c r="BLO981" s="342"/>
      <c r="BLP981" s="343"/>
      <c r="BLQ981" s="342"/>
      <c r="BLR981" s="343"/>
      <c r="BLS981" s="342"/>
      <c r="BLT981" s="343"/>
      <c r="BLU981" s="342"/>
      <c r="BLV981" s="343"/>
      <c r="BLW981" s="342"/>
      <c r="BLX981" s="343"/>
      <c r="BLY981" s="342"/>
      <c r="BLZ981" s="343"/>
      <c r="BMA981" s="342"/>
      <c r="BMB981" s="343"/>
      <c r="BMC981" s="342"/>
      <c r="BMD981" s="343"/>
      <c r="BME981" s="342"/>
      <c r="BMF981" s="343"/>
      <c r="BMG981" s="342"/>
      <c r="BMH981" s="343"/>
      <c r="BMI981" s="342"/>
      <c r="BMJ981" s="343"/>
      <c r="BMK981" s="342"/>
      <c r="BML981" s="343"/>
      <c r="BMM981" s="342"/>
      <c r="BMN981" s="343"/>
      <c r="BMO981" s="342"/>
      <c r="BMP981" s="343"/>
      <c r="BMQ981" s="342"/>
      <c r="BMR981" s="343"/>
      <c r="BMS981" s="342"/>
      <c r="BMT981" s="343"/>
      <c r="BMU981" s="342"/>
      <c r="BMV981" s="343"/>
      <c r="BMW981" s="342"/>
      <c r="BMX981" s="343"/>
      <c r="BMY981" s="342"/>
      <c r="BMZ981" s="343"/>
      <c r="BNA981" s="342"/>
      <c r="BNB981" s="343"/>
      <c r="BNC981" s="342"/>
      <c r="BND981" s="343"/>
      <c r="BNE981" s="342"/>
      <c r="BNF981" s="343"/>
      <c r="BNG981" s="342"/>
      <c r="BNH981" s="343"/>
      <c r="BNI981" s="342"/>
      <c r="BNJ981" s="343"/>
      <c r="BNK981" s="342"/>
      <c r="BNL981" s="343"/>
      <c r="BNM981" s="342"/>
      <c r="BNN981" s="343"/>
      <c r="BNO981" s="342"/>
      <c r="BNP981" s="343"/>
      <c r="BNQ981" s="342"/>
      <c r="BNR981" s="343"/>
      <c r="BNS981" s="342"/>
      <c r="BNT981" s="343"/>
      <c r="BNU981" s="342"/>
      <c r="BNV981" s="343"/>
      <c r="BNW981" s="342"/>
      <c r="BNX981" s="343"/>
      <c r="BNY981" s="342"/>
      <c r="BNZ981" s="343"/>
      <c r="BOA981" s="342"/>
      <c r="BOB981" s="343"/>
      <c r="BOC981" s="342"/>
      <c r="BOD981" s="343"/>
      <c r="BOE981" s="342"/>
      <c r="BOF981" s="343"/>
      <c r="BOG981" s="342"/>
      <c r="BOH981" s="343"/>
      <c r="BOI981" s="342"/>
      <c r="BOJ981" s="343"/>
      <c r="BOK981" s="342"/>
      <c r="BOL981" s="343"/>
      <c r="BOM981" s="342"/>
      <c r="BON981" s="343"/>
      <c r="BOO981" s="342"/>
      <c r="BOP981" s="343"/>
      <c r="BOQ981" s="342"/>
      <c r="BOR981" s="343"/>
      <c r="BOS981" s="342"/>
      <c r="BOT981" s="343"/>
      <c r="BOU981" s="342"/>
      <c r="BOV981" s="343"/>
      <c r="BOW981" s="342"/>
      <c r="BOX981" s="343"/>
      <c r="BOY981" s="342"/>
      <c r="BOZ981" s="343"/>
      <c r="BPA981" s="342"/>
      <c r="BPB981" s="343"/>
      <c r="BPC981" s="342"/>
      <c r="BPD981" s="343"/>
      <c r="BPE981" s="342"/>
      <c r="BPF981" s="343"/>
      <c r="BPG981" s="342"/>
      <c r="BPH981" s="343"/>
      <c r="BPI981" s="342"/>
      <c r="BPJ981" s="343"/>
      <c r="BPK981" s="342"/>
      <c r="BPL981" s="343"/>
      <c r="BPM981" s="342"/>
      <c r="BPN981" s="343"/>
      <c r="BPO981" s="342"/>
      <c r="BPP981" s="343"/>
      <c r="BPQ981" s="342"/>
      <c r="BPR981" s="343"/>
      <c r="BPS981" s="342"/>
      <c r="BPT981" s="343"/>
      <c r="BPU981" s="342"/>
      <c r="BPV981" s="343"/>
      <c r="BPW981" s="342"/>
      <c r="BPX981" s="343"/>
      <c r="BPY981" s="342"/>
      <c r="BPZ981" s="343"/>
      <c r="BQA981" s="342"/>
      <c r="BQB981" s="343"/>
      <c r="BQC981" s="342"/>
      <c r="BQD981" s="343"/>
      <c r="BQE981" s="342"/>
      <c r="BQF981" s="343"/>
      <c r="BQG981" s="342"/>
      <c r="BQH981" s="343"/>
      <c r="BQI981" s="342"/>
      <c r="BQJ981" s="343"/>
      <c r="BQK981" s="342"/>
      <c r="BQL981" s="343"/>
      <c r="BQM981" s="342"/>
      <c r="BQN981" s="343"/>
      <c r="BQO981" s="342"/>
      <c r="BQP981" s="343"/>
      <c r="BQQ981" s="342"/>
      <c r="BQR981" s="343"/>
      <c r="BQS981" s="342"/>
      <c r="BQT981" s="343"/>
      <c r="BQU981" s="342"/>
      <c r="BQV981" s="343"/>
      <c r="BQW981" s="342"/>
      <c r="BQX981" s="343"/>
      <c r="BQY981" s="342"/>
      <c r="BQZ981" s="343"/>
      <c r="BRA981" s="342"/>
      <c r="BRB981" s="343"/>
      <c r="BRC981" s="342"/>
      <c r="BRD981" s="343"/>
      <c r="BRE981" s="342"/>
      <c r="BRF981" s="343"/>
      <c r="BRG981" s="342"/>
      <c r="BRH981" s="343"/>
      <c r="BRI981" s="342"/>
      <c r="BRJ981" s="343"/>
      <c r="BRK981" s="342"/>
      <c r="BRL981" s="343"/>
      <c r="BRM981" s="342"/>
      <c r="BRN981" s="343"/>
      <c r="BRO981" s="342"/>
      <c r="BRP981" s="343"/>
      <c r="BRQ981" s="342"/>
      <c r="BRR981" s="343"/>
      <c r="BRS981" s="342"/>
      <c r="BRT981" s="343"/>
      <c r="BRU981" s="342"/>
      <c r="BRV981" s="343"/>
      <c r="BRW981" s="342"/>
      <c r="BRX981" s="343"/>
      <c r="BRY981" s="342"/>
      <c r="BRZ981" s="343"/>
      <c r="BSA981" s="342"/>
      <c r="BSB981" s="343"/>
      <c r="BSC981" s="342"/>
      <c r="BSD981" s="343"/>
      <c r="BSE981" s="342"/>
      <c r="BSF981" s="343"/>
      <c r="BSG981" s="342"/>
      <c r="BSH981" s="343"/>
      <c r="BSI981" s="342"/>
      <c r="BSJ981" s="343"/>
      <c r="BSK981" s="342"/>
      <c r="BSL981" s="343"/>
      <c r="BSM981" s="342"/>
      <c r="BSN981" s="343"/>
      <c r="BSO981" s="342"/>
      <c r="BSP981" s="343"/>
      <c r="BSQ981" s="342"/>
      <c r="BSR981" s="343"/>
      <c r="BSS981" s="342"/>
      <c r="BST981" s="343"/>
      <c r="BSU981" s="342"/>
      <c r="BSV981" s="343"/>
      <c r="BSW981" s="342"/>
      <c r="BSX981" s="343"/>
      <c r="BSY981" s="342"/>
      <c r="BSZ981" s="343"/>
      <c r="BTA981" s="342"/>
      <c r="BTB981" s="343"/>
      <c r="BTC981" s="342"/>
      <c r="BTD981" s="343"/>
      <c r="BTE981" s="342"/>
      <c r="BTF981" s="343"/>
      <c r="BTG981" s="342"/>
      <c r="BTH981" s="343"/>
      <c r="BTI981" s="342"/>
      <c r="BTJ981" s="343"/>
      <c r="BTK981" s="342"/>
      <c r="BTL981" s="343"/>
      <c r="BTM981" s="342"/>
      <c r="BTN981" s="343"/>
      <c r="BTO981" s="342"/>
      <c r="BTP981" s="343"/>
      <c r="BTQ981" s="342"/>
      <c r="BTR981" s="343"/>
      <c r="BTS981" s="342"/>
      <c r="BTT981" s="343"/>
      <c r="BTU981" s="342"/>
      <c r="BTV981" s="343"/>
      <c r="BTW981" s="342"/>
      <c r="BTX981" s="343"/>
      <c r="BTY981" s="342"/>
      <c r="BTZ981" s="343"/>
      <c r="BUA981" s="342"/>
      <c r="BUB981" s="343"/>
      <c r="BUC981" s="342"/>
      <c r="BUD981" s="343"/>
      <c r="BUE981" s="342"/>
      <c r="BUF981" s="343"/>
      <c r="BUG981" s="342"/>
      <c r="BUH981" s="343"/>
      <c r="BUI981" s="342"/>
      <c r="BUJ981" s="343"/>
      <c r="BUK981" s="342"/>
      <c r="BUL981" s="343"/>
      <c r="BUM981" s="342"/>
      <c r="BUN981" s="343"/>
      <c r="BUO981" s="342"/>
      <c r="BUP981" s="343"/>
      <c r="BUQ981" s="342"/>
      <c r="BUR981" s="343"/>
      <c r="BUS981" s="342"/>
      <c r="BUT981" s="343"/>
      <c r="BUU981" s="342"/>
      <c r="BUV981" s="343"/>
      <c r="BUW981" s="342"/>
      <c r="BUX981" s="343"/>
      <c r="BUY981" s="342"/>
      <c r="BUZ981" s="343"/>
      <c r="BVA981" s="342"/>
      <c r="BVB981" s="343"/>
      <c r="BVC981" s="342"/>
      <c r="BVD981" s="343"/>
      <c r="BVE981" s="342"/>
      <c r="BVF981" s="343"/>
      <c r="BVG981" s="342"/>
      <c r="BVH981" s="343"/>
      <c r="BVI981" s="342"/>
      <c r="BVJ981" s="343"/>
      <c r="BVK981" s="342"/>
      <c r="BVL981" s="343"/>
      <c r="BVM981" s="342"/>
      <c r="BVN981" s="343"/>
      <c r="BVO981" s="342"/>
      <c r="BVP981" s="343"/>
      <c r="BVQ981" s="342"/>
      <c r="BVR981" s="343"/>
      <c r="BVS981" s="342"/>
      <c r="BVT981" s="343"/>
      <c r="BVU981" s="342"/>
      <c r="BVV981" s="343"/>
      <c r="BVW981" s="342"/>
      <c r="BVX981" s="343"/>
      <c r="BVY981" s="342"/>
      <c r="BVZ981" s="343"/>
      <c r="BWA981" s="342"/>
      <c r="BWB981" s="343"/>
      <c r="BWC981" s="342"/>
      <c r="BWD981" s="343"/>
      <c r="BWE981" s="342"/>
      <c r="BWF981" s="343"/>
      <c r="BWG981" s="342"/>
      <c r="BWH981" s="343"/>
      <c r="BWI981" s="342"/>
      <c r="BWJ981" s="343"/>
      <c r="BWK981" s="342"/>
      <c r="BWL981" s="343"/>
      <c r="BWM981" s="342"/>
      <c r="BWN981" s="343"/>
      <c r="BWO981" s="342"/>
      <c r="BWP981" s="343"/>
      <c r="BWQ981" s="342"/>
      <c r="BWR981" s="343"/>
      <c r="BWS981" s="342"/>
      <c r="BWT981" s="343"/>
      <c r="BWU981" s="342"/>
      <c r="BWV981" s="343"/>
      <c r="BWW981" s="342"/>
      <c r="BWX981" s="343"/>
      <c r="BWY981" s="342"/>
      <c r="BWZ981" s="343"/>
      <c r="BXA981" s="342"/>
      <c r="BXB981" s="343"/>
      <c r="BXC981" s="342"/>
      <c r="BXD981" s="343"/>
      <c r="BXE981" s="342"/>
      <c r="BXF981" s="343"/>
      <c r="BXG981" s="342"/>
      <c r="BXH981" s="343"/>
      <c r="BXI981" s="342"/>
      <c r="BXJ981" s="343"/>
      <c r="BXK981" s="342"/>
      <c r="BXL981" s="343"/>
      <c r="BXM981" s="342"/>
      <c r="BXN981" s="343"/>
      <c r="BXO981" s="342"/>
      <c r="BXP981" s="343"/>
      <c r="BXQ981" s="342"/>
      <c r="BXR981" s="343"/>
      <c r="BXS981" s="342"/>
      <c r="BXT981" s="343"/>
      <c r="BXU981" s="342"/>
      <c r="BXV981" s="343"/>
      <c r="BXW981" s="342"/>
      <c r="BXX981" s="343"/>
      <c r="BXY981" s="342"/>
      <c r="BXZ981" s="343"/>
      <c r="BYA981" s="342"/>
      <c r="BYB981" s="343"/>
      <c r="BYC981" s="342"/>
      <c r="BYD981" s="343"/>
      <c r="BYE981" s="342"/>
      <c r="BYF981" s="343"/>
      <c r="BYG981" s="342"/>
      <c r="BYH981" s="343"/>
      <c r="BYI981" s="342"/>
      <c r="BYJ981" s="343"/>
      <c r="BYK981" s="342"/>
      <c r="BYL981" s="343"/>
      <c r="BYM981" s="342"/>
      <c r="BYN981" s="343"/>
      <c r="BYO981" s="342"/>
      <c r="BYP981" s="343"/>
      <c r="BYQ981" s="342"/>
      <c r="BYR981" s="343"/>
      <c r="BYS981" s="342"/>
      <c r="BYT981" s="343"/>
      <c r="BYU981" s="342"/>
      <c r="BYV981" s="343"/>
      <c r="BYW981" s="342"/>
      <c r="BYX981" s="343"/>
      <c r="BYY981" s="342"/>
      <c r="BYZ981" s="343"/>
      <c r="BZA981" s="342"/>
      <c r="BZB981" s="343"/>
      <c r="BZC981" s="342"/>
      <c r="BZD981" s="343"/>
      <c r="BZE981" s="342"/>
      <c r="BZF981" s="343"/>
      <c r="BZG981" s="342"/>
      <c r="BZH981" s="343"/>
      <c r="BZI981" s="342"/>
      <c r="BZJ981" s="343"/>
      <c r="BZK981" s="342"/>
      <c r="BZL981" s="343"/>
      <c r="BZM981" s="342"/>
      <c r="BZN981" s="343"/>
      <c r="BZO981" s="342"/>
      <c r="BZP981" s="343"/>
      <c r="BZQ981" s="342"/>
      <c r="BZR981" s="343"/>
      <c r="BZS981" s="342"/>
      <c r="BZT981" s="343"/>
      <c r="BZU981" s="342"/>
      <c r="BZV981" s="343"/>
      <c r="BZW981" s="342"/>
      <c r="BZX981" s="343"/>
      <c r="BZY981" s="342"/>
      <c r="BZZ981" s="343"/>
      <c r="CAA981" s="342"/>
      <c r="CAB981" s="343"/>
      <c r="CAC981" s="342"/>
      <c r="CAD981" s="343"/>
      <c r="CAE981" s="342"/>
      <c r="CAF981" s="343"/>
      <c r="CAG981" s="342"/>
      <c r="CAH981" s="343"/>
      <c r="CAI981" s="342"/>
      <c r="CAJ981" s="343"/>
      <c r="CAK981" s="342"/>
      <c r="CAL981" s="343"/>
      <c r="CAM981" s="342"/>
      <c r="CAN981" s="343"/>
      <c r="CAO981" s="342"/>
      <c r="CAP981" s="343"/>
      <c r="CAQ981" s="342"/>
      <c r="CAR981" s="343"/>
      <c r="CAS981" s="342"/>
      <c r="CAT981" s="343"/>
      <c r="CAU981" s="342"/>
      <c r="CAV981" s="343"/>
      <c r="CAW981" s="342"/>
      <c r="CAX981" s="343"/>
      <c r="CAY981" s="342"/>
      <c r="CAZ981" s="343"/>
      <c r="CBA981" s="342"/>
      <c r="CBB981" s="343"/>
      <c r="CBC981" s="342"/>
      <c r="CBD981" s="343"/>
      <c r="CBE981" s="342"/>
      <c r="CBF981" s="343"/>
      <c r="CBG981" s="342"/>
      <c r="CBH981" s="343"/>
      <c r="CBI981" s="342"/>
      <c r="CBJ981" s="343"/>
      <c r="CBK981" s="342"/>
      <c r="CBL981" s="343"/>
      <c r="CBM981" s="342"/>
      <c r="CBN981" s="343"/>
      <c r="CBO981" s="342"/>
      <c r="CBP981" s="343"/>
      <c r="CBQ981" s="342"/>
      <c r="CBR981" s="343"/>
      <c r="CBS981" s="342"/>
      <c r="CBT981" s="343"/>
      <c r="CBU981" s="342"/>
      <c r="CBV981" s="343"/>
      <c r="CBW981" s="342"/>
      <c r="CBX981" s="343"/>
      <c r="CBY981" s="342"/>
      <c r="CBZ981" s="343"/>
      <c r="CCA981" s="342"/>
      <c r="CCB981" s="343"/>
      <c r="CCC981" s="342"/>
      <c r="CCD981" s="343"/>
      <c r="CCE981" s="342"/>
      <c r="CCF981" s="343"/>
      <c r="CCG981" s="342"/>
      <c r="CCH981" s="343"/>
      <c r="CCI981" s="342"/>
      <c r="CCJ981" s="343"/>
      <c r="CCK981" s="342"/>
      <c r="CCL981" s="343"/>
      <c r="CCM981" s="342"/>
      <c r="CCN981" s="343"/>
      <c r="CCO981" s="342"/>
      <c r="CCP981" s="343"/>
      <c r="CCQ981" s="342"/>
      <c r="CCR981" s="343"/>
      <c r="CCS981" s="342"/>
      <c r="CCT981" s="343"/>
      <c r="CCU981" s="342"/>
      <c r="CCV981" s="343"/>
      <c r="CCW981" s="342"/>
      <c r="CCX981" s="343"/>
      <c r="CCY981" s="342"/>
      <c r="CCZ981" s="343"/>
      <c r="CDA981" s="342"/>
      <c r="CDB981" s="343"/>
      <c r="CDC981" s="342"/>
      <c r="CDD981" s="343"/>
      <c r="CDE981" s="342"/>
      <c r="CDF981" s="343"/>
      <c r="CDG981" s="342"/>
      <c r="CDH981" s="343"/>
      <c r="CDI981" s="342"/>
      <c r="CDJ981" s="343"/>
      <c r="CDK981" s="342"/>
      <c r="CDL981" s="343"/>
      <c r="CDM981" s="342"/>
      <c r="CDN981" s="343"/>
      <c r="CDO981" s="342"/>
      <c r="CDP981" s="343"/>
      <c r="CDQ981" s="342"/>
      <c r="CDR981" s="343"/>
      <c r="CDS981" s="342"/>
      <c r="CDT981" s="343"/>
      <c r="CDU981" s="342"/>
      <c r="CDV981" s="343"/>
      <c r="CDW981" s="342"/>
      <c r="CDX981" s="343"/>
      <c r="CDY981" s="342"/>
      <c r="CDZ981" s="343"/>
      <c r="CEA981" s="342"/>
      <c r="CEB981" s="343"/>
      <c r="CEC981" s="342"/>
      <c r="CED981" s="343"/>
      <c r="CEE981" s="342"/>
      <c r="CEF981" s="343"/>
      <c r="CEG981" s="342"/>
      <c r="CEH981" s="343"/>
      <c r="CEI981" s="342"/>
      <c r="CEJ981" s="343"/>
      <c r="CEK981" s="342"/>
      <c r="CEL981" s="343"/>
      <c r="CEM981" s="342"/>
      <c r="CEN981" s="343"/>
      <c r="CEO981" s="342"/>
      <c r="CEP981" s="343"/>
      <c r="CEQ981" s="342"/>
      <c r="CER981" s="343"/>
      <c r="CES981" s="342"/>
      <c r="CET981" s="343"/>
      <c r="CEU981" s="342"/>
      <c r="CEV981" s="343"/>
      <c r="CEW981" s="342"/>
      <c r="CEX981" s="343"/>
      <c r="CEY981" s="342"/>
      <c r="CEZ981" s="343"/>
      <c r="CFA981" s="342"/>
      <c r="CFB981" s="343"/>
      <c r="CFC981" s="342"/>
      <c r="CFD981" s="343"/>
      <c r="CFE981" s="342"/>
      <c r="CFF981" s="343"/>
      <c r="CFG981" s="342"/>
      <c r="CFH981" s="343"/>
      <c r="CFI981" s="342"/>
      <c r="CFJ981" s="343"/>
      <c r="CFK981" s="342"/>
      <c r="CFL981" s="343"/>
      <c r="CFM981" s="342"/>
      <c r="CFN981" s="343"/>
      <c r="CFO981" s="342"/>
      <c r="CFP981" s="343"/>
      <c r="CFQ981" s="342"/>
      <c r="CFR981" s="343"/>
      <c r="CFS981" s="342"/>
      <c r="CFT981" s="343"/>
      <c r="CFU981" s="342"/>
      <c r="CFV981" s="343"/>
      <c r="CFW981" s="342"/>
      <c r="CFX981" s="343"/>
      <c r="CFY981" s="342"/>
      <c r="CFZ981" s="343"/>
      <c r="CGA981" s="342"/>
      <c r="CGB981" s="343"/>
      <c r="CGC981" s="342"/>
      <c r="CGD981" s="343"/>
      <c r="CGE981" s="342"/>
      <c r="CGF981" s="343"/>
      <c r="CGG981" s="342"/>
      <c r="CGH981" s="343"/>
      <c r="CGI981" s="342"/>
      <c r="CGJ981" s="343"/>
      <c r="CGK981" s="342"/>
      <c r="CGL981" s="343"/>
      <c r="CGM981" s="342"/>
      <c r="CGN981" s="343"/>
      <c r="CGO981" s="342"/>
      <c r="CGP981" s="343"/>
      <c r="CGQ981" s="342"/>
      <c r="CGR981" s="343"/>
      <c r="CGS981" s="342"/>
      <c r="CGT981" s="343"/>
      <c r="CGU981" s="342"/>
      <c r="CGV981" s="343"/>
      <c r="CGW981" s="342"/>
      <c r="CGX981" s="343"/>
      <c r="CGY981" s="342"/>
      <c r="CGZ981" s="343"/>
      <c r="CHA981" s="342"/>
      <c r="CHB981" s="343"/>
      <c r="CHC981" s="342"/>
      <c r="CHD981" s="343"/>
      <c r="CHE981" s="342"/>
      <c r="CHF981" s="343"/>
      <c r="CHG981" s="342"/>
      <c r="CHH981" s="343"/>
      <c r="CHI981" s="342"/>
      <c r="CHJ981" s="343"/>
      <c r="CHK981" s="342"/>
      <c r="CHL981" s="343"/>
      <c r="CHM981" s="342"/>
      <c r="CHN981" s="343"/>
      <c r="CHO981" s="342"/>
      <c r="CHP981" s="343"/>
      <c r="CHQ981" s="342"/>
      <c r="CHR981" s="343"/>
      <c r="CHS981" s="342"/>
      <c r="CHT981" s="343"/>
      <c r="CHU981" s="342"/>
      <c r="CHV981" s="343"/>
      <c r="CHW981" s="342"/>
      <c r="CHX981" s="343"/>
      <c r="CHY981" s="342"/>
      <c r="CHZ981" s="343"/>
      <c r="CIA981" s="342"/>
      <c r="CIB981" s="343"/>
      <c r="CIC981" s="342"/>
      <c r="CID981" s="343"/>
      <c r="CIE981" s="342"/>
      <c r="CIF981" s="343"/>
      <c r="CIG981" s="342"/>
      <c r="CIH981" s="343"/>
      <c r="CII981" s="342"/>
      <c r="CIJ981" s="343"/>
      <c r="CIK981" s="342"/>
      <c r="CIL981" s="343"/>
      <c r="CIM981" s="342"/>
      <c r="CIN981" s="343"/>
      <c r="CIO981" s="342"/>
      <c r="CIP981" s="343"/>
      <c r="CIQ981" s="342"/>
      <c r="CIR981" s="343"/>
      <c r="CIS981" s="342"/>
      <c r="CIT981" s="343"/>
      <c r="CIU981" s="342"/>
      <c r="CIV981" s="343"/>
      <c r="CIW981" s="342"/>
      <c r="CIX981" s="343"/>
      <c r="CIY981" s="342"/>
      <c r="CIZ981" s="343"/>
      <c r="CJA981" s="342"/>
      <c r="CJB981" s="343"/>
      <c r="CJC981" s="342"/>
      <c r="CJD981" s="343"/>
      <c r="CJE981" s="342"/>
      <c r="CJF981" s="343"/>
      <c r="CJG981" s="342"/>
      <c r="CJH981" s="343"/>
      <c r="CJI981" s="342"/>
      <c r="CJJ981" s="343"/>
      <c r="CJK981" s="342"/>
      <c r="CJL981" s="343"/>
      <c r="CJM981" s="342"/>
      <c r="CJN981" s="343"/>
      <c r="CJO981" s="342"/>
      <c r="CJP981" s="343"/>
      <c r="CJQ981" s="342"/>
      <c r="CJR981" s="343"/>
      <c r="CJS981" s="342"/>
      <c r="CJT981" s="343"/>
      <c r="CJU981" s="342"/>
      <c r="CJV981" s="343"/>
      <c r="CJW981" s="342"/>
      <c r="CJX981" s="343"/>
      <c r="CJY981" s="342"/>
      <c r="CJZ981" s="343"/>
      <c r="CKA981" s="342"/>
      <c r="CKB981" s="343"/>
      <c r="CKC981" s="342"/>
      <c r="CKD981" s="343"/>
      <c r="CKE981" s="342"/>
      <c r="CKF981" s="343"/>
      <c r="CKG981" s="342"/>
      <c r="CKH981" s="343"/>
      <c r="CKI981" s="342"/>
      <c r="CKJ981" s="343"/>
      <c r="CKK981" s="342"/>
      <c r="CKL981" s="343"/>
      <c r="CKM981" s="342"/>
      <c r="CKN981" s="343"/>
      <c r="CKO981" s="342"/>
      <c r="CKP981" s="343"/>
      <c r="CKQ981" s="342"/>
      <c r="CKR981" s="343"/>
      <c r="CKS981" s="342"/>
      <c r="CKT981" s="343"/>
      <c r="CKU981" s="342"/>
      <c r="CKV981" s="343"/>
      <c r="CKW981" s="342"/>
      <c r="CKX981" s="343"/>
      <c r="CKY981" s="342"/>
      <c r="CKZ981" s="343"/>
      <c r="CLA981" s="342"/>
      <c r="CLB981" s="343"/>
      <c r="CLC981" s="342"/>
      <c r="CLD981" s="343"/>
      <c r="CLE981" s="342"/>
      <c r="CLF981" s="343"/>
      <c r="CLG981" s="342"/>
      <c r="CLH981" s="343"/>
      <c r="CLI981" s="342"/>
      <c r="CLJ981" s="343"/>
      <c r="CLK981" s="342"/>
      <c r="CLL981" s="343"/>
      <c r="CLM981" s="342"/>
      <c r="CLN981" s="343"/>
      <c r="CLO981" s="342"/>
      <c r="CLP981" s="343"/>
      <c r="CLQ981" s="342"/>
      <c r="CLR981" s="343"/>
      <c r="CLS981" s="342"/>
      <c r="CLT981" s="343"/>
      <c r="CLU981" s="342"/>
      <c r="CLV981" s="343"/>
      <c r="CLW981" s="342"/>
      <c r="CLX981" s="343"/>
      <c r="CLY981" s="342"/>
      <c r="CLZ981" s="343"/>
      <c r="CMA981" s="342"/>
      <c r="CMB981" s="343"/>
      <c r="CMC981" s="342"/>
      <c r="CMD981" s="343"/>
      <c r="CME981" s="342"/>
      <c r="CMF981" s="343"/>
      <c r="CMG981" s="342"/>
      <c r="CMH981" s="343"/>
      <c r="CMI981" s="342"/>
      <c r="CMJ981" s="343"/>
      <c r="CMK981" s="342"/>
      <c r="CML981" s="343"/>
      <c r="CMM981" s="342"/>
      <c r="CMN981" s="343"/>
      <c r="CMO981" s="342"/>
      <c r="CMP981" s="343"/>
      <c r="CMQ981" s="342"/>
      <c r="CMR981" s="343"/>
      <c r="CMS981" s="342"/>
      <c r="CMT981" s="343"/>
      <c r="CMU981" s="342"/>
      <c r="CMV981" s="343"/>
      <c r="CMW981" s="342"/>
      <c r="CMX981" s="343"/>
      <c r="CMY981" s="342"/>
      <c r="CMZ981" s="343"/>
      <c r="CNA981" s="342"/>
      <c r="CNB981" s="343"/>
      <c r="CNC981" s="342"/>
      <c r="CND981" s="343"/>
      <c r="CNE981" s="342"/>
      <c r="CNF981" s="343"/>
      <c r="CNG981" s="342"/>
      <c r="CNH981" s="343"/>
      <c r="CNI981" s="342"/>
      <c r="CNJ981" s="343"/>
      <c r="CNK981" s="342"/>
      <c r="CNL981" s="343"/>
      <c r="CNM981" s="342"/>
      <c r="CNN981" s="343"/>
      <c r="CNO981" s="342"/>
      <c r="CNP981" s="343"/>
      <c r="CNQ981" s="342"/>
      <c r="CNR981" s="343"/>
      <c r="CNS981" s="342"/>
      <c r="CNT981" s="343"/>
      <c r="CNU981" s="342"/>
      <c r="CNV981" s="343"/>
      <c r="CNW981" s="342"/>
      <c r="CNX981" s="343"/>
      <c r="CNY981" s="342"/>
      <c r="CNZ981" s="343"/>
      <c r="COA981" s="342"/>
      <c r="COB981" s="343"/>
      <c r="COC981" s="342"/>
      <c r="COD981" s="343"/>
      <c r="COE981" s="342"/>
      <c r="COF981" s="343"/>
      <c r="COG981" s="342"/>
      <c r="COH981" s="343"/>
      <c r="COI981" s="342"/>
      <c r="COJ981" s="343"/>
      <c r="COK981" s="342"/>
      <c r="COL981" s="343"/>
      <c r="COM981" s="342"/>
      <c r="CON981" s="343"/>
      <c r="COO981" s="342"/>
      <c r="COP981" s="343"/>
      <c r="COQ981" s="342"/>
      <c r="COR981" s="343"/>
      <c r="COS981" s="342"/>
      <c r="COT981" s="343"/>
      <c r="COU981" s="342"/>
      <c r="COV981" s="343"/>
      <c r="COW981" s="342"/>
      <c r="COX981" s="343"/>
      <c r="COY981" s="342"/>
      <c r="COZ981" s="343"/>
      <c r="CPA981" s="342"/>
      <c r="CPB981" s="343"/>
      <c r="CPC981" s="342"/>
      <c r="CPD981" s="343"/>
      <c r="CPE981" s="342"/>
      <c r="CPF981" s="343"/>
      <c r="CPG981" s="342"/>
      <c r="CPH981" s="343"/>
      <c r="CPI981" s="342"/>
      <c r="CPJ981" s="343"/>
      <c r="CPK981" s="342"/>
      <c r="CPL981" s="343"/>
      <c r="CPM981" s="342"/>
      <c r="CPN981" s="343"/>
      <c r="CPO981" s="342"/>
      <c r="CPP981" s="343"/>
      <c r="CPQ981" s="342"/>
      <c r="CPR981" s="343"/>
      <c r="CPS981" s="342"/>
      <c r="CPT981" s="343"/>
      <c r="CPU981" s="342"/>
      <c r="CPV981" s="343"/>
      <c r="CPW981" s="342"/>
      <c r="CPX981" s="343"/>
      <c r="CPY981" s="342"/>
      <c r="CPZ981" s="343"/>
      <c r="CQA981" s="342"/>
      <c r="CQB981" s="343"/>
      <c r="CQC981" s="342"/>
      <c r="CQD981" s="343"/>
      <c r="CQE981" s="342"/>
      <c r="CQF981" s="343"/>
      <c r="CQG981" s="342"/>
      <c r="CQH981" s="343"/>
      <c r="CQI981" s="342"/>
      <c r="CQJ981" s="343"/>
      <c r="CQK981" s="342"/>
      <c r="CQL981" s="343"/>
      <c r="CQM981" s="342"/>
      <c r="CQN981" s="343"/>
      <c r="CQO981" s="342"/>
      <c r="CQP981" s="343"/>
      <c r="CQQ981" s="342"/>
      <c r="CQR981" s="343"/>
      <c r="CQS981" s="342"/>
      <c r="CQT981" s="343"/>
      <c r="CQU981" s="342"/>
      <c r="CQV981" s="343"/>
      <c r="CQW981" s="342"/>
      <c r="CQX981" s="343"/>
      <c r="CQY981" s="342"/>
      <c r="CQZ981" s="343"/>
      <c r="CRA981" s="342"/>
      <c r="CRB981" s="343"/>
      <c r="CRC981" s="342"/>
      <c r="CRD981" s="343"/>
      <c r="CRE981" s="342"/>
      <c r="CRF981" s="343"/>
      <c r="CRG981" s="342"/>
      <c r="CRH981" s="343"/>
      <c r="CRI981" s="342"/>
      <c r="CRJ981" s="343"/>
      <c r="CRK981" s="342"/>
      <c r="CRL981" s="343"/>
      <c r="CRM981" s="342"/>
      <c r="CRN981" s="343"/>
      <c r="CRO981" s="342"/>
      <c r="CRP981" s="343"/>
      <c r="CRQ981" s="342"/>
      <c r="CRR981" s="343"/>
      <c r="CRS981" s="342"/>
      <c r="CRT981" s="343"/>
      <c r="CRU981" s="342"/>
      <c r="CRV981" s="343"/>
      <c r="CRW981" s="342"/>
      <c r="CRX981" s="343"/>
      <c r="CRY981" s="342"/>
      <c r="CRZ981" s="343"/>
      <c r="CSA981" s="342"/>
      <c r="CSB981" s="343"/>
      <c r="CSC981" s="342"/>
      <c r="CSD981" s="343"/>
      <c r="CSE981" s="342"/>
      <c r="CSF981" s="343"/>
      <c r="CSG981" s="342"/>
      <c r="CSH981" s="343"/>
      <c r="CSI981" s="342"/>
      <c r="CSJ981" s="343"/>
      <c r="CSK981" s="342"/>
      <c r="CSL981" s="343"/>
      <c r="CSM981" s="342"/>
      <c r="CSN981" s="343"/>
      <c r="CSO981" s="342"/>
      <c r="CSP981" s="343"/>
      <c r="CSQ981" s="342"/>
      <c r="CSR981" s="343"/>
      <c r="CSS981" s="342"/>
      <c r="CST981" s="343"/>
      <c r="CSU981" s="342"/>
      <c r="CSV981" s="343"/>
      <c r="CSW981" s="342"/>
      <c r="CSX981" s="343"/>
      <c r="CSY981" s="342"/>
      <c r="CSZ981" s="343"/>
      <c r="CTA981" s="342"/>
      <c r="CTB981" s="343"/>
      <c r="CTC981" s="342"/>
      <c r="CTD981" s="343"/>
      <c r="CTE981" s="342"/>
      <c r="CTF981" s="343"/>
      <c r="CTG981" s="342"/>
      <c r="CTH981" s="343"/>
      <c r="CTI981" s="342"/>
      <c r="CTJ981" s="343"/>
      <c r="CTK981" s="342"/>
      <c r="CTL981" s="343"/>
      <c r="CTM981" s="342"/>
      <c r="CTN981" s="343"/>
      <c r="CTO981" s="342"/>
      <c r="CTP981" s="343"/>
      <c r="CTQ981" s="342"/>
      <c r="CTR981" s="343"/>
      <c r="CTS981" s="342"/>
      <c r="CTT981" s="343"/>
      <c r="CTU981" s="342"/>
      <c r="CTV981" s="343"/>
      <c r="CTW981" s="342"/>
      <c r="CTX981" s="343"/>
      <c r="CTY981" s="342"/>
      <c r="CTZ981" s="343"/>
      <c r="CUA981" s="342"/>
      <c r="CUB981" s="343"/>
      <c r="CUC981" s="342"/>
      <c r="CUD981" s="343"/>
      <c r="CUE981" s="342"/>
      <c r="CUF981" s="343"/>
      <c r="CUG981" s="342"/>
      <c r="CUH981" s="343"/>
      <c r="CUI981" s="342"/>
      <c r="CUJ981" s="343"/>
      <c r="CUK981" s="342"/>
      <c r="CUL981" s="343"/>
      <c r="CUM981" s="342"/>
      <c r="CUN981" s="343"/>
      <c r="CUO981" s="342"/>
      <c r="CUP981" s="343"/>
      <c r="CUQ981" s="342"/>
      <c r="CUR981" s="343"/>
      <c r="CUS981" s="342"/>
      <c r="CUT981" s="343"/>
      <c r="CUU981" s="342"/>
      <c r="CUV981" s="343"/>
      <c r="CUW981" s="342"/>
      <c r="CUX981" s="343"/>
      <c r="CUY981" s="342"/>
      <c r="CUZ981" s="343"/>
      <c r="CVA981" s="342"/>
      <c r="CVB981" s="343"/>
      <c r="CVC981" s="342"/>
      <c r="CVD981" s="343"/>
      <c r="CVE981" s="342"/>
      <c r="CVF981" s="343"/>
      <c r="CVG981" s="342"/>
      <c r="CVH981" s="343"/>
      <c r="CVI981" s="342"/>
      <c r="CVJ981" s="343"/>
      <c r="CVK981" s="342"/>
      <c r="CVL981" s="343"/>
      <c r="CVM981" s="342"/>
      <c r="CVN981" s="343"/>
      <c r="CVO981" s="342"/>
      <c r="CVP981" s="343"/>
      <c r="CVQ981" s="342"/>
      <c r="CVR981" s="343"/>
      <c r="CVS981" s="342"/>
      <c r="CVT981" s="343"/>
      <c r="CVU981" s="342"/>
      <c r="CVV981" s="343"/>
      <c r="CVW981" s="342"/>
      <c r="CVX981" s="343"/>
      <c r="CVY981" s="342"/>
      <c r="CVZ981" s="343"/>
      <c r="CWA981" s="342"/>
      <c r="CWB981" s="343"/>
      <c r="CWC981" s="342"/>
      <c r="CWD981" s="343"/>
      <c r="CWE981" s="342"/>
      <c r="CWF981" s="343"/>
      <c r="CWG981" s="342"/>
      <c r="CWH981" s="343"/>
      <c r="CWI981" s="342"/>
      <c r="CWJ981" s="343"/>
      <c r="CWK981" s="342"/>
      <c r="CWL981" s="343"/>
      <c r="CWM981" s="342"/>
      <c r="CWN981" s="343"/>
      <c r="CWO981" s="342"/>
      <c r="CWP981" s="343"/>
      <c r="CWQ981" s="342"/>
      <c r="CWR981" s="343"/>
      <c r="CWS981" s="342"/>
      <c r="CWT981" s="343"/>
      <c r="CWU981" s="342"/>
      <c r="CWV981" s="343"/>
      <c r="CWW981" s="342"/>
      <c r="CWX981" s="343"/>
      <c r="CWY981" s="342"/>
      <c r="CWZ981" s="343"/>
      <c r="CXA981" s="342"/>
      <c r="CXB981" s="343"/>
      <c r="CXC981" s="342"/>
      <c r="CXD981" s="343"/>
      <c r="CXE981" s="342"/>
      <c r="CXF981" s="343"/>
      <c r="CXG981" s="342"/>
      <c r="CXH981" s="343"/>
      <c r="CXI981" s="342"/>
      <c r="CXJ981" s="343"/>
      <c r="CXK981" s="342"/>
      <c r="CXL981" s="343"/>
      <c r="CXM981" s="342"/>
      <c r="CXN981" s="343"/>
      <c r="CXO981" s="342"/>
      <c r="CXP981" s="343"/>
      <c r="CXQ981" s="342"/>
      <c r="CXR981" s="343"/>
      <c r="CXS981" s="342"/>
      <c r="CXT981" s="343"/>
      <c r="CXU981" s="342"/>
      <c r="CXV981" s="343"/>
      <c r="CXW981" s="342"/>
      <c r="CXX981" s="343"/>
      <c r="CXY981" s="342"/>
      <c r="CXZ981" s="343"/>
      <c r="CYA981" s="342"/>
      <c r="CYB981" s="343"/>
      <c r="CYC981" s="342"/>
      <c r="CYD981" s="343"/>
      <c r="CYE981" s="342"/>
      <c r="CYF981" s="343"/>
      <c r="CYG981" s="342"/>
      <c r="CYH981" s="343"/>
      <c r="CYI981" s="342"/>
      <c r="CYJ981" s="343"/>
      <c r="CYK981" s="342"/>
      <c r="CYL981" s="343"/>
      <c r="CYM981" s="342"/>
      <c r="CYN981" s="343"/>
      <c r="CYO981" s="342"/>
      <c r="CYP981" s="343"/>
      <c r="CYQ981" s="342"/>
      <c r="CYR981" s="343"/>
      <c r="CYS981" s="342"/>
      <c r="CYT981" s="343"/>
      <c r="CYU981" s="342"/>
      <c r="CYV981" s="343"/>
      <c r="CYW981" s="342"/>
      <c r="CYX981" s="343"/>
      <c r="CYY981" s="342"/>
      <c r="CYZ981" s="343"/>
      <c r="CZA981" s="342"/>
      <c r="CZB981" s="343"/>
      <c r="CZC981" s="342"/>
      <c r="CZD981" s="343"/>
      <c r="CZE981" s="342"/>
      <c r="CZF981" s="343"/>
      <c r="CZG981" s="342"/>
      <c r="CZH981" s="343"/>
      <c r="CZI981" s="342"/>
      <c r="CZJ981" s="343"/>
      <c r="CZK981" s="342"/>
      <c r="CZL981" s="343"/>
      <c r="CZM981" s="342"/>
      <c r="CZN981" s="343"/>
      <c r="CZO981" s="342"/>
      <c r="CZP981" s="343"/>
      <c r="CZQ981" s="342"/>
      <c r="CZR981" s="343"/>
      <c r="CZS981" s="342"/>
      <c r="CZT981" s="343"/>
      <c r="CZU981" s="342"/>
      <c r="CZV981" s="343"/>
      <c r="CZW981" s="342"/>
      <c r="CZX981" s="343"/>
      <c r="CZY981" s="342"/>
      <c r="CZZ981" s="343"/>
      <c r="DAA981" s="342"/>
      <c r="DAB981" s="343"/>
      <c r="DAC981" s="342"/>
      <c r="DAD981" s="343"/>
      <c r="DAE981" s="342"/>
      <c r="DAF981" s="343"/>
      <c r="DAG981" s="342"/>
      <c r="DAH981" s="343"/>
      <c r="DAI981" s="342"/>
      <c r="DAJ981" s="343"/>
      <c r="DAK981" s="342"/>
      <c r="DAL981" s="343"/>
      <c r="DAM981" s="342"/>
      <c r="DAN981" s="343"/>
      <c r="DAO981" s="342"/>
      <c r="DAP981" s="343"/>
      <c r="DAQ981" s="342"/>
      <c r="DAR981" s="343"/>
      <c r="DAS981" s="342"/>
      <c r="DAT981" s="343"/>
      <c r="DAU981" s="342"/>
      <c r="DAV981" s="343"/>
      <c r="DAW981" s="342"/>
      <c r="DAX981" s="343"/>
      <c r="DAY981" s="342"/>
      <c r="DAZ981" s="343"/>
      <c r="DBA981" s="342"/>
      <c r="DBB981" s="343"/>
      <c r="DBC981" s="342"/>
      <c r="DBD981" s="343"/>
      <c r="DBE981" s="342"/>
      <c r="DBF981" s="343"/>
      <c r="DBG981" s="342"/>
      <c r="DBH981" s="343"/>
      <c r="DBI981" s="342"/>
      <c r="DBJ981" s="343"/>
      <c r="DBK981" s="342"/>
      <c r="DBL981" s="343"/>
      <c r="DBM981" s="342"/>
      <c r="DBN981" s="343"/>
      <c r="DBO981" s="342"/>
      <c r="DBP981" s="343"/>
      <c r="DBQ981" s="342"/>
      <c r="DBR981" s="343"/>
      <c r="DBS981" s="342"/>
      <c r="DBT981" s="343"/>
      <c r="DBU981" s="342"/>
      <c r="DBV981" s="343"/>
      <c r="DBW981" s="342"/>
      <c r="DBX981" s="343"/>
      <c r="DBY981" s="342"/>
      <c r="DBZ981" s="343"/>
      <c r="DCA981" s="342"/>
      <c r="DCB981" s="343"/>
      <c r="DCC981" s="342"/>
      <c r="DCD981" s="343"/>
      <c r="DCE981" s="342"/>
      <c r="DCF981" s="343"/>
      <c r="DCG981" s="342"/>
      <c r="DCH981" s="343"/>
      <c r="DCI981" s="342"/>
      <c r="DCJ981" s="343"/>
      <c r="DCK981" s="342"/>
      <c r="DCL981" s="343"/>
      <c r="DCM981" s="342"/>
      <c r="DCN981" s="343"/>
      <c r="DCO981" s="342"/>
      <c r="DCP981" s="343"/>
      <c r="DCQ981" s="342"/>
      <c r="DCR981" s="343"/>
      <c r="DCS981" s="342"/>
      <c r="DCT981" s="343"/>
      <c r="DCU981" s="342"/>
      <c r="DCV981" s="343"/>
      <c r="DCW981" s="342"/>
      <c r="DCX981" s="343"/>
      <c r="DCY981" s="342"/>
      <c r="DCZ981" s="343"/>
      <c r="DDA981" s="342"/>
      <c r="DDB981" s="343"/>
      <c r="DDC981" s="342"/>
      <c r="DDD981" s="343"/>
      <c r="DDE981" s="342"/>
      <c r="DDF981" s="343"/>
      <c r="DDG981" s="342"/>
      <c r="DDH981" s="343"/>
      <c r="DDI981" s="342"/>
      <c r="DDJ981" s="343"/>
      <c r="DDK981" s="342"/>
      <c r="DDL981" s="343"/>
      <c r="DDM981" s="342"/>
      <c r="DDN981" s="343"/>
      <c r="DDO981" s="342"/>
      <c r="DDP981" s="343"/>
      <c r="DDQ981" s="342"/>
      <c r="DDR981" s="343"/>
      <c r="DDS981" s="342"/>
      <c r="DDT981" s="343"/>
      <c r="DDU981" s="342"/>
      <c r="DDV981" s="343"/>
      <c r="DDW981" s="342"/>
      <c r="DDX981" s="343"/>
      <c r="DDY981" s="342"/>
      <c r="DDZ981" s="343"/>
      <c r="DEA981" s="342"/>
      <c r="DEB981" s="343"/>
      <c r="DEC981" s="342"/>
      <c r="DED981" s="343"/>
      <c r="DEE981" s="342"/>
      <c r="DEF981" s="343"/>
      <c r="DEG981" s="342"/>
      <c r="DEH981" s="343"/>
      <c r="DEI981" s="342"/>
      <c r="DEJ981" s="343"/>
      <c r="DEK981" s="342"/>
      <c r="DEL981" s="343"/>
      <c r="DEM981" s="342"/>
      <c r="DEN981" s="343"/>
      <c r="DEO981" s="342"/>
      <c r="DEP981" s="343"/>
      <c r="DEQ981" s="342"/>
      <c r="DER981" s="343"/>
      <c r="DES981" s="342"/>
      <c r="DET981" s="343"/>
      <c r="DEU981" s="342"/>
      <c r="DEV981" s="343"/>
      <c r="DEW981" s="342"/>
      <c r="DEX981" s="343"/>
      <c r="DEY981" s="342"/>
      <c r="DEZ981" s="343"/>
      <c r="DFA981" s="342"/>
      <c r="DFB981" s="343"/>
      <c r="DFC981" s="342"/>
      <c r="DFD981" s="343"/>
      <c r="DFE981" s="342"/>
      <c r="DFF981" s="343"/>
      <c r="DFG981" s="342"/>
      <c r="DFH981" s="343"/>
      <c r="DFI981" s="342"/>
      <c r="DFJ981" s="343"/>
      <c r="DFK981" s="342"/>
      <c r="DFL981" s="343"/>
      <c r="DFM981" s="342"/>
      <c r="DFN981" s="343"/>
      <c r="DFO981" s="342"/>
      <c r="DFP981" s="343"/>
      <c r="DFQ981" s="342"/>
      <c r="DFR981" s="343"/>
      <c r="DFS981" s="342"/>
      <c r="DFT981" s="343"/>
      <c r="DFU981" s="342"/>
      <c r="DFV981" s="343"/>
      <c r="DFW981" s="342"/>
      <c r="DFX981" s="343"/>
      <c r="DFY981" s="342"/>
      <c r="DFZ981" s="343"/>
      <c r="DGA981" s="342"/>
      <c r="DGB981" s="343"/>
      <c r="DGC981" s="342"/>
      <c r="DGD981" s="343"/>
      <c r="DGE981" s="342"/>
      <c r="DGF981" s="343"/>
      <c r="DGG981" s="342"/>
      <c r="DGH981" s="343"/>
      <c r="DGI981" s="342"/>
      <c r="DGJ981" s="343"/>
      <c r="DGK981" s="342"/>
      <c r="DGL981" s="343"/>
      <c r="DGM981" s="342"/>
      <c r="DGN981" s="343"/>
      <c r="DGO981" s="342"/>
      <c r="DGP981" s="343"/>
      <c r="DGQ981" s="342"/>
      <c r="DGR981" s="343"/>
      <c r="DGS981" s="342"/>
      <c r="DGT981" s="343"/>
      <c r="DGU981" s="342"/>
      <c r="DGV981" s="343"/>
      <c r="DGW981" s="342"/>
      <c r="DGX981" s="343"/>
      <c r="DGY981" s="342"/>
      <c r="DGZ981" s="343"/>
      <c r="DHA981" s="342"/>
      <c r="DHB981" s="343"/>
      <c r="DHC981" s="342"/>
      <c r="DHD981" s="343"/>
      <c r="DHE981" s="342"/>
      <c r="DHF981" s="343"/>
      <c r="DHG981" s="342"/>
      <c r="DHH981" s="343"/>
      <c r="DHI981" s="342"/>
      <c r="DHJ981" s="343"/>
      <c r="DHK981" s="342"/>
      <c r="DHL981" s="343"/>
      <c r="DHM981" s="342"/>
      <c r="DHN981" s="343"/>
      <c r="DHO981" s="342"/>
      <c r="DHP981" s="343"/>
      <c r="DHQ981" s="342"/>
      <c r="DHR981" s="343"/>
      <c r="DHS981" s="342"/>
      <c r="DHT981" s="343"/>
      <c r="DHU981" s="342"/>
      <c r="DHV981" s="343"/>
      <c r="DHW981" s="342"/>
      <c r="DHX981" s="343"/>
      <c r="DHY981" s="342"/>
      <c r="DHZ981" s="343"/>
      <c r="DIA981" s="342"/>
      <c r="DIB981" s="343"/>
      <c r="DIC981" s="342"/>
      <c r="DID981" s="343"/>
      <c r="DIE981" s="342"/>
      <c r="DIF981" s="343"/>
      <c r="DIG981" s="342"/>
      <c r="DIH981" s="343"/>
      <c r="DII981" s="342"/>
      <c r="DIJ981" s="343"/>
      <c r="DIK981" s="342"/>
      <c r="DIL981" s="343"/>
      <c r="DIM981" s="342"/>
      <c r="DIN981" s="343"/>
      <c r="DIO981" s="342"/>
      <c r="DIP981" s="343"/>
      <c r="DIQ981" s="342"/>
      <c r="DIR981" s="343"/>
      <c r="DIS981" s="342"/>
      <c r="DIT981" s="343"/>
      <c r="DIU981" s="342"/>
      <c r="DIV981" s="343"/>
      <c r="DIW981" s="342"/>
      <c r="DIX981" s="343"/>
      <c r="DIY981" s="342"/>
      <c r="DIZ981" s="343"/>
      <c r="DJA981" s="342"/>
      <c r="DJB981" s="343"/>
      <c r="DJC981" s="342"/>
      <c r="DJD981" s="343"/>
      <c r="DJE981" s="342"/>
      <c r="DJF981" s="343"/>
      <c r="DJG981" s="342"/>
      <c r="DJH981" s="343"/>
      <c r="DJI981" s="342"/>
      <c r="DJJ981" s="343"/>
      <c r="DJK981" s="342"/>
      <c r="DJL981" s="343"/>
      <c r="DJM981" s="342"/>
      <c r="DJN981" s="343"/>
      <c r="DJO981" s="342"/>
      <c r="DJP981" s="343"/>
      <c r="DJQ981" s="342"/>
      <c r="DJR981" s="343"/>
      <c r="DJS981" s="342"/>
      <c r="DJT981" s="343"/>
      <c r="DJU981" s="342"/>
      <c r="DJV981" s="343"/>
      <c r="DJW981" s="342"/>
      <c r="DJX981" s="343"/>
      <c r="DJY981" s="342"/>
      <c r="DJZ981" s="343"/>
      <c r="DKA981" s="342"/>
      <c r="DKB981" s="343"/>
      <c r="DKC981" s="342"/>
      <c r="DKD981" s="343"/>
      <c r="DKE981" s="342"/>
      <c r="DKF981" s="343"/>
      <c r="DKG981" s="342"/>
      <c r="DKH981" s="343"/>
      <c r="DKI981" s="342"/>
      <c r="DKJ981" s="343"/>
      <c r="DKK981" s="342"/>
      <c r="DKL981" s="343"/>
      <c r="DKM981" s="342"/>
      <c r="DKN981" s="343"/>
      <c r="DKO981" s="342"/>
      <c r="DKP981" s="343"/>
      <c r="DKQ981" s="342"/>
      <c r="DKR981" s="343"/>
      <c r="DKS981" s="342"/>
      <c r="DKT981" s="343"/>
      <c r="DKU981" s="342"/>
      <c r="DKV981" s="343"/>
      <c r="DKW981" s="342"/>
      <c r="DKX981" s="343"/>
      <c r="DKY981" s="342"/>
      <c r="DKZ981" s="343"/>
      <c r="DLA981" s="342"/>
      <c r="DLB981" s="343"/>
      <c r="DLC981" s="342"/>
      <c r="DLD981" s="343"/>
      <c r="DLE981" s="342"/>
      <c r="DLF981" s="343"/>
      <c r="DLG981" s="342"/>
      <c r="DLH981" s="343"/>
      <c r="DLI981" s="342"/>
      <c r="DLJ981" s="343"/>
      <c r="DLK981" s="342"/>
      <c r="DLL981" s="343"/>
      <c r="DLM981" s="342"/>
      <c r="DLN981" s="343"/>
      <c r="DLO981" s="342"/>
      <c r="DLP981" s="343"/>
      <c r="DLQ981" s="342"/>
      <c r="DLR981" s="343"/>
      <c r="DLS981" s="342"/>
      <c r="DLT981" s="343"/>
      <c r="DLU981" s="342"/>
      <c r="DLV981" s="343"/>
      <c r="DLW981" s="342"/>
      <c r="DLX981" s="343"/>
      <c r="DLY981" s="342"/>
      <c r="DLZ981" s="343"/>
      <c r="DMA981" s="342"/>
      <c r="DMB981" s="343"/>
      <c r="DMC981" s="342"/>
      <c r="DMD981" s="343"/>
      <c r="DME981" s="342"/>
      <c r="DMF981" s="343"/>
      <c r="DMG981" s="342"/>
      <c r="DMH981" s="343"/>
      <c r="DMI981" s="342"/>
      <c r="DMJ981" s="343"/>
      <c r="DMK981" s="342"/>
      <c r="DML981" s="343"/>
      <c r="DMM981" s="342"/>
      <c r="DMN981" s="343"/>
      <c r="DMO981" s="342"/>
      <c r="DMP981" s="343"/>
      <c r="DMQ981" s="342"/>
      <c r="DMR981" s="343"/>
      <c r="DMS981" s="342"/>
      <c r="DMT981" s="343"/>
      <c r="DMU981" s="342"/>
      <c r="DMV981" s="343"/>
      <c r="DMW981" s="342"/>
      <c r="DMX981" s="343"/>
      <c r="DMY981" s="342"/>
      <c r="DMZ981" s="343"/>
      <c r="DNA981" s="342"/>
      <c r="DNB981" s="343"/>
      <c r="DNC981" s="342"/>
      <c r="DND981" s="343"/>
      <c r="DNE981" s="342"/>
      <c r="DNF981" s="343"/>
      <c r="DNG981" s="342"/>
      <c r="DNH981" s="343"/>
      <c r="DNI981" s="342"/>
      <c r="DNJ981" s="343"/>
      <c r="DNK981" s="342"/>
      <c r="DNL981" s="343"/>
      <c r="DNM981" s="342"/>
      <c r="DNN981" s="343"/>
      <c r="DNO981" s="342"/>
      <c r="DNP981" s="343"/>
      <c r="DNQ981" s="342"/>
      <c r="DNR981" s="343"/>
      <c r="DNS981" s="342"/>
      <c r="DNT981" s="343"/>
      <c r="DNU981" s="342"/>
      <c r="DNV981" s="343"/>
      <c r="DNW981" s="342"/>
      <c r="DNX981" s="343"/>
      <c r="DNY981" s="342"/>
      <c r="DNZ981" s="343"/>
      <c r="DOA981" s="342"/>
      <c r="DOB981" s="343"/>
      <c r="DOC981" s="342"/>
      <c r="DOD981" s="343"/>
      <c r="DOE981" s="342"/>
      <c r="DOF981" s="343"/>
      <c r="DOG981" s="342"/>
      <c r="DOH981" s="343"/>
      <c r="DOI981" s="342"/>
      <c r="DOJ981" s="343"/>
      <c r="DOK981" s="342"/>
      <c r="DOL981" s="343"/>
      <c r="DOM981" s="342"/>
      <c r="DON981" s="343"/>
      <c r="DOO981" s="342"/>
      <c r="DOP981" s="343"/>
      <c r="DOQ981" s="342"/>
      <c r="DOR981" s="343"/>
      <c r="DOS981" s="342"/>
      <c r="DOT981" s="343"/>
      <c r="DOU981" s="342"/>
      <c r="DOV981" s="343"/>
      <c r="DOW981" s="342"/>
      <c r="DOX981" s="343"/>
      <c r="DOY981" s="342"/>
      <c r="DOZ981" s="343"/>
      <c r="DPA981" s="342"/>
      <c r="DPB981" s="343"/>
      <c r="DPC981" s="342"/>
      <c r="DPD981" s="343"/>
      <c r="DPE981" s="342"/>
      <c r="DPF981" s="343"/>
      <c r="DPG981" s="342"/>
      <c r="DPH981" s="343"/>
      <c r="DPI981" s="342"/>
      <c r="DPJ981" s="343"/>
      <c r="DPK981" s="342"/>
      <c r="DPL981" s="343"/>
      <c r="DPM981" s="342"/>
      <c r="DPN981" s="343"/>
      <c r="DPO981" s="342"/>
      <c r="DPP981" s="343"/>
      <c r="DPQ981" s="342"/>
      <c r="DPR981" s="343"/>
      <c r="DPS981" s="342"/>
      <c r="DPT981" s="343"/>
      <c r="DPU981" s="342"/>
      <c r="DPV981" s="343"/>
      <c r="DPW981" s="342"/>
      <c r="DPX981" s="343"/>
      <c r="DPY981" s="342"/>
      <c r="DPZ981" s="343"/>
      <c r="DQA981" s="342"/>
      <c r="DQB981" s="343"/>
      <c r="DQC981" s="342"/>
      <c r="DQD981" s="343"/>
      <c r="DQE981" s="342"/>
      <c r="DQF981" s="343"/>
      <c r="DQG981" s="342"/>
      <c r="DQH981" s="343"/>
      <c r="DQI981" s="342"/>
      <c r="DQJ981" s="343"/>
      <c r="DQK981" s="342"/>
      <c r="DQL981" s="343"/>
      <c r="DQM981" s="342"/>
      <c r="DQN981" s="343"/>
      <c r="DQO981" s="342"/>
      <c r="DQP981" s="343"/>
      <c r="DQQ981" s="342"/>
      <c r="DQR981" s="343"/>
      <c r="DQS981" s="342"/>
      <c r="DQT981" s="343"/>
      <c r="DQU981" s="342"/>
      <c r="DQV981" s="343"/>
      <c r="DQW981" s="342"/>
      <c r="DQX981" s="343"/>
      <c r="DQY981" s="342"/>
      <c r="DQZ981" s="343"/>
      <c r="DRA981" s="342"/>
      <c r="DRB981" s="343"/>
      <c r="DRC981" s="342"/>
      <c r="DRD981" s="343"/>
      <c r="DRE981" s="342"/>
      <c r="DRF981" s="343"/>
      <c r="DRG981" s="342"/>
      <c r="DRH981" s="343"/>
      <c r="DRI981" s="342"/>
      <c r="DRJ981" s="343"/>
      <c r="DRK981" s="342"/>
      <c r="DRL981" s="343"/>
      <c r="DRM981" s="342"/>
      <c r="DRN981" s="343"/>
      <c r="DRO981" s="342"/>
      <c r="DRP981" s="343"/>
      <c r="DRQ981" s="342"/>
      <c r="DRR981" s="343"/>
      <c r="DRS981" s="342"/>
      <c r="DRT981" s="343"/>
      <c r="DRU981" s="342"/>
      <c r="DRV981" s="343"/>
      <c r="DRW981" s="342"/>
      <c r="DRX981" s="343"/>
      <c r="DRY981" s="342"/>
      <c r="DRZ981" s="343"/>
      <c r="DSA981" s="342"/>
      <c r="DSB981" s="343"/>
      <c r="DSC981" s="342"/>
      <c r="DSD981" s="343"/>
      <c r="DSE981" s="342"/>
      <c r="DSF981" s="343"/>
      <c r="DSG981" s="342"/>
      <c r="DSH981" s="343"/>
      <c r="DSI981" s="342"/>
      <c r="DSJ981" s="343"/>
      <c r="DSK981" s="342"/>
      <c r="DSL981" s="343"/>
      <c r="DSM981" s="342"/>
      <c r="DSN981" s="343"/>
      <c r="DSO981" s="342"/>
      <c r="DSP981" s="343"/>
      <c r="DSQ981" s="342"/>
      <c r="DSR981" s="343"/>
      <c r="DSS981" s="342"/>
      <c r="DST981" s="343"/>
      <c r="DSU981" s="342"/>
      <c r="DSV981" s="343"/>
      <c r="DSW981" s="342"/>
      <c r="DSX981" s="343"/>
      <c r="DSY981" s="342"/>
      <c r="DSZ981" s="343"/>
      <c r="DTA981" s="342"/>
      <c r="DTB981" s="343"/>
      <c r="DTC981" s="342"/>
      <c r="DTD981" s="343"/>
      <c r="DTE981" s="342"/>
      <c r="DTF981" s="343"/>
      <c r="DTG981" s="342"/>
      <c r="DTH981" s="343"/>
      <c r="DTI981" s="342"/>
      <c r="DTJ981" s="343"/>
      <c r="DTK981" s="342"/>
      <c r="DTL981" s="343"/>
      <c r="DTM981" s="342"/>
      <c r="DTN981" s="343"/>
      <c r="DTO981" s="342"/>
      <c r="DTP981" s="343"/>
      <c r="DTQ981" s="342"/>
      <c r="DTR981" s="343"/>
      <c r="DTS981" s="342"/>
      <c r="DTT981" s="343"/>
      <c r="DTU981" s="342"/>
      <c r="DTV981" s="343"/>
      <c r="DTW981" s="342"/>
      <c r="DTX981" s="343"/>
      <c r="DTY981" s="342"/>
      <c r="DTZ981" s="343"/>
      <c r="DUA981" s="342"/>
      <c r="DUB981" s="343"/>
      <c r="DUC981" s="342"/>
      <c r="DUD981" s="343"/>
      <c r="DUE981" s="342"/>
      <c r="DUF981" s="343"/>
      <c r="DUG981" s="342"/>
      <c r="DUH981" s="343"/>
      <c r="DUI981" s="342"/>
      <c r="DUJ981" s="343"/>
      <c r="DUK981" s="342"/>
      <c r="DUL981" s="343"/>
      <c r="DUM981" s="342"/>
      <c r="DUN981" s="343"/>
      <c r="DUO981" s="342"/>
      <c r="DUP981" s="343"/>
      <c r="DUQ981" s="342"/>
      <c r="DUR981" s="343"/>
      <c r="DUS981" s="342"/>
      <c r="DUT981" s="343"/>
      <c r="DUU981" s="342"/>
      <c r="DUV981" s="343"/>
      <c r="DUW981" s="342"/>
      <c r="DUX981" s="343"/>
      <c r="DUY981" s="342"/>
      <c r="DUZ981" s="343"/>
      <c r="DVA981" s="342"/>
      <c r="DVB981" s="343"/>
      <c r="DVC981" s="342"/>
      <c r="DVD981" s="343"/>
      <c r="DVE981" s="342"/>
      <c r="DVF981" s="343"/>
      <c r="DVG981" s="342"/>
      <c r="DVH981" s="343"/>
      <c r="DVI981" s="342"/>
      <c r="DVJ981" s="343"/>
      <c r="DVK981" s="342"/>
      <c r="DVL981" s="343"/>
      <c r="DVM981" s="342"/>
      <c r="DVN981" s="343"/>
      <c r="DVO981" s="342"/>
      <c r="DVP981" s="343"/>
      <c r="DVQ981" s="342"/>
      <c r="DVR981" s="343"/>
      <c r="DVS981" s="342"/>
      <c r="DVT981" s="343"/>
      <c r="DVU981" s="342"/>
      <c r="DVV981" s="343"/>
      <c r="DVW981" s="342"/>
      <c r="DVX981" s="343"/>
      <c r="DVY981" s="342"/>
      <c r="DVZ981" s="343"/>
      <c r="DWA981" s="342"/>
      <c r="DWB981" s="343"/>
      <c r="DWC981" s="342"/>
      <c r="DWD981" s="343"/>
      <c r="DWE981" s="342"/>
      <c r="DWF981" s="343"/>
      <c r="DWG981" s="342"/>
      <c r="DWH981" s="343"/>
      <c r="DWI981" s="342"/>
      <c r="DWJ981" s="343"/>
      <c r="DWK981" s="342"/>
      <c r="DWL981" s="343"/>
      <c r="DWM981" s="342"/>
      <c r="DWN981" s="343"/>
      <c r="DWO981" s="342"/>
      <c r="DWP981" s="343"/>
      <c r="DWQ981" s="342"/>
      <c r="DWR981" s="343"/>
      <c r="DWS981" s="342"/>
      <c r="DWT981" s="343"/>
      <c r="DWU981" s="342"/>
      <c r="DWV981" s="343"/>
      <c r="DWW981" s="342"/>
      <c r="DWX981" s="343"/>
      <c r="DWY981" s="342"/>
      <c r="DWZ981" s="343"/>
      <c r="DXA981" s="342"/>
      <c r="DXB981" s="343"/>
      <c r="DXC981" s="342"/>
      <c r="DXD981" s="343"/>
      <c r="DXE981" s="342"/>
      <c r="DXF981" s="343"/>
      <c r="DXG981" s="342"/>
      <c r="DXH981" s="343"/>
      <c r="DXI981" s="342"/>
      <c r="DXJ981" s="343"/>
      <c r="DXK981" s="342"/>
      <c r="DXL981" s="343"/>
      <c r="DXM981" s="342"/>
      <c r="DXN981" s="343"/>
      <c r="DXO981" s="342"/>
      <c r="DXP981" s="343"/>
      <c r="DXQ981" s="342"/>
      <c r="DXR981" s="343"/>
      <c r="DXS981" s="342"/>
      <c r="DXT981" s="343"/>
      <c r="DXU981" s="342"/>
      <c r="DXV981" s="343"/>
      <c r="DXW981" s="342"/>
      <c r="DXX981" s="343"/>
      <c r="DXY981" s="342"/>
      <c r="DXZ981" s="343"/>
      <c r="DYA981" s="342"/>
      <c r="DYB981" s="343"/>
      <c r="DYC981" s="342"/>
      <c r="DYD981" s="343"/>
      <c r="DYE981" s="342"/>
      <c r="DYF981" s="343"/>
      <c r="DYG981" s="342"/>
      <c r="DYH981" s="343"/>
      <c r="DYI981" s="342"/>
      <c r="DYJ981" s="343"/>
      <c r="DYK981" s="342"/>
      <c r="DYL981" s="343"/>
      <c r="DYM981" s="342"/>
      <c r="DYN981" s="343"/>
      <c r="DYO981" s="342"/>
      <c r="DYP981" s="343"/>
      <c r="DYQ981" s="342"/>
      <c r="DYR981" s="343"/>
      <c r="DYS981" s="342"/>
      <c r="DYT981" s="343"/>
      <c r="DYU981" s="342"/>
      <c r="DYV981" s="343"/>
      <c r="DYW981" s="342"/>
      <c r="DYX981" s="343"/>
      <c r="DYY981" s="342"/>
      <c r="DYZ981" s="343"/>
      <c r="DZA981" s="342"/>
      <c r="DZB981" s="343"/>
      <c r="DZC981" s="342"/>
      <c r="DZD981" s="343"/>
      <c r="DZE981" s="342"/>
      <c r="DZF981" s="343"/>
      <c r="DZG981" s="342"/>
      <c r="DZH981" s="343"/>
      <c r="DZI981" s="342"/>
      <c r="DZJ981" s="343"/>
      <c r="DZK981" s="342"/>
      <c r="DZL981" s="343"/>
      <c r="DZM981" s="342"/>
      <c r="DZN981" s="343"/>
      <c r="DZO981" s="342"/>
      <c r="DZP981" s="343"/>
      <c r="DZQ981" s="342"/>
      <c r="DZR981" s="343"/>
      <c r="DZS981" s="342"/>
      <c r="DZT981" s="343"/>
      <c r="DZU981" s="342"/>
      <c r="DZV981" s="343"/>
      <c r="DZW981" s="342"/>
      <c r="DZX981" s="343"/>
      <c r="DZY981" s="342"/>
      <c r="DZZ981" s="343"/>
      <c r="EAA981" s="342"/>
      <c r="EAB981" s="343"/>
      <c r="EAC981" s="342"/>
      <c r="EAD981" s="343"/>
      <c r="EAE981" s="342"/>
      <c r="EAF981" s="343"/>
      <c r="EAG981" s="342"/>
      <c r="EAH981" s="343"/>
      <c r="EAI981" s="342"/>
      <c r="EAJ981" s="343"/>
      <c r="EAK981" s="342"/>
      <c r="EAL981" s="343"/>
      <c r="EAM981" s="342"/>
      <c r="EAN981" s="343"/>
      <c r="EAO981" s="342"/>
      <c r="EAP981" s="343"/>
      <c r="EAQ981" s="342"/>
      <c r="EAR981" s="343"/>
      <c r="EAS981" s="342"/>
      <c r="EAT981" s="343"/>
      <c r="EAU981" s="342"/>
      <c r="EAV981" s="343"/>
      <c r="EAW981" s="342"/>
      <c r="EAX981" s="343"/>
      <c r="EAY981" s="342"/>
      <c r="EAZ981" s="343"/>
      <c r="EBA981" s="342"/>
      <c r="EBB981" s="343"/>
      <c r="EBC981" s="342"/>
      <c r="EBD981" s="343"/>
      <c r="EBE981" s="342"/>
      <c r="EBF981" s="343"/>
      <c r="EBG981" s="342"/>
      <c r="EBH981" s="343"/>
      <c r="EBI981" s="342"/>
      <c r="EBJ981" s="343"/>
      <c r="EBK981" s="342"/>
      <c r="EBL981" s="343"/>
      <c r="EBM981" s="342"/>
      <c r="EBN981" s="343"/>
      <c r="EBO981" s="342"/>
      <c r="EBP981" s="343"/>
      <c r="EBQ981" s="342"/>
      <c r="EBR981" s="343"/>
      <c r="EBS981" s="342"/>
      <c r="EBT981" s="343"/>
      <c r="EBU981" s="342"/>
      <c r="EBV981" s="343"/>
      <c r="EBW981" s="342"/>
      <c r="EBX981" s="343"/>
      <c r="EBY981" s="342"/>
      <c r="EBZ981" s="343"/>
      <c r="ECA981" s="342"/>
      <c r="ECB981" s="343"/>
      <c r="ECC981" s="342"/>
      <c r="ECD981" s="343"/>
      <c r="ECE981" s="342"/>
      <c r="ECF981" s="343"/>
      <c r="ECG981" s="342"/>
      <c r="ECH981" s="343"/>
      <c r="ECI981" s="342"/>
      <c r="ECJ981" s="343"/>
      <c r="ECK981" s="342"/>
      <c r="ECL981" s="343"/>
      <c r="ECM981" s="342"/>
      <c r="ECN981" s="343"/>
      <c r="ECO981" s="342"/>
      <c r="ECP981" s="343"/>
      <c r="ECQ981" s="342"/>
      <c r="ECR981" s="343"/>
      <c r="ECS981" s="342"/>
      <c r="ECT981" s="343"/>
      <c r="ECU981" s="342"/>
      <c r="ECV981" s="343"/>
      <c r="ECW981" s="342"/>
      <c r="ECX981" s="343"/>
      <c r="ECY981" s="342"/>
      <c r="ECZ981" s="343"/>
      <c r="EDA981" s="342"/>
      <c r="EDB981" s="343"/>
      <c r="EDC981" s="342"/>
      <c r="EDD981" s="343"/>
      <c r="EDE981" s="342"/>
      <c r="EDF981" s="343"/>
      <c r="EDG981" s="342"/>
      <c r="EDH981" s="343"/>
      <c r="EDI981" s="342"/>
      <c r="EDJ981" s="343"/>
      <c r="EDK981" s="342"/>
      <c r="EDL981" s="343"/>
      <c r="EDM981" s="342"/>
      <c r="EDN981" s="343"/>
      <c r="EDO981" s="342"/>
      <c r="EDP981" s="343"/>
      <c r="EDQ981" s="342"/>
      <c r="EDR981" s="343"/>
      <c r="EDS981" s="342"/>
      <c r="EDT981" s="343"/>
      <c r="EDU981" s="342"/>
      <c r="EDV981" s="343"/>
      <c r="EDW981" s="342"/>
      <c r="EDX981" s="343"/>
      <c r="EDY981" s="342"/>
      <c r="EDZ981" s="343"/>
      <c r="EEA981" s="342"/>
      <c r="EEB981" s="343"/>
      <c r="EEC981" s="342"/>
      <c r="EED981" s="343"/>
      <c r="EEE981" s="342"/>
      <c r="EEF981" s="343"/>
      <c r="EEG981" s="342"/>
      <c r="EEH981" s="343"/>
      <c r="EEI981" s="342"/>
      <c r="EEJ981" s="343"/>
      <c r="EEK981" s="342"/>
      <c r="EEL981" s="343"/>
      <c r="EEM981" s="342"/>
      <c r="EEN981" s="343"/>
      <c r="EEO981" s="342"/>
      <c r="EEP981" s="343"/>
      <c r="EEQ981" s="342"/>
      <c r="EER981" s="343"/>
      <c r="EES981" s="342"/>
      <c r="EET981" s="343"/>
      <c r="EEU981" s="342"/>
      <c r="EEV981" s="343"/>
      <c r="EEW981" s="342"/>
      <c r="EEX981" s="343"/>
      <c r="EEY981" s="342"/>
      <c r="EEZ981" s="343"/>
      <c r="EFA981" s="342"/>
      <c r="EFB981" s="343"/>
      <c r="EFC981" s="342"/>
      <c r="EFD981" s="343"/>
      <c r="EFE981" s="342"/>
      <c r="EFF981" s="343"/>
      <c r="EFG981" s="342"/>
      <c r="EFH981" s="343"/>
      <c r="EFI981" s="342"/>
      <c r="EFJ981" s="343"/>
      <c r="EFK981" s="342"/>
      <c r="EFL981" s="343"/>
      <c r="EFM981" s="342"/>
      <c r="EFN981" s="343"/>
      <c r="EFO981" s="342"/>
      <c r="EFP981" s="343"/>
      <c r="EFQ981" s="342"/>
      <c r="EFR981" s="343"/>
      <c r="EFS981" s="342"/>
      <c r="EFT981" s="343"/>
      <c r="EFU981" s="342"/>
      <c r="EFV981" s="343"/>
      <c r="EFW981" s="342"/>
      <c r="EFX981" s="343"/>
      <c r="EFY981" s="342"/>
      <c r="EFZ981" s="343"/>
      <c r="EGA981" s="342"/>
      <c r="EGB981" s="343"/>
      <c r="EGC981" s="342"/>
      <c r="EGD981" s="343"/>
      <c r="EGE981" s="342"/>
      <c r="EGF981" s="343"/>
      <c r="EGG981" s="342"/>
      <c r="EGH981" s="343"/>
      <c r="EGI981" s="342"/>
      <c r="EGJ981" s="343"/>
      <c r="EGK981" s="342"/>
      <c r="EGL981" s="343"/>
      <c r="EGM981" s="342"/>
      <c r="EGN981" s="343"/>
      <c r="EGO981" s="342"/>
      <c r="EGP981" s="343"/>
      <c r="EGQ981" s="342"/>
      <c r="EGR981" s="343"/>
      <c r="EGS981" s="342"/>
      <c r="EGT981" s="343"/>
      <c r="EGU981" s="342"/>
      <c r="EGV981" s="343"/>
      <c r="EGW981" s="342"/>
      <c r="EGX981" s="343"/>
      <c r="EGY981" s="342"/>
      <c r="EGZ981" s="343"/>
      <c r="EHA981" s="342"/>
      <c r="EHB981" s="343"/>
      <c r="EHC981" s="342"/>
      <c r="EHD981" s="343"/>
      <c r="EHE981" s="342"/>
      <c r="EHF981" s="343"/>
      <c r="EHG981" s="342"/>
      <c r="EHH981" s="343"/>
      <c r="EHI981" s="342"/>
      <c r="EHJ981" s="343"/>
      <c r="EHK981" s="342"/>
      <c r="EHL981" s="343"/>
      <c r="EHM981" s="342"/>
      <c r="EHN981" s="343"/>
      <c r="EHO981" s="342"/>
      <c r="EHP981" s="343"/>
      <c r="EHQ981" s="342"/>
      <c r="EHR981" s="343"/>
      <c r="EHS981" s="342"/>
      <c r="EHT981" s="343"/>
      <c r="EHU981" s="342"/>
      <c r="EHV981" s="343"/>
      <c r="EHW981" s="342"/>
      <c r="EHX981" s="343"/>
      <c r="EHY981" s="342"/>
      <c r="EHZ981" s="343"/>
      <c r="EIA981" s="342"/>
      <c r="EIB981" s="343"/>
      <c r="EIC981" s="342"/>
      <c r="EID981" s="343"/>
      <c r="EIE981" s="342"/>
      <c r="EIF981" s="343"/>
      <c r="EIG981" s="342"/>
      <c r="EIH981" s="343"/>
      <c r="EII981" s="342"/>
      <c r="EIJ981" s="343"/>
      <c r="EIK981" s="342"/>
      <c r="EIL981" s="343"/>
      <c r="EIM981" s="342"/>
      <c r="EIN981" s="343"/>
      <c r="EIO981" s="342"/>
      <c r="EIP981" s="343"/>
      <c r="EIQ981" s="342"/>
      <c r="EIR981" s="343"/>
      <c r="EIS981" s="342"/>
      <c r="EIT981" s="343"/>
      <c r="EIU981" s="342"/>
      <c r="EIV981" s="343"/>
      <c r="EIW981" s="342"/>
      <c r="EIX981" s="343"/>
      <c r="EIY981" s="342"/>
      <c r="EIZ981" s="343"/>
      <c r="EJA981" s="342"/>
      <c r="EJB981" s="343"/>
      <c r="EJC981" s="342"/>
      <c r="EJD981" s="343"/>
      <c r="EJE981" s="342"/>
      <c r="EJF981" s="343"/>
      <c r="EJG981" s="342"/>
      <c r="EJH981" s="343"/>
      <c r="EJI981" s="342"/>
      <c r="EJJ981" s="343"/>
      <c r="EJK981" s="342"/>
      <c r="EJL981" s="343"/>
      <c r="EJM981" s="342"/>
      <c r="EJN981" s="343"/>
      <c r="EJO981" s="342"/>
      <c r="EJP981" s="343"/>
      <c r="EJQ981" s="342"/>
      <c r="EJR981" s="343"/>
      <c r="EJS981" s="342"/>
      <c r="EJT981" s="343"/>
      <c r="EJU981" s="342"/>
      <c r="EJV981" s="343"/>
      <c r="EJW981" s="342"/>
      <c r="EJX981" s="343"/>
      <c r="EJY981" s="342"/>
      <c r="EJZ981" s="343"/>
      <c r="EKA981" s="342"/>
      <c r="EKB981" s="343"/>
      <c r="EKC981" s="342"/>
      <c r="EKD981" s="343"/>
      <c r="EKE981" s="342"/>
      <c r="EKF981" s="343"/>
      <c r="EKG981" s="342"/>
      <c r="EKH981" s="343"/>
      <c r="EKI981" s="342"/>
      <c r="EKJ981" s="343"/>
      <c r="EKK981" s="342"/>
      <c r="EKL981" s="343"/>
      <c r="EKM981" s="342"/>
      <c r="EKN981" s="343"/>
      <c r="EKO981" s="342"/>
      <c r="EKP981" s="343"/>
      <c r="EKQ981" s="342"/>
      <c r="EKR981" s="343"/>
      <c r="EKS981" s="342"/>
      <c r="EKT981" s="343"/>
      <c r="EKU981" s="342"/>
      <c r="EKV981" s="343"/>
      <c r="EKW981" s="342"/>
      <c r="EKX981" s="343"/>
      <c r="EKY981" s="342"/>
      <c r="EKZ981" s="343"/>
      <c r="ELA981" s="342"/>
      <c r="ELB981" s="343"/>
      <c r="ELC981" s="342"/>
      <c r="ELD981" s="343"/>
      <c r="ELE981" s="342"/>
      <c r="ELF981" s="343"/>
      <c r="ELG981" s="342"/>
      <c r="ELH981" s="343"/>
      <c r="ELI981" s="342"/>
      <c r="ELJ981" s="343"/>
      <c r="ELK981" s="342"/>
      <c r="ELL981" s="343"/>
      <c r="ELM981" s="342"/>
      <c r="ELN981" s="343"/>
      <c r="ELO981" s="342"/>
      <c r="ELP981" s="343"/>
      <c r="ELQ981" s="342"/>
      <c r="ELR981" s="343"/>
      <c r="ELS981" s="342"/>
      <c r="ELT981" s="343"/>
      <c r="ELU981" s="342"/>
      <c r="ELV981" s="343"/>
      <c r="ELW981" s="342"/>
      <c r="ELX981" s="343"/>
      <c r="ELY981" s="342"/>
      <c r="ELZ981" s="343"/>
      <c r="EMA981" s="342"/>
      <c r="EMB981" s="343"/>
      <c r="EMC981" s="342"/>
      <c r="EMD981" s="343"/>
      <c r="EME981" s="342"/>
      <c r="EMF981" s="343"/>
      <c r="EMG981" s="342"/>
      <c r="EMH981" s="343"/>
      <c r="EMI981" s="342"/>
      <c r="EMJ981" s="343"/>
      <c r="EMK981" s="342"/>
      <c r="EML981" s="343"/>
      <c r="EMM981" s="342"/>
      <c r="EMN981" s="343"/>
      <c r="EMO981" s="342"/>
      <c r="EMP981" s="343"/>
      <c r="EMQ981" s="342"/>
      <c r="EMR981" s="343"/>
      <c r="EMS981" s="342"/>
      <c r="EMT981" s="343"/>
      <c r="EMU981" s="342"/>
      <c r="EMV981" s="343"/>
      <c r="EMW981" s="342"/>
      <c r="EMX981" s="343"/>
      <c r="EMY981" s="342"/>
      <c r="EMZ981" s="343"/>
      <c r="ENA981" s="342"/>
      <c r="ENB981" s="343"/>
      <c r="ENC981" s="342"/>
      <c r="END981" s="343"/>
      <c r="ENE981" s="342"/>
      <c r="ENF981" s="343"/>
      <c r="ENG981" s="342"/>
      <c r="ENH981" s="343"/>
      <c r="ENI981" s="342"/>
      <c r="ENJ981" s="343"/>
      <c r="ENK981" s="342"/>
      <c r="ENL981" s="343"/>
      <c r="ENM981" s="342"/>
      <c r="ENN981" s="343"/>
      <c r="ENO981" s="342"/>
      <c r="ENP981" s="343"/>
      <c r="ENQ981" s="342"/>
      <c r="ENR981" s="343"/>
      <c r="ENS981" s="342"/>
      <c r="ENT981" s="343"/>
      <c r="ENU981" s="342"/>
      <c r="ENV981" s="343"/>
      <c r="ENW981" s="342"/>
      <c r="ENX981" s="343"/>
      <c r="ENY981" s="342"/>
      <c r="ENZ981" s="343"/>
      <c r="EOA981" s="342"/>
      <c r="EOB981" s="343"/>
      <c r="EOC981" s="342"/>
      <c r="EOD981" s="343"/>
      <c r="EOE981" s="342"/>
      <c r="EOF981" s="343"/>
      <c r="EOG981" s="342"/>
      <c r="EOH981" s="343"/>
      <c r="EOI981" s="342"/>
      <c r="EOJ981" s="343"/>
      <c r="EOK981" s="342"/>
      <c r="EOL981" s="343"/>
      <c r="EOM981" s="342"/>
      <c r="EON981" s="343"/>
      <c r="EOO981" s="342"/>
      <c r="EOP981" s="343"/>
      <c r="EOQ981" s="342"/>
      <c r="EOR981" s="343"/>
      <c r="EOS981" s="342"/>
      <c r="EOT981" s="343"/>
      <c r="EOU981" s="342"/>
      <c r="EOV981" s="343"/>
      <c r="EOW981" s="342"/>
      <c r="EOX981" s="343"/>
      <c r="EOY981" s="342"/>
      <c r="EOZ981" s="343"/>
      <c r="EPA981" s="342"/>
      <c r="EPB981" s="343"/>
      <c r="EPC981" s="342"/>
      <c r="EPD981" s="343"/>
      <c r="EPE981" s="342"/>
      <c r="EPF981" s="343"/>
      <c r="EPG981" s="342"/>
      <c r="EPH981" s="343"/>
      <c r="EPI981" s="342"/>
      <c r="EPJ981" s="343"/>
      <c r="EPK981" s="342"/>
      <c r="EPL981" s="343"/>
      <c r="EPM981" s="342"/>
      <c r="EPN981" s="343"/>
      <c r="EPO981" s="342"/>
      <c r="EPP981" s="343"/>
      <c r="EPQ981" s="342"/>
      <c r="EPR981" s="343"/>
      <c r="EPS981" s="342"/>
      <c r="EPT981" s="343"/>
      <c r="EPU981" s="342"/>
      <c r="EPV981" s="343"/>
      <c r="EPW981" s="342"/>
      <c r="EPX981" s="343"/>
      <c r="EPY981" s="342"/>
      <c r="EPZ981" s="343"/>
      <c r="EQA981" s="342"/>
      <c r="EQB981" s="343"/>
      <c r="EQC981" s="342"/>
      <c r="EQD981" s="343"/>
      <c r="EQE981" s="342"/>
      <c r="EQF981" s="343"/>
      <c r="EQG981" s="342"/>
      <c r="EQH981" s="343"/>
      <c r="EQI981" s="342"/>
      <c r="EQJ981" s="343"/>
      <c r="EQK981" s="342"/>
      <c r="EQL981" s="343"/>
      <c r="EQM981" s="342"/>
      <c r="EQN981" s="343"/>
      <c r="EQO981" s="342"/>
      <c r="EQP981" s="343"/>
      <c r="EQQ981" s="342"/>
      <c r="EQR981" s="343"/>
      <c r="EQS981" s="342"/>
      <c r="EQT981" s="343"/>
      <c r="EQU981" s="342"/>
      <c r="EQV981" s="343"/>
      <c r="EQW981" s="342"/>
      <c r="EQX981" s="343"/>
      <c r="EQY981" s="342"/>
      <c r="EQZ981" s="343"/>
      <c r="ERA981" s="342"/>
      <c r="ERB981" s="343"/>
      <c r="ERC981" s="342"/>
      <c r="ERD981" s="343"/>
      <c r="ERE981" s="342"/>
      <c r="ERF981" s="343"/>
      <c r="ERG981" s="342"/>
      <c r="ERH981" s="343"/>
      <c r="ERI981" s="342"/>
      <c r="ERJ981" s="343"/>
      <c r="ERK981" s="342"/>
      <c r="ERL981" s="343"/>
      <c r="ERM981" s="342"/>
      <c r="ERN981" s="343"/>
      <c r="ERO981" s="342"/>
      <c r="ERP981" s="343"/>
      <c r="ERQ981" s="342"/>
      <c r="ERR981" s="343"/>
      <c r="ERS981" s="342"/>
      <c r="ERT981" s="343"/>
      <c r="ERU981" s="342"/>
      <c r="ERV981" s="343"/>
      <c r="ERW981" s="342"/>
      <c r="ERX981" s="343"/>
      <c r="ERY981" s="342"/>
      <c r="ERZ981" s="343"/>
      <c r="ESA981" s="342"/>
      <c r="ESB981" s="343"/>
      <c r="ESC981" s="342"/>
      <c r="ESD981" s="343"/>
      <c r="ESE981" s="342"/>
      <c r="ESF981" s="343"/>
      <c r="ESG981" s="342"/>
      <c r="ESH981" s="343"/>
      <c r="ESI981" s="342"/>
      <c r="ESJ981" s="343"/>
      <c r="ESK981" s="342"/>
      <c r="ESL981" s="343"/>
      <c r="ESM981" s="342"/>
      <c r="ESN981" s="343"/>
      <c r="ESO981" s="342"/>
      <c r="ESP981" s="343"/>
      <c r="ESQ981" s="342"/>
      <c r="ESR981" s="343"/>
      <c r="ESS981" s="342"/>
      <c r="EST981" s="343"/>
      <c r="ESU981" s="342"/>
      <c r="ESV981" s="343"/>
      <c r="ESW981" s="342"/>
      <c r="ESX981" s="343"/>
      <c r="ESY981" s="342"/>
      <c r="ESZ981" s="343"/>
      <c r="ETA981" s="342"/>
      <c r="ETB981" s="343"/>
      <c r="ETC981" s="342"/>
      <c r="ETD981" s="343"/>
      <c r="ETE981" s="342"/>
      <c r="ETF981" s="343"/>
      <c r="ETG981" s="342"/>
      <c r="ETH981" s="343"/>
      <c r="ETI981" s="342"/>
      <c r="ETJ981" s="343"/>
      <c r="ETK981" s="342"/>
      <c r="ETL981" s="343"/>
      <c r="ETM981" s="342"/>
      <c r="ETN981" s="343"/>
      <c r="ETO981" s="342"/>
      <c r="ETP981" s="343"/>
      <c r="ETQ981" s="342"/>
      <c r="ETR981" s="343"/>
      <c r="ETS981" s="342"/>
      <c r="ETT981" s="343"/>
      <c r="ETU981" s="342"/>
      <c r="ETV981" s="343"/>
      <c r="ETW981" s="342"/>
      <c r="ETX981" s="343"/>
      <c r="ETY981" s="342"/>
      <c r="ETZ981" s="343"/>
      <c r="EUA981" s="342"/>
      <c r="EUB981" s="343"/>
      <c r="EUC981" s="342"/>
      <c r="EUD981" s="343"/>
      <c r="EUE981" s="342"/>
      <c r="EUF981" s="343"/>
      <c r="EUG981" s="342"/>
      <c r="EUH981" s="343"/>
      <c r="EUI981" s="342"/>
      <c r="EUJ981" s="343"/>
      <c r="EUK981" s="342"/>
      <c r="EUL981" s="343"/>
      <c r="EUM981" s="342"/>
      <c r="EUN981" s="343"/>
      <c r="EUO981" s="342"/>
      <c r="EUP981" s="343"/>
      <c r="EUQ981" s="342"/>
      <c r="EUR981" s="343"/>
      <c r="EUS981" s="342"/>
      <c r="EUT981" s="343"/>
      <c r="EUU981" s="342"/>
      <c r="EUV981" s="343"/>
      <c r="EUW981" s="342"/>
      <c r="EUX981" s="343"/>
      <c r="EUY981" s="342"/>
      <c r="EUZ981" s="343"/>
      <c r="EVA981" s="342"/>
      <c r="EVB981" s="343"/>
      <c r="EVC981" s="342"/>
      <c r="EVD981" s="343"/>
      <c r="EVE981" s="342"/>
      <c r="EVF981" s="343"/>
      <c r="EVG981" s="342"/>
      <c r="EVH981" s="343"/>
      <c r="EVI981" s="342"/>
      <c r="EVJ981" s="343"/>
      <c r="EVK981" s="342"/>
      <c r="EVL981" s="343"/>
      <c r="EVM981" s="342"/>
      <c r="EVN981" s="343"/>
      <c r="EVO981" s="342"/>
      <c r="EVP981" s="343"/>
      <c r="EVQ981" s="342"/>
      <c r="EVR981" s="343"/>
      <c r="EVS981" s="342"/>
      <c r="EVT981" s="343"/>
      <c r="EVU981" s="342"/>
      <c r="EVV981" s="343"/>
      <c r="EVW981" s="342"/>
      <c r="EVX981" s="343"/>
      <c r="EVY981" s="342"/>
      <c r="EVZ981" s="343"/>
      <c r="EWA981" s="342"/>
      <c r="EWB981" s="343"/>
      <c r="EWC981" s="342"/>
      <c r="EWD981" s="343"/>
      <c r="EWE981" s="342"/>
      <c r="EWF981" s="343"/>
      <c r="EWG981" s="342"/>
      <c r="EWH981" s="343"/>
      <c r="EWI981" s="342"/>
      <c r="EWJ981" s="343"/>
      <c r="EWK981" s="342"/>
      <c r="EWL981" s="343"/>
      <c r="EWM981" s="342"/>
      <c r="EWN981" s="343"/>
      <c r="EWO981" s="342"/>
      <c r="EWP981" s="343"/>
      <c r="EWQ981" s="342"/>
      <c r="EWR981" s="343"/>
      <c r="EWS981" s="342"/>
      <c r="EWT981" s="343"/>
      <c r="EWU981" s="342"/>
      <c r="EWV981" s="343"/>
      <c r="EWW981" s="342"/>
      <c r="EWX981" s="343"/>
      <c r="EWY981" s="342"/>
      <c r="EWZ981" s="343"/>
      <c r="EXA981" s="342"/>
      <c r="EXB981" s="343"/>
      <c r="EXC981" s="342"/>
      <c r="EXD981" s="343"/>
      <c r="EXE981" s="342"/>
      <c r="EXF981" s="343"/>
      <c r="EXG981" s="342"/>
      <c r="EXH981" s="343"/>
      <c r="EXI981" s="342"/>
      <c r="EXJ981" s="343"/>
      <c r="EXK981" s="342"/>
      <c r="EXL981" s="343"/>
      <c r="EXM981" s="342"/>
      <c r="EXN981" s="343"/>
      <c r="EXO981" s="342"/>
      <c r="EXP981" s="343"/>
      <c r="EXQ981" s="342"/>
      <c r="EXR981" s="343"/>
      <c r="EXS981" s="342"/>
      <c r="EXT981" s="343"/>
      <c r="EXU981" s="342"/>
      <c r="EXV981" s="343"/>
      <c r="EXW981" s="342"/>
      <c r="EXX981" s="343"/>
      <c r="EXY981" s="342"/>
      <c r="EXZ981" s="343"/>
      <c r="EYA981" s="342"/>
      <c r="EYB981" s="343"/>
      <c r="EYC981" s="342"/>
      <c r="EYD981" s="343"/>
      <c r="EYE981" s="342"/>
      <c r="EYF981" s="343"/>
      <c r="EYG981" s="342"/>
      <c r="EYH981" s="343"/>
      <c r="EYI981" s="342"/>
      <c r="EYJ981" s="343"/>
      <c r="EYK981" s="342"/>
      <c r="EYL981" s="343"/>
      <c r="EYM981" s="342"/>
      <c r="EYN981" s="343"/>
      <c r="EYO981" s="342"/>
      <c r="EYP981" s="343"/>
      <c r="EYQ981" s="342"/>
      <c r="EYR981" s="343"/>
      <c r="EYS981" s="342"/>
      <c r="EYT981" s="343"/>
      <c r="EYU981" s="342"/>
      <c r="EYV981" s="343"/>
      <c r="EYW981" s="342"/>
      <c r="EYX981" s="343"/>
      <c r="EYY981" s="342"/>
      <c r="EYZ981" s="343"/>
      <c r="EZA981" s="342"/>
      <c r="EZB981" s="343"/>
      <c r="EZC981" s="342"/>
      <c r="EZD981" s="343"/>
      <c r="EZE981" s="342"/>
      <c r="EZF981" s="343"/>
      <c r="EZG981" s="342"/>
      <c r="EZH981" s="343"/>
      <c r="EZI981" s="342"/>
      <c r="EZJ981" s="343"/>
      <c r="EZK981" s="342"/>
      <c r="EZL981" s="343"/>
      <c r="EZM981" s="342"/>
      <c r="EZN981" s="343"/>
      <c r="EZO981" s="342"/>
      <c r="EZP981" s="343"/>
      <c r="EZQ981" s="342"/>
      <c r="EZR981" s="343"/>
      <c r="EZS981" s="342"/>
      <c r="EZT981" s="343"/>
      <c r="EZU981" s="342"/>
      <c r="EZV981" s="343"/>
      <c r="EZW981" s="342"/>
      <c r="EZX981" s="343"/>
      <c r="EZY981" s="342"/>
      <c r="EZZ981" s="343"/>
      <c r="FAA981" s="342"/>
      <c r="FAB981" s="343"/>
      <c r="FAC981" s="342"/>
      <c r="FAD981" s="343"/>
      <c r="FAE981" s="342"/>
      <c r="FAF981" s="343"/>
      <c r="FAG981" s="342"/>
      <c r="FAH981" s="343"/>
      <c r="FAI981" s="342"/>
      <c r="FAJ981" s="343"/>
      <c r="FAK981" s="342"/>
      <c r="FAL981" s="343"/>
      <c r="FAM981" s="342"/>
      <c r="FAN981" s="343"/>
      <c r="FAO981" s="342"/>
      <c r="FAP981" s="343"/>
      <c r="FAQ981" s="342"/>
      <c r="FAR981" s="343"/>
      <c r="FAS981" s="342"/>
      <c r="FAT981" s="343"/>
      <c r="FAU981" s="342"/>
      <c r="FAV981" s="343"/>
      <c r="FAW981" s="342"/>
      <c r="FAX981" s="343"/>
      <c r="FAY981" s="342"/>
      <c r="FAZ981" s="343"/>
      <c r="FBA981" s="342"/>
      <c r="FBB981" s="343"/>
      <c r="FBC981" s="342"/>
      <c r="FBD981" s="343"/>
      <c r="FBE981" s="342"/>
      <c r="FBF981" s="343"/>
      <c r="FBG981" s="342"/>
      <c r="FBH981" s="343"/>
      <c r="FBI981" s="342"/>
      <c r="FBJ981" s="343"/>
      <c r="FBK981" s="342"/>
      <c r="FBL981" s="343"/>
      <c r="FBM981" s="342"/>
      <c r="FBN981" s="343"/>
      <c r="FBO981" s="342"/>
      <c r="FBP981" s="343"/>
      <c r="FBQ981" s="342"/>
      <c r="FBR981" s="343"/>
      <c r="FBS981" s="342"/>
      <c r="FBT981" s="343"/>
      <c r="FBU981" s="342"/>
      <c r="FBV981" s="343"/>
      <c r="FBW981" s="342"/>
      <c r="FBX981" s="343"/>
      <c r="FBY981" s="342"/>
      <c r="FBZ981" s="343"/>
      <c r="FCA981" s="342"/>
      <c r="FCB981" s="343"/>
      <c r="FCC981" s="342"/>
      <c r="FCD981" s="343"/>
      <c r="FCE981" s="342"/>
      <c r="FCF981" s="343"/>
      <c r="FCG981" s="342"/>
      <c r="FCH981" s="343"/>
      <c r="FCI981" s="342"/>
      <c r="FCJ981" s="343"/>
      <c r="FCK981" s="342"/>
      <c r="FCL981" s="343"/>
      <c r="FCM981" s="342"/>
      <c r="FCN981" s="343"/>
      <c r="FCO981" s="342"/>
      <c r="FCP981" s="343"/>
      <c r="FCQ981" s="342"/>
      <c r="FCR981" s="343"/>
      <c r="FCS981" s="342"/>
      <c r="FCT981" s="343"/>
      <c r="FCU981" s="342"/>
      <c r="FCV981" s="343"/>
      <c r="FCW981" s="342"/>
      <c r="FCX981" s="343"/>
      <c r="FCY981" s="342"/>
      <c r="FCZ981" s="343"/>
      <c r="FDA981" s="342"/>
      <c r="FDB981" s="343"/>
      <c r="FDC981" s="342"/>
      <c r="FDD981" s="343"/>
      <c r="FDE981" s="342"/>
      <c r="FDF981" s="343"/>
      <c r="FDG981" s="342"/>
      <c r="FDH981" s="343"/>
      <c r="FDI981" s="342"/>
      <c r="FDJ981" s="343"/>
      <c r="FDK981" s="342"/>
      <c r="FDL981" s="343"/>
      <c r="FDM981" s="342"/>
      <c r="FDN981" s="343"/>
      <c r="FDO981" s="342"/>
      <c r="FDP981" s="343"/>
      <c r="FDQ981" s="342"/>
      <c r="FDR981" s="343"/>
      <c r="FDS981" s="342"/>
      <c r="FDT981" s="343"/>
      <c r="FDU981" s="342"/>
      <c r="FDV981" s="343"/>
      <c r="FDW981" s="342"/>
      <c r="FDX981" s="343"/>
      <c r="FDY981" s="342"/>
      <c r="FDZ981" s="343"/>
      <c r="FEA981" s="342"/>
      <c r="FEB981" s="343"/>
      <c r="FEC981" s="342"/>
      <c r="FED981" s="343"/>
      <c r="FEE981" s="342"/>
      <c r="FEF981" s="343"/>
      <c r="FEG981" s="342"/>
      <c r="FEH981" s="343"/>
      <c r="FEI981" s="342"/>
      <c r="FEJ981" s="343"/>
      <c r="FEK981" s="342"/>
      <c r="FEL981" s="343"/>
      <c r="FEM981" s="342"/>
      <c r="FEN981" s="343"/>
      <c r="FEO981" s="342"/>
      <c r="FEP981" s="343"/>
      <c r="FEQ981" s="342"/>
      <c r="FER981" s="343"/>
      <c r="FES981" s="342"/>
      <c r="FET981" s="343"/>
      <c r="FEU981" s="342"/>
      <c r="FEV981" s="343"/>
      <c r="FEW981" s="342"/>
      <c r="FEX981" s="343"/>
      <c r="FEY981" s="342"/>
      <c r="FEZ981" s="343"/>
      <c r="FFA981" s="342"/>
      <c r="FFB981" s="343"/>
      <c r="FFC981" s="342"/>
      <c r="FFD981" s="343"/>
      <c r="FFE981" s="342"/>
      <c r="FFF981" s="343"/>
      <c r="FFG981" s="342"/>
      <c r="FFH981" s="343"/>
      <c r="FFI981" s="342"/>
      <c r="FFJ981" s="343"/>
      <c r="FFK981" s="342"/>
      <c r="FFL981" s="343"/>
      <c r="FFM981" s="342"/>
      <c r="FFN981" s="343"/>
      <c r="FFO981" s="342"/>
      <c r="FFP981" s="343"/>
      <c r="FFQ981" s="342"/>
      <c r="FFR981" s="343"/>
      <c r="FFS981" s="342"/>
      <c r="FFT981" s="343"/>
      <c r="FFU981" s="342"/>
      <c r="FFV981" s="343"/>
      <c r="FFW981" s="342"/>
      <c r="FFX981" s="343"/>
      <c r="FFY981" s="342"/>
      <c r="FFZ981" s="343"/>
      <c r="FGA981" s="342"/>
      <c r="FGB981" s="343"/>
      <c r="FGC981" s="342"/>
      <c r="FGD981" s="343"/>
      <c r="FGE981" s="342"/>
      <c r="FGF981" s="343"/>
      <c r="FGG981" s="342"/>
      <c r="FGH981" s="343"/>
      <c r="FGI981" s="342"/>
      <c r="FGJ981" s="343"/>
      <c r="FGK981" s="342"/>
      <c r="FGL981" s="343"/>
      <c r="FGM981" s="342"/>
      <c r="FGN981" s="343"/>
      <c r="FGO981" s="342"/>
      <c r="FGP981" s="343"/>
      <c r="FGQ981" s="342"/>
      <c r="FGR981" s="343"/>
      <c r="FGS981" s="342"/>
      <c r="FGT981" s="343"/>
      <c r="FGU981" s="342"/>
      <c r="FGV981" s="343"/>
      <c r="FGW981" s="342"/>
      <c r="FGX981" s="343"/>
      <c r="FGY981" s="342"/>
      <c r="FGZ981" s="343"/>
      <c r="FHA981" s="342"/>
      <c r="FHB981" s="343"/>
      <c r="FHC981" s="342"/>
      <c r="FHD981" s="343"/>
      <c r="FHE981" s="342"/>
      <c r="FHF981" s="343"/>
      <c r="FHG981" s="342"/>
      <c r="FHH981" s="343"/>
      <c r="FHI981" s="342"/>
      <c r="FHJ981" s="343"/>
      <c r="FHK981" s="342"/>
      <c r="FHL981" s="343"/>
      <c r="FHM981" s="342"/>
      <c r="FHN981" s="343"/>
      <c r="FHO981" s="342"/>
      <c r="FHP981" s="343"/>
      <c r="FHQ981" s="342"/>
      <c r="FHR981" s="343"/>
      <c r="FHS981" s="342"/>
      <c r="FHT981" s="343"/>
      <c r="FHU981" s="342"/>
      <c r="FHV981" s="343"/>
      <c r="FHW981" s="342"/>
      <c r="FHX981" s="343"/>
      <c r="FHY981" s="342"/>
      <c r="FHZ981" s="343"/>
      <c r="FIA981" s="342"/>
      <c r="FIB981" s="343"/>
      <c r="FIC981" s="342"/>
      <c r="FID981" s="343"/>
      <c r="FIE981" s="342"/>
      <c r="FIF981" s="343"/>
      <c r="FIG981" s="342"/>
      <c r="FIH981" s="343"/>
      <c r="FII981" s="342"/>
      <c r="FIJ981" s="343"/>
      <c r="FIK981" s="342"/>
      <c r="FIL981" s="343"/>
      <c r="FIM981" s="342"/>
      <c r="FIN981" s="343"/>
      <c r="FIO981" s="342"/>
      <c r="FIP981" s="343"/>
      <c r="FIQ981" s="342"/>
      <c r="FIR981" s="343"/>
      <c r="FIS981" s="342"/>
      <c r="FIT981" s="343"/>
      <c r="FIU981" s="342"/>
      <c r="FIV981" s="343"/>
      <c r="FIW981" s="342"/>
      <c r="FIX981" s="343"/>
      <c r="FIY981" s="342"/>
      <c r="FIZ981" s="343"/>
      <c r="FJA981" s="342"/>
      <c r="FJB981" s="343"/>
      <c r="FJC981" s="342"/>
      <c r="FJD981" s="343"/>
      <c r="FJE981" s="342"/>
      <c r="FJF981" s="343"/>
      <c r="FJG981" s="342"/>
      <c r="FJH981" s="343"/>
      <c r="FJI981" s="342"/>
      <c r="FJJ981" s="343"/>
      <c r="FJK981" s="342"/>
      <c r="FJL981" s="343"/>
      <c r="FJM981" s="342"/>
      <c r="FJN981" s="343"/>
      <c r="FJO981" s="342"/>
      <c r="FJP981" s="343"/>
      <c r="FJQ981" s="342"/>
      <c r="FJR981" s="343"/>
      <c r="FJS981" s="342"/>
      <c r="FJT981" s="343"/>
      <c r="FJU981" s="342"/>
      <c r="FJV981" s="343"/>
      <c r="FJW981" s="342"/>
      <c r="FJX981" s="343"/>
      <c r="FJY981" s="342"/>
      <c r="FJZ981" s="343"/>
      <c r="FKA981" s="342"/>
      <c r="FKB981" s="343"/>
      <c r="FKC981" s="342"/>
      <c r="FKD981" s="343"/>
      <c r="FKE981" s="342"/>
      <c r="FKF981" s="343"/>
      <c r="FKG981" s="342"/>
      <c r="FKH981" s="343"/>
      <c r="FKI981" s="342"/>
      <c r="FKJ981" s="343"/>
      <c r="FKK981" s="342"/>
      <c r="FKL981" s="343"/>
      <c r="FKM981" s="342"/>
      <c r="FKN981" s="343"/>
      <c r="FKO981" s="342"/>
      <c r="FKP981" s="343"/>
      <c r="FKQ981" s="342"/>
      <c r="FKR981" s="343"/>
      <c r="FKS981" s="342"/>
      <c r="FKT981" s="343"/>
      <c r="FKU981" s="342"/>
      <c r="FKV981" s="343"/>
      <c r="FKW981" s="342"/>
      <c r="FKX981" s="343"/>
      <c r="FKY981" s="342"/>
      <c r="FKZ981" s="343"/>
      <c r="FLA981" s="342"/>
      <c r="FLB981" s="343"/>
      <c r="FLC981" s="342"/>
      <c r="FLD981" s="343"/>
      <c r="FLE981" s="342"/>
      <c r="FLF981" s="343"/>
      <c r="FLG981" s="342"/>
      <c r="FLH981" s="343"/>
      <c r="FLI981" s="342"/>
      <c r="FLJ981" s="343"/>
      <c r="FLK981" s="342"/>
      <c r="FLL981" s="343"/>
      <c r="FLM981" s="342"/>
      <c r="FLN981" s="343"/>
      <c r="FLO981" s="342"/>
      <c r="FLP981" s="343"/>
      <c r="FLQ981" s="342"/>
      <c r="FLR981" s="343"/>
      <c r="FLS981" s="342"/>
      <c r="FLT981" s="343"/>
      <c r="FLU981" s="342"/>
      <c r="FLV981" s="343"/>
      <c r="FLW981" s="342"/>
      <c r="FLX981" s="343"/>
      <c r="FLY981" s="342"/>
      <c r="FLZ981" s="343"/>
      <c r="FMA981" s="342"/>
      <c r="FMB981" s="343"/>
      <c r="FMC981" s="342"/>
      <c r="FMD981" s="343"/>
      <c r="FME981" s="342"/>
      <c r="FMF981" s="343"/>
      <c r="FMG981" s="342"/>
      <c r="FMH981" s="343"/>
      <c r="FMI981" s="342"/>
      <c r="FMJ981" s="343"/>
      <c r="FMK981" s="342"/>
      <c r="FML981" s="343"/>
      <c r="FMM981" s="342"/>
      <c r="FMN981" s="343"/>
      <c r="FMO981" s="342"/>
      <c r="FMP981" s="343"/>
      <c r="FMQ981" s="342"/>
      <c r="FMR981" s="343"/>
      <c r="FMS981" s="342"/>
      <c r="FMT981" s="343"/>
      <c r="FMU981" s="342"/>
      <c r="FMV981" s="343"/>
      <c r="FMW981" s="342"/>
      <c r="FMX981" s="343"/>
      <c r="FMY981" s="342"/>
      <c r="FMZ981" s="343"/>
      <c r="FNA981" s="342"/>
      <c r="FNB981" s="343"/>
      <c r="FNC981" s="342"/>
      <c r="FND981" s="343"/>
      <c r="FNE981" s="342"/>
      <c r="FNF981" s="343"/>
      <c r="FNG981" s="342"/>
      <c r="FNH981" s="343"/>
      <c r="FNI981" s="342"/>
      <c r="FNJ981" s="343"/>
      <c r="FNK981" s="342"/>
      <c r="FNL981" s="343"/>
      <c r="FNM981" s="342"/>
      <c r="FNN981" s="343"/>
      <c r="FNO981" s="342"/>
      <c r="FNP981" s="343"/>
      <c r="FNQ981" s="342"/>
      <c r="FNR981" s="343"/>
      <c r="FNS981" s="342"/>
      <c r="FNT981" s="343"/>
      <c r="FNU981" s="342"/>
      <c r="FNV981" s="343"/>
      <c r="FNW981" s="342"/>
      <c r="FNX981" s="343"/>
      <c r="FNY981" s="342"/>
      <c r="FNZ981" s="343"/>
      <c r="FOA981" s="342"/>
      <c r="FOB981" s="343"/>
      <c r="FOC981" s="342"/>
      <c r="FOD981" s="343"/>
      <c r="FOE981" s="342"/>
      <c r="FOF981" s="343"/>
      <c r="FOG981" s="342"/>
      <c r="FOH981" s="343"/>
      <c r="FOI981" s="342"/>
      <c r="FOJ981" s="343"/>
      <c r="FOK981" s="342"/>
      <c r="FOL981" s="343"/>
      <c r="FOM981" s="342"/>
      <c r="FON981" s="343"/>
      <c r="FOO981" s="342"/>
      <c r="FOP981" s="343"/>
      <c r="FOQ981" s="342"/>
      <c r="FOR981" s="343"/>
      <c r="FOS981" s="342"/>
      <c r="FOT981" s="343"/>
      <c r="FOU981" s="342"/>
      <c r="FOV981" s="343"/>
      <c r="FOW981" s="342"/>
      <c r="FOX981" s="343"/>
      <c r="FOY981" s="342"/>
      <c r="FOZ981" s="343"/>
      <c r="FPA981" s="342"/>
      <c r="FPB981" s="343"/>
      <c r="FPC981" s="342"/>
      <c r="FPD981" s="343"/>
      <c r="FPE981" s="342"/>
      <c r="FPF981" s="343"/>
      <c r="FPG981" s="342"/>
      <c r="FPH981" s="343"/>
      <c r="FPI981" s="342"/>
      <c r="FPJ981" s="343"/>
      <c r="FPK981" s="342"/>
      <c r="FPL981" s="343"/>
      <c r="FPM981" s="342"/>
      <c r="FPN981" s="343"/>
      <c r="FPO981" s="342"/>
      <c r="FPP981" s="343"/>
      <c r="FPQ981" s="342"/>
      <c r="FPR981" s="343"/>
      <c r="FPS981" s="342"/>
      <c r="FPT981" s="343"/>
      <c r="FPU981" s="342"/>
      <c r="FPV981" s="343"/>
      <c r="FPW981" s="342"/>
      <c r="FPX981" s="343"/>
      <c r="FPY981" s="342"/>
      <c r="FPZ981" s="343"/>
      <c r="FQA981" s="342"/>
      <c r="FQB981" s="343"/>
      <c r="FQC981" s="342"/>
      <c r="FQD981" s="343"/>
      <c r="FQE981" s="342"/>
      <c r="FQF981" s="343"/>
      <c r="FQG981" s="342"/>
      <c r="FQH981" s="343"/>
      <c r="FQI981" s="342"/>
      <c r="FQJ981" s="343"/>
      <c r="FQK981" s="342"/>
      <c r="FQL981" s="343"/>
      <c r="FQM981" s="342"/>
      <c r="FQN981" s="343"/>
      <c r="FQO981" s="342"/>
      <c r="FQP981" s="343"/>
      <c r="FQQ981" s="342"/>
      <c r="FQR981" s="343"/>
      <c r="FQS981" s="342"/>
      <c r="FQT981" s="343"/>
      <c r="FQU981" s="342"/>
      <c r="FQV981" s="343"/>
      <c r="FQW981" s="342"/>
      <c r="FQX981" s="343"/>
      <c r="FQY981" s="342"/>
      <c r="FQZ981" s="343"/>
      <c r="FRA981" s="342"/>
      <c r="FRB981" s="343"/>
      <c r="FRC981" s="342"/>
      <c r="FRD981" s="343"/>
      <c r="FRE981" s="342"/>
      <c r="FRF981" s="343"/>
      <c r="FRG981" s="342"/>
      <c r="FRH981" s="343"/>
      <c r="FRI981" s="342"/>
      <c r="FRJ981" s="343"/>
      <c r="FRK981" s="342"/>
      <c r="FRL981" s="343"/>
      <c r="FRM981" s="342"/>
      <c r="FRN981" s="343"/>
      <c r="FRO981" s="342"/>
      <c r="FRP981" s="343"/>
      <c r="FRQ981" s="342"/>
      <c r="FRR981" s="343"/>
      <c r="FRS981" s="342"/>
      <c r="FRT981" s="343"/>
      <c r="FRU981" s="342"/>
      <c r="FRV981" s="343"/>
      <c r="FRW981" s="342"/>
      <c r="FRX981" s="343"/>
      <c r="FRY981" s="342"/>
      <c r="FRZ981" s="343"/>
      <c r="FSA981" s="342"/>
      <c r="FSB981" s="343"/>
      <c r="FSC981" s="342"/>
      <c r="FSD981" s="343"/>
      <c r="FSE981" s="342"/>
      <c r="FSF981" s="343"/>
      <c r="FSG981" s="342"/>
      <c r="FSH981" s="343"/>
      <c r="FSI981" s="342"/>
      <c r="FSJ981" s="343"/>
      <c r="FSK981" s="342"/>
      <c r="FSL981" s="343"/>
      <c r="FSM981" s="342"/>
      <c r="FSN981" s="343"/>
      <c r="FSO981" s="342"/>
      <c r="FSP981" s="343"/>
      <c r="FSQ981" s="342"/>
      <c r="FSR981" s="343"/>
      <c r="FSS981" s="342"/>
      <c r="FST981" s="343"/>
      <c r="FSU981" s="342"/>
      <c r="FSV981" s="343"/>
      <c r="FSW981" s="342"/>
      <c r="FSX981" s="343"/>
      <c r="FSY981" s="342"/>
      <c r="FSZ981" s="343"/>
      <c r="FTA981" s="342"/>
      <c r="FTB981" s="343"/>
      <c r="FTC981" s="342"/>
      <c r="FTD981" s="343"/>
      <c r="FTE981" s="342"/>
      <c r="FTF981" s="343"/>
      <c r="FTG981" s="342"/>
      <c r="FTH981" s="343"/>
      <c r="FTI981" s="342"/>
      <c r="FTJ981" s="343"/>
      <c r="FTK981" s="342"/>
      <c r="FTL981" s="343"/>
      <c r="FTM981" s="342"/>
      <c r="FTN981" s="343"/>
      <c r="FTO981" s="342"/>
      <c r="FTP981" s="343"/>
      <c r="FTQ981" s="342"/>
      <c r="FTR981" s="343"/>
      <c r="FTS981" s="342"/>
      <c r="FTT981" s="343"/>
      <c r="FTU981" s="342"/>
      <c r="FTV981" s="343"/>
      <c r="FTW981" s="342"/>
      <c r="FTX981" s="343"/>
      <c r="FTY981" s="342"/>
      <c r="FTZ981" s="343"/>
      <c r="FUA981" s="342"/>
      <c r="FUB981" s="343"/>
      <c r="FUC981" s="342"/>
      <c r="FUD981" s="343"/>
      <c r="FUE981" s="342"/>
      <c r="FUF981" s="343"/>
      <c r="FUG981" s="342"/>
      <c r="FUH981" s="343"/>
      <c r="FUI981" s="342"/>
      <c r="FUJ981" s="343"/>
      <c r="FUK981" s="342"/>
      <c r="FUL981" s="343"/>
      <c r="FUM981" s="342"/>
      <c r="FUN981" s="343"/>
      <c r="FUO981" s="342"/>
      <c r="FUP981" s="343"/>
      <c r="FUQ981" s="342"/>
      <c r="FUR981" s="343"/>
      <c r="FUS981" s="342"/>
      <c r="FUT981" s="343"/>
      <c r="FUU981" s="342"/>
      <c r="FUV981" s="343"/>
      <c r="FUW981" s="342"/>
      <c r="FUX981" s="343"/>
      <c r="FUY981" s="342"/>
      <c r="FUZ981" s="343"/>
      <c r="FVA981" s="342"/>
      <c r="FVB981" s="343"/>
      <c r="FVC981" s="342"/>
      <c r="FVD981" s="343"/>
      <c r="FVE981" s="342"/>
      <c r="FVF981" s="343"/>
      <c r="FVG981" s="342"/>
      <c r="FVH981" s="343"/>
      <c r="FVI981" s="342"/>
      <c r="FVJ981" s="343"/>
      <c r="FVK981" s="342"/>
      <c r="FVL981" s="343"/>
      <c r="FVM981" s="342"/>
      <c r="FVN981" s="343"/>
      <c r="FVO981" s="342"/>
      <c r="FVP981" s="343"/>
      <c r="FVQ981" s="342"/>
      <c r="FVR981" s="343"/>
      <c r="FVS981" s="342"/>
      <c r="FVT981" s="343"/>
      <c r="FVU981" s="342"/>
      <c r="FVV981" s="343"/>
      <c r="FVW981" s="342"/>
      <c r="FVX981" s="343"/>
      <c r="FVY981" s="342"/>
      <c r="FVZ981" s="343"/>
      <c r="FWA981" s="342"/>
      <c r="FWB981" s="343"/>
      <c r="FWC981" s="342"/>
      <c r="FWD981" s="343"/>
      <c r="FWE981" s="342"/>
      <c r="FWF981" s="343"/>
      <c r="FWG981" s="342"/>
      <c r="FWH981" s="343"/>
      <c r="FWI981" s="342"/>
      <c r="FWJ981" s="343"/>
      <c r="FWK981" s="342"/>
      <c r="FWL981" s="343"/>
      <c r="FWM981" s="342"/>
      <c r="FWN981" s="343"/>
      <c r="FWO981" s="342"/>
      <c r="FWP981" s="343"/>
      <c r="FWQ981" s="342"/>
      <c r="FWR981" s="343"/>
      <c r="FWS981" s="342"/>
      <c r="FWT981" s="343"/>
      <c r="FWU981" s="342"/>
      <c r="FWV981" s="343"/>
      <c r="FWW981" s="342"/>
      <c r="FWX981" s="343"/>
      <c r="FWY981" s="342"/>
      <c r="FWZ981" s="343"/>
      <c r="FXA981" s="342"/>
      <c r="FXB981" s="343"/>
      <c r="FXC981" s="342"/>
      <c r="FXD981" s="343"/>
      <c r="FXE981" s="342"/>
      <c r="FXF981" s="343"/>
      <c r="FXG981" s="342"/>
      <c r="FXH981" s="343"/>
      <c r="FXI981" s="342"/>
      <c r="FXJ981" s="343"/>
      <c r="FXK981" s="342"/>
      <c r="FXL981" s="343"/>
      <c r="FXM981" s="342"/>
      <c r="FXN981" s="343"/>
      <c r="FXO981" s="342"/>
      <c r="FXP981" s="343"/>
      <c r="FXQ981" s="342"/>
      <c r="FXR981" s="343"/>
      <c r="FXS981" s="342"/>
      <c r="FXT981" s="343"/>
      <c r="FXU981" s="342"/>
      <c r="FXV981" s="343"/>
      <c r="FXW981" s="342"/>
      <c r="FXX981" s="343"/>
      <c r="FXY981" s="342"/>
      <c r="FXZ981" s="343"/>
      <c r="FYA981" s="342"/>
      <c r="FYB981" s="343"/>
      <c r="FYC981" s="342"/>
      <c r="FYD981" s="343"/>
      <c r="FYE981" s="342"/>
      <c r="FYF981" s="343"/>
      <c r="FYG981" s="342"/>
      <c r="FYH981" s="343"/>
      <c r="FYI981" s="342"/>
      <c r="FYJ981" s="343"/>
      <c r="FYK981" s="342"/>
      <c r="FYL981" s="343"/>
      <c r="FYM981" s="342"/>
      <c r="FYN981" s="343"/>
      <c r="FYO981" s="342"/>
      <c r="FYP981" s="343"/>
      <c r="FYQ981" s="342"/>
      <c r="FYR981" s="343"/>
      <c r="FYS981" s="342"/>
      <c r="FYT981" s="343"/>
      <c r="FYU981" s="342"/>
      <c r="FYV981" s="343"/>
      <c r="FYW981" s="342"/>
      <c r="FYX981" s="343"/>
      <c r="FYY981" s="342"/>
      <c r="FYZ981" s="343"/>
      <c r="FZA981" s="342"/>
      <c r="FZB981" s="343"/>
      <c r="FZC981" s="342"/>
      <c r="FZD981" s="343"/>
      <c r="FZE981" s="342"/>
      <c r="FZF981" s="343"/>
      <c r="FZG981" s="342"/>
      <c r="FZH981" s="343"/>
      <c r="FZI981" s="342"/>
      <c r="FZJ981" s="343"/>
      <c r="FZK981" s="342"/>
      <c r="FZL981" s="343"/>
      <c r="FZM981" s="342"/>
      <c r="FZN981" s="343"/>
      <c r="FZO981" s="342"/>
      <c r="FZP981" s="343"/>
      <c r="FZQ981" s="342"/>
      <c r="FZR981" s="343"/>
      <c r="FZS981" s="342"/>
      <c r="FZT981" s="343"/>
      <c r="FZU981" s="342"/>
      <c r="FZV981" s="343"/>
      <c r="FZW981" s="342"/>
      <c r="FZX981" s="343"/>
      <c r="FZY981" s="342"/>
      <c r="FZZ981" s="343"/>
      <c r="GAA981" s="342"/>
      <c r="GAB981" s="343"/>
      <c r="GAC981" s="342"/>
      <c r="GAD981" s="343"/>
      <c r="GAE981" s="342"/>
      <c r="GAF981" s="343"/>
      <c r="GAG981" s="342"/>
      <c r="GAH981" s="343"/>
      <c r="GAI981" s="342"/>
      <c r="GAJ981" s="343"/>
      <c r="GAK981" s="342"/>
      <c r="GAL981" s="343"/>
      <c r="GAM981" s="342"/>
      <c r="GAN981" s="343"/>
      <c r="GAO981" s="342"/>
      <c r="GAP981" s="343"/>
      <c r="GAQ981" s="342"/>
      <c r="GAR981" s="343"/>
      <c r="GAS981" s="342"/>
      <c r="GAT981" s="343"/>
      <c r="GAU981" s="342"/>
      <c r="GAV981" s="343"/>
      <c r="GAW981" s="342"/>
      <c r="GAX981" s="343"/>
      <c r="GAY981" s="342"/>
      <c r="GAZ981" s="343"/>
      <c r="GBA981" s="342"/>
      <c r="GBB981" s="343"/>
      <c r="GBC981" s="342"/>
      <c r="GBD981" s="343"/>
      <c r="GBE981" s="342"/>
      <c r="GBF981" s="343"/>
      <c r="GBG981" s="342"/>
      <c r="GBH981" s="343"/>
      <c r="GBI981" s="342"/>
      <c r="GBJ981" s="343"/>
      <c r="GBK981" s="342"/>
      <c r="GBL981" s="343"/>
      <c r="GBM981" s="342"/>
      <c r="GBN981" s="343"/>
      <c r="GBO981" s="342"/>
      <c r="GBP981" s="343"/>
      <c r="GBQ981" s="342"/>
      <c r="GBR981" s="343"/>
      <c r="GBS981" s="342"/>
      <c r="GBT981" s="343"/>
      <c r="GBU981" s="342"/>
      <c r="GBV981" s="343"/>
      <c r="GBW981" s="342"/>
      <c r="GBX981" s="343"/>
      <c r="GBY981" s="342"/>
      <c r="GBZ981" s="343"/>
      <c r="GCA981" s="342"/>
      <c r="GCB981" s="343"/>
      <c r="GCC981" s="342"/>
      <c r="GCD981" s="343"/>
      <c r="GCE981" s="342"/>
      <c r="GCF981" s="343"/>
      <c r="GCG981" s="342"/>
      <c r="GCH981" s="343"/>
      <c r="GCI981" s="342"/>
      <c r="GCJ981" s="343"/>
      <c r="GCK981" s="342"/>
      <c r="GCL981" s="343"/>
      <c r="GCM981" s="342"/>
      <c r="GCN981" s="343"/>
      <c r="GCO981" s="342"/>
      <c r="GCP981" s="343"/>
      <c r="GCQ981" s="342"/>
      <c r="GCR981" s="343"/>
      <c r="GCS981" s="342"/>
      <c r="GCT981" s="343"/>
      <c r="GCU981" s="342"/>
      <c r="GCV981" s="343"/>
      <c r="GCW981" s="342"/>
      <c r="GCX981" s="343"/>
      <c r="GCY981" s="342"/>
      <c r="GCZ981" s="343"/>
      <c r="GDA981" s="342"/>
      <c r="GDB981" s="343"/>
      <c r="GDC981" s="342"/>
      <c r="GDD981" s="343"/>
      <c r="GDE981" s="342"/>
      <c r="GDF981" s="343"/>
      <c r="GDG981" s="342"/>
      <c r="GDH981" s="343"/>
      <c r="GDI981" s="342"/>
      <c r="GDJ981" s="343"/>
      <c r="GDK981" s="342"/>
      <c r="GDL981" s="343"/>
      <c r="GDM981" s="342"/>
      <c r="GDN981" s="343"/>
      <c r="GDO981" s="342"/>
      <c r="GDP981" s="343"/>
      <c r="GDQ981" s="342"/>
      <c r="GDR981" s="343"/>
      <c r="GDS981" s="342"/>
      <c r="GDT981" s="343"/>
      <c r="GDU981" s="342"/>
      <c r="GDV981" s="343"/>
      <c r="GDW981" s="342"/>
      <c r="GDX981" s="343"/>
      <c r="GDY981" s="342"/>
      <c r="GDZ981" s="343"/>
      <c r="GEA981" s="342"/>
      <c r="GEB981" s="343"/>
      <c r="GEC981" s="342"/>
      <c r="GED981" s="343"/>
      <c r="GEE981" s="342"/>
      <c r="GEF981" s="343"/>
      <c r="GEG981" s="342"/>
      <c r="GEH981" s="343"/>
      <c r="GEI981" s="342"/>
      <c r="GEJ981" s="343"/>
      <c r="GEK981" s="342"/>
      <c r="GEL981" s="343"/>
      <c r="GEM981" s="342"/>
      <c r="GEN981" s="343"/>
      <c r="GEO981" s="342"/>
      <c r="GEP981" s="343"/>
      <c r="GEQ981" s="342"/>
      <c r="GER981" s="343"/>
      <c r="GES981" s="342"/>
      <c r="GET981" s="343"/>
      <c r="GEU981" s="342"/>
      <c r="GEV981" s="343"/>
      <c r="GEW981" s="342"/>
      <c r="GEX981" s="343"/>
      <c r="GEY981" s="342"/>
      <c r="GEZ981" s="343"/>
      <c r="GFA981" s="342"/>
      <c r="GFB981" s="343"/>
      <c r="GFC981" s="342"/>
      <c r="GFD981" s="343"/>
      <c r="GFE981" s="342"/>
      <c r="GFF981" s="343"/>
      <c r="GFG981" s="342"/>
      <c r="GFH981" s="343"/>
      <c r="GFI981" s="342"/>
      <c r="GFJ981" s="343"/>
      <c r="GFK981" s="342"/>
      <c r="GFL981" s="343"/>
      <c r="GFM981" s="342"/>
      <c r="GFN981" s="343"/>
      <c r="GFO981" s="342"/>
      <c r="GFP981" s="343"/>
      <c r="GFQ981" s="342"/>
      <c r="GFR981" s="343"/>
      <c r="GFS981" s="342"/>
      <c r="GFT981" s="343"/>
      <c r="GFU981" s="342"/>
      <c r="GFV981" s="343"/>
      <c r="GFW981" s="342"/>
      <c r="GFX981" s="343"/>
      <c r="GFY981" s="342"/>
      <c r="GFZ981" s="343"/>
      <c r="GGA981" s="342"/>
      <c r="GGB981" s="343"/>
      <c r="GGC981" s="342"/>
      <c r="GGD981" s="343"/>
      <c r="GGE981" s="342"/>
      <c r="GGF981" s="343"/>
      <c r="GGG981" s="342"/>
      <c r="GGH981" s="343"/>
      <c r="GGI981" s="342"/>
      <c r="GGJ981" s="343"/>
      <c r="GGK981" s="342"/>
      <c r="GGL981" s="343"/>
      <c r="GGM981" s="342"/>
      <c r="GGN981" s="343"/>
      <c r="GGO981" s="342"/>
      <c r="GGP981" s="343"/>
      <c r="GGQ981" s="342"/>
      <c r="GGR981" s="343"/>
      <c r="GGS981" s="342"/>
      <c r="GGT981" s="343"/>
      <c r="GGU981" s="342"/>
      <c r="GGV981" s="343"/>
      <c r="GGW981" s="342"/>
      <c r="GGX981" s="343"/>
      <c r="GGY981" s="342"/>
      <c r="GGZ981" s="343"/>
      <c r="GHA981" s="342"/>
      <c r="GHB981" s="343"/>
      <c r="GHC981" s="342"/>
      <c r="GHD981" s="343"/>
      <c r="GHE981" s="342"/>
      <c r="GHF981" s="343"/>
      <c r="GHG981" s="342"/>
      <c r="GHH981" s="343"/>
      <c r="GHI981" s="342"/>
      <c r="GHJ981" s="343"/>
      <c r="GHK981" s="342"/>
      <c r="GHL981" s="343"/>
      <c r="GHM981" s="342"/>
      <c r="GHN981" s="343"/>
      <c r="GHO981" s="342"/>
      <c r="GHP981" s="343"/>
      <c r="GHQ981" s="342"/>
      <c r="GHR981" s="343"/>
      <c r="GHS981" s="342"/>
      <c r="GHT981" s="343"/>
      <c r="GHU981" s="342"/>
      <c r="GHV981" s="343"/>
      <c r="GHW981" s="342"/>
      <c r="GHX981" s="343"/>
      <c r="GHY981" s="342"/>
      <c r="GHZ981" s="343"/>
      <c r="GIA981" s="342"/>
      <c r="GIB981" s="343"/>
      <c r="GIC981" s="342"/>
      <c r="GID981" s="343"/>
      <c r="GIE981" s="342"/>
      <c r="GIF981" s="343"/>
      <c r="GIG981" s="342"/>
      <c r="GIH981" s="343"/>
      <c r="GII981" s="342"/>
      <c r="GIJ981" s="343"/>
      <c r="GIK981" s="342"/>
      <c r="GIL981" s="343"/>
      <c r="GIM981" s="342"/>
      <c r="GIN981" s="343"/>
      <c r="GIO981" s="342"/>
      <c r="GIP981" s="343"/>
      <c r="GIQ981" s="342"/>
      <c r="GIR981" s="343"/>
      <c r="GIS981" s="342"/>
      <c r="GIT981" s="343"/>
      <c r="GIU981" s="342"/>
      <c r="GIV981" s="343"/>
      <c r="GIW981" s="342"/>
      <c r="GIX981" s="343"/>
      <c r="GIY981" s="342"/>
      <c r="GIZ981" s="343"/>
      <c r="GJA981" s="342"/>
      <c r="GJB981" s="343"/>
      <c r="GJC981" s="342"/>
      <c r="GJD981" s="343"/>
      <c r="GJE981" s="342"/>
      <c r="GJF981" s="343"/>
      <c r="GJG981" s="342"/>
      <c r="GJH981" s="343"/>
      <c r="GJI981" s="342"/>
      <c r="GJJ981" s="343"/>
      <c r="GJK981" s="342"/>
      <c r="GJL981" s="343"/>
      <c r="GJM981" s="342"/>
      <c r="GJN981" s="343"/>
      <c r="GJO981" s="342"/>
      <c r="GJP981" s="343"/>
      <c r="GJQ981" s="342"/>
      <c r="GJR981" s="343"/>
      <c r="GJS981" s="342"/>
      <c r="GJT981" s="343"/>
      <c r="GJU981" s="342"/>
      <c r="GJV981" s="343"/>
      <c r="GJW981" s="342"/>
      <c r="GJX981" s="343"/>
      <c r="GJY981" s="342"/>
      <c r="GJZ981" s="343"/>
      <c r="GKA981" s="342"/>
      <c r="GKB981" s="343"/>
      <c r="GKC981" s="342"/>
      <c r="GKD981" s="343"/>
      <c r="GKE981" s="342"/>
      <c r="GKF981" s="343"/>
      <c r="GKG981" s="342"/>
      <c r="GKH981" s="343"/>
      <c r="GKI981" s="342"/>
      <c r="GKJ981" s="343"/>
      <c r="GKK981" s="342"/>
      <c r="GKL981" s="343"/>
      <c r="GKM981" s="342"/>
      <c r="GKN981" s="343"/>
      <c r="GKO981" s="342"/>
      <c r="GKP981" s="343"/>
      <c r="GKQ981" s="342"/>
      <c r="GKR981" s="343"/>
      <c r="GKS981" s="342"/>
      <c r="GKT981" s="343"/>
      <c r="GKU981" s="342"/>
      <c r="GKV981" s="343"/>
      <c r="GKW981" s="342"/>
      <c r="GKX981" s="343"/>
      <c r="GKY981" s="342"/>
      <c r="GKZ981" s="343"/>
      <c r="GLA981" s="342"/>
      <c r="GLB981" s="343"/>
      <c r="GLC981" s="342"/>
      <c r="GLD981" s="343"/>
      <c r="GLE981" s="342"/>
      <c r="GLF981" s="343"/>
      <c r="GLG981" s="342"/>
      <c r="GLH981" s="343"/>
      <c r="GLI981" s="342"/>
      <c r="GLJ981" s="343"/>
      <c r="GLK981" s="342"/>
      <c r="GLL981" s="343"/>
      <c r="GLM981" s="342"/>
      <c r="GLN981" s="343"/>
      <c r="GLO981" s="342"/>
      <c r="GLP981" s="343"/>
      <c r="GLQ981" s="342"/>
      <c r="GLR981" s="343"/>
      <c r="GLS981" s="342"/>
      <c r="GLT981" s="343"/>
      <c r="GLU981" s="342"/>
      <c r="GLV981" s="343"/>
      <c r="GLW981" s="342"/>
      <c r="GLX981" s="343"/>
      <c r="GLY981" s="342"/>
      <c r="GLZ981" s="343"/>
      <c r="GMA981" s="342"/>
      <c r="GMB981" s="343"/>
      <c r="GMC981" s="342"/>
      <c r="GMD981" s="343"/>
      <c r="GME981" s="342"/>
      <c r="GMF981" s="343"/>
      <c r="GMG981" s="342"/>
      <c r="GMH981" s="343"/>
      <c r="GMI981" s="342"/>
      <c r="GMJ981" s="343"/>
      <c r="GMK981" s="342"/>
      <c r="GML981" s="343"/>
      <c r="GMM981" s="342"/>
      <c r="GMN981" s="343"/>
      <c r="GMO981" s="342"/>
      <c r="GMP981" s="343"/>
      <c r="GMQ981" s="342"/>
      <c r="GMR981" s="343"/>
      <c r="GMS981" s="342"/>
      <c r="GMT981" s="343"/>
      <c r="GMU981" s="342"/>
      <c r="GMV981" s="343"/>
      <c r="GMW981" s="342"/>
      <c r="GMX981" s="343"/>
      <c r="GMY981" s="342"/>
      <c r="GMZ981" s="343"/>
      <c r="GNA981" s="342"/>
      <c r="GNB981" s="343"/>
      <c r="GNC981" s="342"/>
      <c r="GND981" s="343"/>
      <c r="GNE981" s="342"/>
      <c r="GNF981" s="343"/>
      <c r="GNG981" s="342"/>
      <c r="GNH981" s="343"/>
      <c r="GNI981" s="342"/>
      <c r="GNJ981" s="343"/>
      <c r="GNK981" s="342"/>
      <c r="GNL981" s="343"/>
      <c r="GNM981" s="342"/>
      <c r="GNN981" s="343"/>
      <c r="GNO981" s="342"/>
      <c r="GNP981" s="343"/>
      <c r="GNQ981" s="342"/>
      <c r="GNR981" s="343"/>
      <c r="GNS981" s="342"/>
      <c r="GNT981" s="343"/>
      <c r="GNU981" s="342"/>
      <c r="GNV981" s="343"/>
      <c r="GNW981" s="342"/>
      <c r="GNX981" s="343"/>
      <c r="GNY981" s="342"/>
      <c r="GNZ981" s="343"/>
      <c r="GOA981" s="342"/>
      <c r="GOB981" s="343"/>
      <c r="GOC981" s="342"/>
      <c r="GOD981" s="343"/>
      <c r="GOE981" s="342"/>
      <c r="GOF981" s="343"/>
      <c r="GOG981" s="342"/>
      <c r="GOH981" s="343"/>
      <c r="GOI981" s="342"/>
      <c r="GOJ981" s="343"/>
      <c r="GOK981" s="342"/>
      <c r="GOL981" s="343"/>
      <c r="GOM981" s="342"/>
      <c r="GON981" s="343"/>
      <c r="GOO981" s="342"/>
      <c r="GOP981" s="343"/>
      <c r="GOQ981" s="342"/>
      <c r="GOR981" s="343"/>
      <c r="GOS981" s="342"/>
      <c r="GOT981" s="343"/>
      <c r="GOU981" s="342"/>
      <c r="GOV981" s="343"/>
      <c r="GOW981" s="342"/>
      <c r="GOX981" s="343"/>
      <c r="GOY981" s="342"/>
      <c r="GOZ981" s="343"/>
      <c r="GPA981" s="342"/>
      <c r="GPB981" s="343"/>
      <c r="GPC981" s="342"/>
      <c r="GPD981" s="343"/>
      <c r="GPE981" s="342"/>
      <c r="GPF981" s="343"/>
      <c r="GPG981" s="342"/>
      <c r="GPH981" s="343"/>
      <c r="GPI981" s="342"/>
      <c r="GPJ981" s="343"/>
      <c r="GPK981" s="342"/>
      <c r="GPL981" s="343"/>
      <c r="GPM981" s="342"/>
      <c r="GPN981" s="343"/>
      <c r="GPO981" s="342"/>
      <c r="GPP981" s="343"/>
      <c r="GPQ981" s="342"/>
      <c r="GPR981" s="343"/>
      <c r="GPS981" s="342"/>
      <c r="GPT981" s="343"/>
      <c r="GPU981" s="342"/>
      <c r="GPV981" s="343"/>
      <c r="GPW981" s="342"/>
      <c r="GPX981" s="343"/>
      <c r="GPY981" s="342"/>
      <c r="GPZ981" s="343"/>
      <c r="GQA981" s="342"/>
      <c r="GQB981" s="343"/>
      <c r="GQC981" s="342"/>
      <c r="GQD981" s="343"/>
      <c r="GQE981" s="342"/>
      <c r="GQF981" s="343"/>
      <c r="GQG981" s="342"/>
      <c r="GQH981" s="343"/>
      <c r="GQI981" s="342"/>
      <c r="GQJ981" s="343"/>
      <c r="GQK981" s="342"/>
      <c r="GQL981" s="343"/>
      <c r="GQM981" s="342"/>
      <c r="GQN981" s="343"/>
      <c r="GQO981" s="342"/>
      <c r="GQP981" s="343"/>
      <c r="GQQ981" s="342"/>
      <c r="GQR981" s="343"/>
      <c r="GQS981" s="342"/>
      <c r="GQT981" s="343"/>
      <c r="GQU981" s="342"/>
      <c r="GQV981" s="343"/>
      <c r="GQW981" s="342"/>
      <c r="GQX981" s="343"/>
      <c r="GQY981" s="342"/>
      <c r="GQZ981" s="343"/>
      <c r="GRA981" s="342"/>
      <c r="GRB981" s="343"/>
      <c r="GRC981" s="342"/>
      <c r="GRD981" s="343"/>
      <c r="GRE981" s="342"/>
      <c r="GRF981" s="343"/>
      <c r="GRG981" s="342"/>
      <c r="GRH981" s="343"/>
      <c r="GRI981" s="342"/>
      <c r="GRJ981" s="343"/>
      <c r="GRK981" s="342"/>
      <c r="GRL981" s="343"/>
      <c r="GRM981" s="342"/>
      <c r="GRN981" s="343"/>
      <c r="GRO981" s="342"/>
      <c r="GRP981" s="343"/>
      <c r="GRQ981" s="342"/>
      <c r="GRR981" s="343"/>
      <c r="GRS981" s="342"/>
      <c r="GRT981" s="343"/>
      <c r="GRU981" s="342"/>
      <c r="GRV981" s="343"/>
      <c r="GRW981" s="342"/>
      <c r="GRX981" s="343"/>
      <c r="GRY981" s="342"/>
      <c r="GRZ981" s="343"/>
      <c r="GSA981" s="342"/>
      <c r="GSB981" s="343"/>
      <c r="GSC981" s="342"/>
      <c r="GSD981" s="343"/>
      <c r="GSE981" s="342"/>
      <c r="GSF981" s="343"/>
      <c r="GSG981" s="342"/>
      <c r="GSH981" s="343"/>
      <c r="GSI981" s="342"/>
      <c r="GSJ981" s="343"/>
      <c r="GSK981" s="342"/>
      <c r="GSL981" s="343"/>
      <c r="GSM981" s="342"/>
      <c r="GSN981" s="343"/>
      <c r="GSO981" s="342"/>
      <c r="GSP981" s="343"/>
      <c r="GSQ981" s="342"/>
      <c r="GSR981" s="343"/>
      <c r="GSS981" s="342"/>
      <c r="GST981" s="343"/>
      <c r="GSU981" s="342"/>
      <c r="GSV981" s="343"/>
      <c r="GSW981" s="342"/>
      <c r="GSX981" s="343"/>
      <c r="GSY981" s="342"/>
      <c r="GSZ981" s="343"/>
      <c r="GTA981" s="342"/>
      <c r="GTB981" s="343"/>
      <c r="GTC981" s="342"/>
      <c r="GTD981" s="343"/>
      <c r="GTE981" s="342"/>
      <c r="GTF981" s="343"/>
      <c r="GTG981" s="342"/>
      <c r="GTH981" s="343"/>
      <c r="GTI981" s="342"/>
      <c r="GTJ981" s="343"/>
      <c r="GTK981" s="342"/>
      <c r="GTL981" s="343"/>
      <c r="GTM981" s="342"/>
      <c r="GTN981" s="343"/>
      <c r="GTO981" s="342"/>
      <c r="GTP981" s="343"/>
      <c r="GTQ981" s="342"/>
      <c r="GTR981" s="343"/>
      <c r="GTS981" s="342"/>
      <c r="GTT981" s="343"/>
      <c r="GTU981" s="342"/>
      <c r="GTV981" s="343"/>
      <c r="GTW981" s="342"/>
      <c r="GTX981" s="343"/>
      <c r="GTY981" s="342"/>
      <c r="GTZ981" s="343"/>
      <c r="GUA981" s="342"/>
      <c r="GUB981" s="343"/>
      <c r="GUC981" s="342"/>
      <c r="GUD981" s="343"/>
      <c r="GUE981" s="342"/>
      <c r="GUF981" s="343"/>
      <c r="GUG981" s="342"/>
      <c r="GUH981" s="343"/>
      <c r="GUI981" s="342"/>
      <c r="GUJ981" s="343"/>
      <c r="GUK981" s="342"/>
      <c r="GUL981" s="343"/>
      <c r="GUM981" s="342"/>
      <c r="GUN981" s="343"/>
      <c r="GUO981" s="342"/>
      <c r="GUP981" s="343"/>
      <c r="GUQ981" s="342"/>
      <c r="GUR981" s="343"/>
      <c r="GUS981" s="342"/>
      <c r="GUT981" s="343"/>
      <c r="GUU981" s="342"/>
      <c r="GUV981" s="343"/>
      <c r="GUW981" s="342"/>
      <c r="GUX981" s="343"/>
      <c r="GUY981" s="342"/>
      <c r="GUZ981" s="343"/>
      <c r="GVA981" s="342"/>
      <c r="GVB981" s="343"/>
      <c r="GVC981" s="342"/>
      <c r="GVD981" s="343"/>
      <c r="GVE981" s="342"/>
      <c r="GVF981" s="343"/>
      <c r="GVG981" s="342"/>
      <c r="GVH981" s="343"/>
      <c r="GVI981" s="342"/>
      <c r="GVJ981" s="343"/>
      <c r="GVK981" s="342"/>
      <c r="GVL981" s="343"/>
      <c r="GVM981" s="342"/>
      <c r="GVN981" s="343"/>
      <c r="GVO981" s="342"/>
      <c r="GVP981" s="343"/>
      <c r="GVQ981" s="342"/>
      <c r="GVR981" s="343"/>
      <c r="GVS981" s="342"/>
      <c r="GVT981" s="343"/>
      <c r="GVU981" s="342"/>
      <c r="GVV981" s="343"/>
      <c r="GVW981" s="342"/>
      <c r="GVX981" s="343"/>
      <c r="GVY981" s="342"/>
      <c r="GVZ981" s="343"/>
      <c r="GWA981" s="342"/>
      <c r="GWB981" s="343"/>
      <c r="GWC981" s="342"/>
      <c r="GWD981" s="343"/>
      <c r="GWE981" s="342"/>
      <c r="GWF981" s="343"/>
      <c r="GWG981" s="342"/>
      <c r="GWH981" s="343"/>
      <c r="GWI981" s="342"/>
      <c r="GWJ981" s="343"/>
      <c r="GWK981" s="342"/>
      <c r="GWL981" s="343"/>
      <c r="GWM981" s="342"/>
      <c r="GWN981" s="343"/>
      <c r="GWO981" s="342"/>
      <c r="GWP981" s="343"/>
      <c r="GWQ981" s="342"/>
      <c r="GWR981" s="343"/>
      <c r="GWS981" s="342"/>
      <c r="GWT981" s="343"/>
      <c r="GWU981" s="342"/>
      <c r="GWV981" s="343"/>
      <c r="GWW981" s="342"/>
      <c r="GWX981" s="343"/>
      <c r="GWY981" s="342"/>
      <c r="GWZ981" s="343"/>
      <c r="GXA981" s="342"/>
      <c r="GXB981" s="343"/>
      <c r="GXC981" s="342"/>
      <c r="GXD981" s="343"/>
      <c r="GXE981" s="342"/>
      <c r="GXF981" s="343"/>
      <c r="GXG981" s="342"/>
      <c r="GXH981" s="343"/>
      <c r="GXI981" s="342"/>
      <c r="GXJ981" s="343"/>
      <c r="GXK981" s="342"/>
      <c r="GXL981" s="343"/>
      <c r="GXM981" s="342"/>
      <c r="GXN981" s="343"/>
      <c r="GXO981" s="342"/>
      <c r="GXP981" s="343"/>
      <c r="GXQ981" s="342"/>
      <c r="GXR981" s="343"/>
      <c r="GXS981" s="342"/>
      <c r="GXT981" s="343"/>
      <c r="GXU981" s="342"/>
      <c r="GXV981" s="343"/>
      <c r="GXW981" s="342"/>
      <c r="GXX981" s="343"/>
      <c r="GXY981" s="342"/>
      <c r="GXZ981" s="343"/>
      <c r="GYA981" s="342"/>
      <c r="GYB981" s="343"/>
      <c r="GYC981" s="342"/>
      <c r="GYD981" s="343"/>
      <c r="GYE981" s="342"/>
      <c r="GYF981" s="343"/>
      <c r="GYG981" s="342"/>
      <c r="GYH981" s="343"/>
      <c r="GYI981" s="342"/>
      <c r="GYJ981" s="343"/>
      <c r="GYK981" s="342"/>
      <c r="GYL981" s="343"/>
      <c r="GYM981" s="342"/>
      <c r="GYN981" s="343"/>
      <c r="GYO981" s="342"/>
      <c r="GYP981" s="343"/>
      <c r="GYQ981" s="342"/>
      <c r="GYR981" s="343"/>
      <c r="GYS981" s="342"/>
      <c r="GYT981" s="343"/>
      <c r="GYU981" s="342"/>
      <c r="GYV981" s="343"/>
      <c r="GYW981" s="342"/>
      <c r="GYX981" s="343"/>
      <c r="GYY981" s="342"/>
      <c r="GYZ981" s="343"/>
      <c r="GZA981" s="342"/>
      <c r="GZB981" s="343"/>
      <c r="GZC981" s="342"/>
      <c r="GZD981" s="343"/>
      <c r="GZE981" s="342"/>
      <c r="GZF981" s="343"/>
      <c r="GZG981" s="342"/>
      <c r="GZH981" s="343"/>
      <c r="GZI981" s="342"/>
      <c r="GZJ981" s="343"/>
      <c r="GZK981" s="342"/>
      <c r="GZL981" s="343"/>
      <c r="GZM981" s="342"/>
      <c r="GZN981" s="343"/>
      <c r="GZO981" s="342"/>
      <c r="GZP981" s="343"/>
      <c r="GZQ981" s="342"/>
      <c r="GZR981" s="343"/>
      <c r="GZS981" s="342"/>
      <c r="GZT981" s="343"/>
      <c r="GZU981" s="342"/>
      <c r="GZV981" s="343"/>
      <c r="GZW981" s="342"/>
      <c r="GZX981" s="343"/>
      <c r="GZY981" s="342"/>
      <c r="GZZ981" s="343"/>
      <c r="HAA981" s="342"/>
      <c r="HAB981" s="343"/>
      <c r="HAC981" s="342"/>
      <c r="HAD981" s="343"/>
      <c r="HAE981" s="342"/>
      <c r="HAF981" s="343"/>
      <c r="HAG981" s="342"/>
      <c r="HAH981" s="343"/>
      <c r="HAI981" s="342"/>
      <c r="HAJ981" s="343"/>
      <c r="HAK981" s="342"/>
      <c r="HAL981" s="343"/>
      <c r="HAM981" s="342"/>
      <c r="HAN981" s="343"/>
      <c r="HAO981" s="342"/>
      <c r="HAP981" s="343"/>
      <c r="HAQ981" s="342"/>
      <c r="HAR981" s="343"/>
      <c r="HAS981" s="342"/>
      <c r="HAT981" s="343"/>
      <c r="HAU981" s="342"/>
      <c r="HAV981" s="343"/>
      <c r="HAW981" s="342"/>
      <c r="HAX981" s="343"/>
      <c r="HAY981" s="342"/>
      <c r="HAZ981" s="343"/>
      <c r="HBA981" s="342"/>
      <c r="HBB981" s="343"/>
      <c r="HBC981" s="342"/>
      <c r="HBD981" s="343"/>
      <c r="HBE981" s="342"/>
      <c r="HBF981" s="343"/>
      <c r="HBG981" s="342"/>
      <c r="HBH981" s="343"/>
      <c r="HBI981" s="342"/>
      <c r="HBJ981" s="343"/>
      <c r="HBK981" s="342"/>
      <c r="HBL981" s="343"/>
      <c r="HBM981" s="342"/>
      <c r="HBN981" s="343"/>
      <c r="HBO981" s="342"/>
      <c r="HBP981" s="343"/>
      <c r="HBQ981" s="342"/>
      <c r="HBR981" s="343"/>
      <c r="HBS981" s="342"/>
      <c r="HBT981" s="343"/>
      <c r="HBU981" s="342"/>
      <c r="HBV981" s="343"/>
      <c r="HBW981" s="342"/>
      <c r="HBX981" s="343"/>
      <c r="HBY981" s="342"/>
      <c r="HBZ981" s="343"/>
      <c r="HCA981" s="342"/>
      <c r="HCB981" s="343"/>
      <c r="HCC981" s="342"/>
      <c r="HCD981" s="343"/>
      <c r="HCE981" s="342"/>
      <c r="HCF981" s="343"/>
      <c r="HCG981" s="342"/>
      <c r="HCH981" s="343"/>
      <c r="HCI981" s="342"/>
      <c r="HCJ981" s="343"/>
      <c r="HCK981" s="342"/>
      <c r="HCL981" s="343"/>
      <c r="HCM981" s="342"/>
      <c r="HCN981" s="343"/>
      <c r="HCO981" s="342"/>
      <c r="HCP981" s="343"/>
      <c r="HCQ981" s="342"/>
      <c r="HCR981" s="343"/>
      <c r="HCS981" s="342"/>
      <c r="HCT981" s="343"/>
      <c r="HCU981" s="342"/>
      <c r="HCV981" s="343"/>
      <c r="HCW981" s="342"/>
      <c r="HCX981" s="343"/>
      <c r="HCY981" s="342"/>
      <c r="HCZ981" s="343"/>
      <c r="HDA981" s="342"/>
      <c r="HDB981" s="343"/>
      <c r="HDC981" s="342"/>
      <c r="HDD981" s="343"/>
      <c r="HDE981" s="342"/>
      <c r="HDF981" s="343"/>
      <c r="HDG981" s="342"/>
      <c r="HDH981" s="343"/>
      <c r="HDI981" s="342"/>
      <c r="HDJ981" s="343"/>
      <c r="HDK981" s="342"/>
      <c r="HDL981" s="343"/>
      <c r="HDM981" s="342"/>
      <c r="HDN981" s="343"/>
      <c r="HDO981" s="342"/>
      <c r="HDP981" s="343"/>
      <c r="HDQ981" s="342"/>
      <c r="HDR981" s="343"/>
      <c r="HDS981" s="342"/>
      <c r="HDT981" s="343"/>
      <c r="HDU981" s="342"/>
      <c r="HDV981" s="343"/>
      <c r="HDW981" s="342"/>
      <c r="HDX981" s="343"/>
      <c r="HDY981" s="342"/>
      <c r="HDZ981" s="343"/>
      <c r="HEA981" s="342"/>
      <c r="HEB981" s="343"/>
      <c r="HEC981" s="342"/>
      <c r="HED981" s="343"/>
      <c r="HEE981" s="342"/>
      <c r="HEF981" s="343"/>
      <c r="HEG981" s="342"/>
      <c r="HEH981" s="343"/>
      <c r="HEI981" s="342"/>
      <c r="HEJ981" s="343"/>
      <c r="HEK981" s="342"/>
      <c r="HEL981" s="343"/>
      <c r="HEM981" s="342"/>
      <c r="HEN981" s="343"/>
      <c r="HEO981" s="342"/>
      <c r="HEP981" s="343"/>
      <c r="HEQ981" s="342"/>
      <c r="HER981" s="343"/>
      <c r="HES981" s="342"/>
      <c r="HET981" s="343"/>
      <c r="HEU981" s="342"/>
      <c r="HEV981" s="343"/>
      <c r="HEW981" s="342"/>
      <c r="HEX981" s="343"/>
      <c r="HEY981" s="342"/>
      <c r="HEZ981" s="343"/>
      <c r="HFA981" s="342"/>
      <c r="HFB981" s="343"/>
      <c r="HFC981" s="342"/>
      <c r="HFD981" s="343"/>
      <c r="HFE981" s="342"/>
      <c r="HFF981" s="343"/>
      <c r="HFG981" s="342"/>
      <c r="HFH981" s="343"/>
      <c r="HFI981" s="342"/>
      <c r="HFJ981" s="343"/>
      <c r="HFK981" s="342"/>
      <c r="HFL981" s="343"/>
      <c r="HFM981" s="342"/>
      <c r="HFN981" s="343"/>
      <c r="HFO981" s="342"/>
      <c r="HFP981" s="343"/>
      <c r="HFQ981" s="342"/>
      <c r="HFR981" s="343"/>
      <c r="HFS981" s="342"/>
      <c r="HFT981" s="343"/>
      <c r="HFU981" s="342"/>
      <c r="HFV981" s="343"/>
      <c r="HFW981" s="342"/>
      <c r="HFX981" s="343"/>
      <c r="HFY981" s="342"/>
      <c r="HFZ981" s="343"/>
      <c r="HGA981" s="342"/>
      <c r="HGB981" s="343"/>
      <c r="HGC981" s="342"/>
      <c r="HGD981" s="343"/>
      <c r="HGE981" s="342"/>
      <c r="HGF981" s="343"/>
      <c r="HGG981" s="342"/>
      <c r="HGH981" s="343"/>
      <c r="HGI981" s="342"/>
      <c r="HGJ981" s="343"/>
      <c r="HGK981" s="342"/>
      <c r="HGL981" s="343"/>
      <c r="HGM981" s="342"/>
      <c r="HGN981" s="343"/>
      <c r="HGO981" s="342"/>
      <c r="HGP981" s="343"/>
      <c r="HGQ981" s="342"/>
      <c r="HGR981" s="343"/>
      <c r="HGS981" s="342"/>
      <c r="HGT981" s="343"/>
      <c r="HGU981" s="342"/>
      <c r="HGV981" s="343"/>
      <c r="HGW981" s="342"/>
      <c r="HGX981" s="343"/>
      <c r="HGY981" s="342"/>
      <c r="HGZ981" s="343"/>
      <c r="HHA981" s="342"/>
      <c r="HHB981" s="343"/>
      <c r="HHC981" s="342"/>
      <c r="HHD981" s="343"/>
      <c r="HHE981" s="342"/>
      <c r="HHF981" s="343"/>
      <c r="HHG981" s="342"/>
      <c r="HHH981" s="343"/>
      <c r="HHI981" s="342"/>
      <c r="HHJ981" s="343"/>
      <c r="HHK981" s="342"/>
      <c r="HHL981" s="343"/>
      <c r="HHM981" s="342"/>
      <c r="HHN981" s="343"/>
      <c r="HHO981" s="342"/>
      <c r="HHP981" s="343"/>
      <c r="HHQ981" s="342"/>
      <c r="HHR981" s="343"/>
      <c r="HHS981" s="342"/>
      <c r="HHT981" s="343"/>
      <c r="HHU981" s="342"/>
      <c r="HHV981" s="343"/>
      <c r="HHW981" s="342"/>
      <c r="HHX981" s="343"/>
      <c r="HHY981" s="342"/>
      <c r="HHZ981" s="343"/>
      <c r="HIA981" s="342"/>
      <c r="HIB981" s="343"/>
      <c r="HIC981" s="342"/>
      <c r="HID981" s="343"/>
      <c r="HIE981" s="342"/>
      <c r="HIF981" s="343"/>
      <c r="HIG981" s="342"/>
      <c r="HIH981" s="343"/>
      <c r="HII981" s="342"/>
      <c r="HIJ981" s="343"/>
      <c r="HIK981" s="342"/>
      <c r="HIL981" s="343"/>
      <c r="HIM981" s="342"/>
      <c r="HIN981" s="343"/>
      <c r="HIO981" s="342"/>
      <c r="HIP981" s="343"/>
      <c r="HIQ981" s="342"/>
      <c r="HIR981" s="343"/>
      <c r="HIS981" s="342"/>
      <c r="HIT981" s="343"/>
      <c r="HIU981" s="342"/>
      <c r="HIV981" s="343"/>
      <c r="HIW981" s="342"/>
      <c r="HIX981" s="343"/>
      <c r="HIY981" s="342"/>
      <c r="HIZ981" s="343"/>
      <c r="HJA981" s="342"/>
      <c r="HJB981" s="343"/>
      <c r="HJC981" s="342"/>
      <c r="HJD981" s="343"/>
      <c r="HJE981" s="342"/>
      <c r="HJF981" s="343"/>
      <c r="HJG981" s="342"/>
      <c r="HJH981" s="343"/>
      <c r="HJI981" s="342"/>
      <c r="HJJ981" s="343"/>
      <c r="HJK981" s="342"/>
      <c r="HJL981" s="343"/>
      <c r="HJM981" s="342"/>
      <c r="HJN981" s="343"/>
      <c r="HJO981" s="342"/>
      <c r="HJP981" s="343"/>
      <c r="HJQ981" s="342"/>
      <c r="HJR981" s="343"/>
      <c r="HJS981" s="342"/>
      <c r="HJT981" s="343"/>
      <c r="HJU981" s="342"/>
      <c r="HJV981" s="343"/>
      <c r="HJW981" s="342"/>
      <c r="HJX981" s="343"/>
      <c r="HJY981" s="342"/>
      <c r="HJZ981" s="343"/>
      <c r="HKA981" s="342"/>
      <c r="HKB981" s="343"/>
      <c r="HKC981" s="342"/>
      <c r="HKD981" s="343"/>
      <c r="HKE981" s="342"/>
      <c r="HKF981" s="343"/>
      <c r="HKG981" s="342"/>
      <c r="HKH981" s="343"/>
      <c r="HKI981" s="342"/>
      <c r="HKJ981" s="343"/>
      <c r="HKK981" s="342"/>
      <c r="HKL981" s="343"/>
      <c r="HKM981" s="342"/>
      <c r="HKN981" s="343"/>
      <c r="HKO981" s="342"/>
      <c r="HKP981" s="343"/>
      <c r="HKQ981" s="342"/>
      <c r="HKR981" s="343"/>
      <c r="HKS981" s="342"/>
      <c r="HKT981" s="343"/>
      <c r="HKU981" s="342"/>
      <c r="HKV981" s="343"/>
      <c r="HKW981" s="342"/>
      <c r="HKX981" s="343"/>
      <c r="HKY981" s="342"/>
      <c r="HKZ981" s="343"/>
      <c r="HLA981" s="342"/>
      <c r="HLB981" s="343"/>
      <c r="HLC981" s="342"/>
      <c r="HLD981" s="343"/>
      <c r="HLE981" s="342"/>
      <c r="HLF981" s="343"/>
      <c r="HLG981" s="342"/>
      <c r="HLH981" s="343"/>
      <c r="HLI981" s="342"/>
      <c r="HLJ981" s="343"/>
      <c r="HLK981" s="342"/>
      <c r="HLL981" s="343"/>
      <c r="HLM981" s="342"/>
      <c r="HLN981" s="343"/>
      <c r="HLO981" s="342"/>
      <c r="HLP981" s="343"/>
      <c r="HLQ981" s="342"/>
      <c r="HLR981" s="343"/>
      <c r="HLS981" s="342"/>
      <c r="HLT981" s="343"/>
      <c r="HLU981" s="342"/>
      <c r="HLV981" s="343"/>
      <c r="HLW981" s="342"/>
      <c r="HLX981" s="343"/>
      <c r="HLY981" s="342"/>
      <c r="HLZ981" s="343"/>
      <c r="HMA981" s="342"/>
      <c r="HMB981" s="343"/>
      <c r="HMC981" s="342"/>
      <c r="HMD981" s="343"/>
      <c r="HME981" s="342"/>
      <c r="HMF981" s="343"/>
      <c r="HMG981" s="342"/>
      <c r="HMH981" s="343"/>
      <c r="HMI981" s="342"/>
      <c r="HMJ981" s="343"/>
      <c r="HMK981" s="342"/>
      <c r="HML981" s="343"/>
      <c r="HMM981" s="342"/>
      <c r="HMN981" s="343"/>
      <c r="HMO981" s="342"/>
      <c r="HMP981" s="343"/>
      <c r="HMQ981" s="342"/>
      <c r="HMR981" s="343"/>
      <c r="HMS981" s="342"/>
      <c r="HMT981" s="343"/>
      <c r="HMU981" s="342"/>
      <c r="HMV981" s="343"/>
      <c r="HMW981" s="342"/>
      <c r="HMX981" s="343"/>
      <c r="HMY981" s="342"/>
      <c r="HMZ981" s="343"/>
      <c r="HNA981" s="342"/>
      <c r="HNB981" s="343"/>
      <c r="HNC981" s="342"/>
      <c r="HND981" s="343"/>
      <c r="HNE981" s="342"/>
      <c r="HNF981" s="343"/>
      <c r="HNG981" s="342"/>
      <c r="HNH981" s="343"/>
      <c r="HNI981" s="342"/>
      <c r="HNJ981" s="343"/>
      <c r="HNK981" s="342"/>
      <c r="HNL981" s="343"/>
      <c r="HNM981" s="342"/>
      <c r="HNN981" s="343"/>
      <c r="HNO981" s="342"/>
      <c r="HNP981" s="343"/>
      <c r="HNQ981" s="342"/>
      <c r="HNR981" s="343"/>
      <c r="HNS981" s="342"/>
      <c r="HNT981" s="343"/>
      <c r="HNU981" s="342"/>
      <c r="HNV981" s="343"/>
      <c r="HNW981" s="342"/>
      <c r="HNX981" s="343"/>
      <c r="HNY981" s="342"/>
      <c r="HNZ981" s="343"/>
      <c r="HOA981" s="342"/>
      <c r="HOB981" s="343"/>
      <c r="HOC981" s="342"/>
      <c r="HOD981" s="343"/>
      <c r="HOE981" s="342"/>
      <c r="HOF981" s="343"/>
      <c r="HOG981" s="342"/>
      <c r="HOH981" s="343"/>
      <c r="HOI981" s="342"/>
      <c r="HOJ981" s="343"/>
      <c r="HOK981" s="342"/>
      <c r="HOL981" s="343"/>
      <c r="HOM981" s="342"/>
      <c r="HON981" s="343"/>
      <c r="HOO981" s="342"/>
      <c r="HOP981" s="343"/>
      <c r="HOQ981" s="342"/>
      <c r="HOR981" s="343"/>
      <c r="HOS981" s="342"/>
      <c r="HOT981" s="343"/>
      <c r="HOU981" s="342"/>
      <c r="HOV981" s="343"/>
      <c r="HOW981" s="342"/>
      <c r="HOX981" s="343"/>
      <c r="HOY981" s="342"/>
      <c r="HOZ981" s="343"/>
      <c r="HPA981" s="342"/>
      <c r="HPB981" s="343"/>
      <c r="HPC981" s="342"/>
      <c r="HPD981" s="343"/>
      <c r="HPE981" s="342"/>
      <c r="HPF981" s="343"/>
      <c r="HPG981" s="342"/>
      <c r="HPH981" s="343"/>
      <c r="HPI981" s="342"/>
      <c r="HPJ981" s="343"/>
      <c r="HPK981" s="342"/>
      <c r="HPL981" s="343"/>
      <c r="HPM981" s="342"/>
      <c r="HPN981" s="343"/>
      <c r="HPO981" s="342"/>
      <c r="HPP981" s="343"/>
      <c r="HPQ981" s="342"/>
      <c r="HPR981" s="343"/>
      <c r="HPS981" s="342"/>
      <c r="HPT981" s="343"/>
      <c r="HPU981" s="342"/>
      <c r="HPV981" s="343"/>
      <c r="HPW981" s="342"/>
      <c r="HPX981" s="343"/>
      <c r="HPY981" s="342"/>
      <c r="HPZ981" s="343"/>
      <c r="HQA981" s="342"/>
      <c r="HQB981" s="343"/>
      <c r="HQC981" s="342"/>
      <c r="HQD981" s="343"/>
      <c r="HQE981" s="342"/>
      <c r="HQF981" s="343"/>
      <c r="HQG981" s="342"/>
      <c r="HQH981" s="343"/>
      <c r="HQI981" s="342"/>
      <c r="HQJ981" s="343"/>
      <c r="HQK981" s="342"/>
      <c r="HQL981" s="343"/>
      <c r="HQM981" s="342"/>
      <c r="HQN981" s="343"/>
      <c r="HQO981" s="342"/>
      <c r="HQP981" s="343"/>
      <c r="HQQ981" s="342"/>
      <c r="HQR981" s="343"/>
      <c r="HQS981" s="342"/>
      <c r="HQT981" s="343"/>
      <c r="HQU981" s="342"/>
      <c r="HQV981" s="343"/>
      <c r="HQW981" s="342"/>
      <c r="HQX981" s="343"/>
      <c r="HQY981" s="342"/>
      <c r="HQZ981" s="343"/>
      <c r="HRA981" s="342"/>
      <c r="HRB981" s="343"/>
      <c r="HRC981" s="342"/>
      <c r="HRD981" s="343"/>
      <c r="HRE981" s="342"/>
      <c r="HRF981" s="343"/>
      <c r="HRG981" s="342"/>
      <c r="HRH981" s="343"/>
      <c r="HRI981" s="342"/>
      <c r="HRJ981" s="343"/>
      <c r="HRK981" s="342"/>
      <c r="HRL981" s="343"/>
      <c r="HRM981" s="342"/>
      <c r="HRN981" s="343"/>
      <c r="HRO981" s="342"/>
      <c r="HRP981" s="343"/>
      <c r="HRQ981" s="342"/>
      <c r="HRR981" s="343"/>
      <c r="HRS981" s="342"/>
      <c r="HRT981" s="343"/>
      <c r="HRU981" s="342"/>
      <c r="HRV981" s="343"/>
      <c r="HRW981" s="342"/>
      <c r="HRX981" s="343"/>
      <c r="HRY981" s="342"/>
      <c r="HRZ981" s="343"/>
      <c r="HSA981" s="342"/>
      <c r="HSB981" s="343"/>
      <c r="HSC981" s="342"/>
      <c r="HSD981" s="343"/>
      <c r="HSE981" s="342"/>
      <c r="HSF981" s="343"/>
      <c r="HSG981" s="342"/>
      <c r="HSH981" s="343"/>
      <c r="HSI981" s="342"/>
      <c r="HSJ981" s="343"/>
      <c r="HSK981" s="342"/>
      <c r="HSL981" s="343"/>
      <c r="HSM981" s="342"/>
      <c r="HSN981" s="343"/>
      <c r="HSO981" s="342"/>
      <c r="HSP981" s="343"/>
      <c r="HSQ981" s="342"/>
      <c r="HSR981" s="343"/>
      <c r="HSS981" s="342"/>
      <c r="HST981" s="343"/>
      <c r="HSU981" s="342"/>
      <c r="HSV981" s="343"/>
      <c r="HSW981" s="342"/>
      <c r="HSX981" s="343"/>
      <c r="HSY981" s="342"/>
      <c r="HSZ981" s="343"/>
      <c r="HTA981" s="342"/>
      <c r="HTB981" s="343"/>
      <c r="HTC981" s="342"/>
      <c r="HTD981" s="343"/>
      <c r="HTE981" s="342"/>
      <c r="HTF981" s="343"/>
      <c r="HTG981" s="342"/>
      <c r="HTH981" s="343"/>
      <c r="HTI981" s="342"/>
      <c r="HTJ981" s="343"/>
      <c r="HTK981" s="342"/>
      <c r="HTL981" s="343"/>
      <c r="HTM981" s="342"/>
      <c r="HTN981" s="343"/>
      <c r="HTO981" s="342"/>
      <c r="HTP981" s="343"/>
      <c r="HTQ981" s="342"/>
      <c r="HTR981" s="343"/>
      <c r="HTS981" s="342"/>
      <c r="HTT981" s="343"/>
      <c r="HTU981" s="342"/>
      <c r="HTV981" s="343"/>
      <c r="HTW981" s="342"/>
      <c r="HTX981" s="343"/>
      <c r="HTY981" s="342"/>
      <c r="HTZ981" s="343"/>
      <c r="HUA981" s="342"/>
      <c r="HUB981" s="343"/>
      <c r="HUC981" s="342"/>
      <c r="HUD981" s="343"/>
      <c r="HUE981" s="342"/>
      <c r="HUF981" s="343"/>
      <c r="HUG981" s="342"/>
      <c r="HUH981" s="343"/>
      <c r="HUI981" s="342"/>
      <c r="HUJ981" s="343"/>
      <c r="HUK981" s="342"/>
      <c r="HUL981" s="343"/>
      <c r="HUM981" s="342"/>
      <c r="HUN981" s="343"/>
      <c r="HUO981" s="342"/>
      <c r="HUP981" s="343"/>
      <c r="HUQ981" s="342"/>
      <c r="HUR981" s="343"/>
      <c r="HUS981" s="342"/>
      <c r="HUT981" s="343"/>
      <c r="HUU981" s="342"/>
      <c r="HUV981" s="343"/>
      <c r="HUW981" s="342"/>
      <c r="HUX981" s="343"/>
      <c r="HUY981" s="342"/>
      <c r="HUZ981" s="343"/>
      <c r="HVA981" s="342"/>
      <c r="HVB981" s="343"/>
      <c r="HVC981" s="342"/>
      <c r="HVD981" s="343"/>
      <c r="HVE981" s="342"/>
      <c r="HVF981" s="343"/>
      <c r="HVG981" s="342"/>
      <c r="HVH981" s="343"/>
      <c r="HVI981" s="342"/>
      <c r="HVJ981" s="343"/>
      <c r="HVK981" s="342"/>
      <c r="HVL981" s="343"/>
      <c r="HVM981" s="342"/>
      <c r="HVN981" s="343"/>
      <c r="HVO981" s="342"/>
      <c r="HVP981" s="343"/>
      <c r="HVQ981" s="342"/>
      <c r="HVR981" s="343"/>
      <c r="HVS981" s="342"/>
      <c r="HVT981" s="343"/>
      <c r="HVU981" s="342"/>
      <c r="HVV981" s="343"/>
      <c r="HVW981" s="342"/>
      <c r="HVX981" s="343"/>
      <c r="HVY981" s="342"/>
      <c r="HVZ981" s="343"/>
      <c r="HWA981" s="342"/>
      <c r="HWB981" s="343"/>
      <c r="HWC981" s="342"/>
      <c r="HWD981" s="343"/>
      <c r="HWE981" s="342"/>
      <c r="HWF981" s="343"/>
      <c r="HWG981" s="342"/>
      <c r="HWH981" s="343"/>
      <c r="HWI981" s="342"/>
      <c r="HWJ981" s="343"/>
      <c r="HWK981" s="342"/>
      <c r="HWL981" s="343"/>
      <c r="HWM981" s="342"/>
      <c r="HWN981" s="343"/>
      <c r="HWO981" s="342"/>
      <c r="HWP981" s="343"/>
      <c r="HWQ981" s="342"/>
      <c r="HWR981" s="343"/>
      <c r="HWS981" s="342"/>
      <c r="HWT981" s="343"/>
      <c r="HWU981" s="342"/>
      <c r="HWV981" s="343"/>
      <c r="HWW981" s="342"/>
      <c r="HWX981" s="343"/>
      <c r="HWY981" s="342"/>
      <c r="HWZ981" s="343"/>
      <c r="HXA981" s="342"/>
      <c r="HXB981" s="343"/>
      <c r="HXC981" s="342"/>
      <c r="HXD981" s="343"/>
      <c r="HXE981" s="342"/>
      <c r="HXF981" s="343"/>
      <c r="HXG981" s="342"/>
      <c r="HXH981" s="343"/>
      <c r="HXI981" s="342"/>
      <c r="HXJ981" s="343"/>
      <c r="HXK981" s="342"/>
      <c r="HXL981" s="343"/>
      <c r="HXM981" s="342"/>
      <c r="HXN981" s="343"/>
      <c r="HXO981" s="342"/>
      <c r="HXP981" s="343"/>
      <c r="HXQ981" s="342"/>
      <c r="HXR981" s="343"/>
      <c r="HXS981" s="342"/>
      <c r="HXT981" s="343"/>
      <c r="HXU981" s="342"/>
      <c r="HXV981" s="343"/>
      <c r="HXW981" s="342"/>
      <c r="HXX981" s="343"/>
      <c r="HXY981" s="342"/>
      <c r="HXZ981" s="343"/>
      <c r="HYA981" s="342"/>
      <c r="HYB981" s="343"/>
      <c r="HYC981" s="342"/>
      <c r="HYD981" s="343"/>
      <c r="HYE981" s="342"/>
      <c r="HYF981" s="343"/>
      <c r="HYG981" s="342"/>
      <c r="HYH981" s="343"/>
      <c r="HYI981" s="342"/>
      <c r="HYJ981" s="343"/>
      <c r="HYK981" s="342"/>
      <c r="HYL981" s="343"/>
      <c r="HYM981" s="342"/>
      <c r="HYN981" s="343"/>
      <c r="HYO981" s="342"/>
      <c r="HYP981" s="343"/>
      <c r="HYQ981" s="342"/>
      <c r="HYR981" s="343"/>
      <c r="HYS981" s="342"/>
      <c r="HYT981" s="343"/>
      <c r="HYU981" s="342"/>
      <c r="HYV981" s="343"/>
      <c r="HYW981" s="342"/>
      <c r="HYX981" s="343"/>
      <c r="HYY981" s="342"/>
      <c r="HYZ981" s="343"/>
      <c r="HZA981" s="342"/>
      <c r="HZB981" s="343"/>
      <c r="HZC981" s="342"/>
      <c r="HZD981" s="343"/>
      <c r="HZE981" s="342"/>
      <c r="HZF981" s="343"/>
      <c r="HZG981" s="342"/>
      <c r="HZH981" s="343"/>
      <c r="HZI981" s="342"/>
      <c r="HZJ981" s="343"/>
      <c r="HZK981" s="342"/>
      <c r="HZL981" s="343"/>
      <c r="HZM981" s="342"/>
      <c r="HZN981" s="343"/>
      <c r="HZO981" s="342"/>
      <c r="HZP981" s="343"/>
      <c r="HZQ981" s="342"/>
      <c r="HZR981" s="343"/>
      <c r="HZS981" s="342"/>
      <c r="HZT981" s="343"/>
      <c r="HZU981" s="342"/>
      <c r="HZV981" s="343"/>
      <c r="HZW981" s="342"/>
      <c r="HZX981" s="343"/>
      <c r="HZY981" s="342"/>
      <c r="HZZ981" s="343"/>
      <c r="IAA981" s="342"/>
      <c r="IAB981" s="343"/>
      <c r="IAC981" s="342"/>
      <c r="IAD981" s="343"/>
      <c r="IAE981" s="342"/>
      <c r="IAF981" s="343"/>
      <c r="IAG981" s="342"/>
      <c r="IAH981" s="343"/>
      <c r="IAI981" s="342"/>
      <c r="IAJ981" s="343"/>
      <c r="IAK981" s="342"/>
      <c r="IAL981" s="343"/>
      <c r="IAM981" s="342"/>
      <c r="IAN981" s="343"/>
      <c r="IAO981" s="342"/>
      <c r="IAP981" s="343"/>
      <c r="IAQ981" s="342"/>
      <c r="IAR981" s="343"/>
      <c r="IAS981" s="342"/>
      <c r="IAT981" s="343"/>
      <c r="IAU981" s="342"/>
      <c r="IAV981" s="343"/>
      <c r="IAW981" s="342"/>
      <c r="IAX981" s="343"/>
      <c r="IAY981" s="342"/>
      <c r="IAZ981" s="343"/>
      <c r="IBA981" s="342"/>
      <c r="IBB981" s="343"/>
      <c r="IBC981" s="342"/>
      <c r="IBD981" s="343"/>
      <c r="IBE981" s="342"/>
      <c r="IBF981" s="343"/>
      <c r="IBG981" s="342"/>
      <c r="IBH981" s="343"/>
      <c r="IBI981" s="342"/>
      <c r="IBJ981" s="343"/>
      <c r="IBK981" s="342"/>
      <c r="IBL981" s="343"/>
      <c r="IBM981" s="342"/>
      <c r="IBN981" s="343"/>
      <c r="IBO981" s="342"/>
      <c r="IBP981" s="343"/>
      <c r="IBQ981" s="342"/>
      <c r="IBR981" s="343"/>
      <c r="IBS981" s="342"/>
      <c r="IBT981" s="343"/>
      <c r="IBU981" s="342"/>
      <c r="IBV981" s="343"/>
      <c r="IBW981" s="342"/>
      <c r="IBX981" s="343"/>
      <c r="IBY981" s="342"/>
      <c r="IBZ981" s="343"/>
      <c r="ICA981" s="342"/>
      <c r="ICB981" s="343"/>
      <c r="ICC981" s="342"/>
      <c r="ICD981" s="343"/>
      <c r="ICE981" s="342"/>
      <c r="ICF981" s="343"/>
      <c r="ICG981" s="342"/>
      <c r="ICH981" s="343"/>
      <c r="ICI981" s="342"/>
      <c r="ICJ981" s="343"/>
      <c r="ICK981" s="342"/>
      <c r="ICL981" s="343"/>
      <c r="ICM981" s="342"/>
      <c r="ICN981" s="343"/>
      <c r="ICO981" s="342"/>
      <c r="ICP981" s="343"/>
      <c r="ICQ981" s="342"/>
      <c r="ICR981" s="343"/>
      <c r="ICS981" s="342"/>
      <c r="ICT981" s="343"/>
      <c r="ICU981" s="342"/>
      <c r="ICV981" s="343"/>
      <c r="ICW981" s="342"/>
      <c r="ICX981" s="343"/>
      <c r="ICY981" s="342"/>
      <c r="ICZ981" s="343"/>
      <c r="IDA981" s="342"/>
      <c r="IDB981" s="343"/>
      <c r="IDC981" s="342"/>
      <c r="IDD981" s="343"/>
      <c r="IDE981" s="342"/>
      <c r="IDF981" s="343"/>
      <c r="IDG981" s="342"/>
      <c r="IDH981" s="343"/>
      <c r="IDI981" s="342"/>
      <c r="IDJ981" s="343"/>
      <c r="IDK981" s="342"/>
      <c r="IDL981" s="343"/>
      <c r="IDM981" s="342"/>
      <c r="IDN981" s="343"/>
      <c r="IDO981" s="342"/>
      <c r="IDP981" s="343"/>
      <c r="IDQ981" s="342"/>
      <c r="IDR981" s="343"/>
      <c r="IDS981" s="342"/>
      <c r="IDT981" s="343"/>
      <c r="IDU981" s="342"/>
      <c r="IDV981" s="343"/>
      <c r="IDW981" s="342"/>
      <c r="IDX981" s="343"/>
      <c r="IDY981" s="342"/>
      <c r="IDZ981" s="343"/>
      <c r="IEA981" s="342"/>
      <c r="IEB981" s="343"/>
      <c r="IEC981" s="342"/>
      <c r="IED981" s="343"/>
      <c r="IEE981" s="342"/>
      <c r="IEF981" s="343"/>
      <c r="IEG981" s="342"/>
      <c r="IEH981" s="343"/>
      <c r="IEI981" s="342"/>
      <c r="IEJ981" s="343"/>
      <c r="IEK981" s="342"/>
      <c r="IEL981" s="343"/>
      <c r="IEM981" s="342"/>
      <c r="IEN981" s="343"/>
      <c r="IEO981" s="342"/>
      <c r="IEP981" s="343"/>
      <c r="IEQ981" s="342"/>
      <c r="IER981" s="343"/>
      <c r="IES981" s="342"/>
      <c r="IET981" s="343"/>
      <c r="IEU981" s="342"/>
      <c r="IEV981" s="343"/>
      <c r="IEW981" s="342"/>
      <c r="IEX981" s="343"/>
      <c r="IEY981" s="342"/>
      <c r="IEZ981" s="343"/>
      <c r="IFA981" s="342"/>
      <c r="IFB981" s="343"/>
      <c r="IFC981" s="342"/>
      <c r="IFD981" s="343"/>
      <c r="IFE981" s="342"/>
      <c r="IFF981" s="343"/>
      <c r="IFG981" s="342"/>
      <c r="IFH981" s="343"/>
      <c r="IFI981" s="342"/>
      <c r="IFJ981" s="343"/>
      <c r="IFK981" s="342"/>
      <c r="IFL981" s="343"/>
      <c r="IFM981" s="342"/>
      <c r="IFN981" s="343"/>
      <c r="IFO981" s="342"/>
      <c r="IFP981" s="343"/>
      <c r="IFQ981" s="342"/>
      <c r="IFR981" s="343"/>
      <c r="IFS981" s="342"/>
      <c r="IFT981" s="343"/>
      <c r="IFU981" s="342"/>
      <c r="IFV981" s="343"/>
      <c r="IFW981" s="342"/>
      <c r="IFX981" s="343"/>
      <c r="IFY981" s="342"/>
      <c r="IFZ981" s="343"/>
      <c r="IGA981" s="342"/>
      <c r="IGB981" s="343"/>
      <c r="IGC981" s="342"/>
      <c r="IGD981" s="343"/>
      <c r="IGE981" s="342"/>
      <c r="IGF981" s="343"/>
      <c r="IGG981" s="342"/>
      <c r="IGH981" s="343"/>
      <c r="IGI981" s="342"/>
      <c r="IGJ981" s="343"/>
      <c r="IGK981" s="342"/>
      <c r="IGL981" s="343"/>
      <c r="IGM981" s="342"/>
      <c r="IGN981" s="343"/>
      <c r="IGO981" s="342"/>
      <c r="IGP981" s="343"/>
      <c r="IGQ981" s="342"/>
      <c r="IGR981" s="343"/>
      <c r="IGS981" s="342"/>
      <c r="IGT981" s="343"/>
      <c r="IGU981" s="342"/>
      <c r="IGV981" s="343"/>
      <c r="IGW981" s="342"/>
      <c r="IGX981" s="343"/>
      <c r="IGY981" s="342"/>
      <c r="IGZ981" s="343"/>
      <c r="IHA981" s="342"/>
      <c r="IHB981" s="343"/>
      <c r="IHC981" s="342"/>
      <c r="IHD981" s="343"/>
      <c r="IHE981" s="342"/>
      <c r="IHF981" s="343"/>
      <c r="IHG981" s="342"/>
      <c r="IHH981" s="343"/>
      <c r="IHI981" s="342"/>
      <c r="IHJ981" s="343"/>
      <c r="IHK981" s="342"/>
      <c r="IHL981" s="343"/>
      <c r="IHM981" s="342"/>
      <c r="IHN981" s="343"/>
      <c r="IHO981" s="342"/>
      <c r="IHP981" s="343"/>
      <c r="IHQ981" s="342"/>
      <c r="IHR981" s="343"/>
      <c r="IHS981" s="342"/>
      <c r="IHT981" s="343"/>
      <c r="IHU981" s="342"/>
      <c r="IHV981" s="343"/>
      <c r="IHW981" s="342"/>
      <c r="IHX981" s="343"/>
      <c r="IHY981" s="342"/>
      <c r="IHZ981" s="343"/>
      <c r="IIA981" s="342"/>
      <c r="IIB981" s="343"/>
      <c r="IIC981" s="342"/>
      <c r="IID981" s="343"/>
      <c r="IIE981" s="342"/>
      <c r="IIF981" s="343"/>
      <c r="IIG981" s="342"/>
      <c r="IIH981" s="343"/>
      <c r="III981" s="342"/>
      <c r="IIJ981" s="343"/>
      <c r="IIK981" s="342"/>
      <c r="IIL981" s="343"/>
      <c r="IIM981" s="342"/>
      <c r="IIN981" s="343"/>
      <c r="IIO981" s="342"/>
      <c r="IIP981" s="343"/>
      <c r="IIQ981" s="342"/>
      <c r="IIR981" s="343"/>
      <c r="IIS981" s="342"/>
      <c r="IIT981" s="343"/>
      <c r="IIU981" s="342"/>
      <c r="IIV981" s="343"/>
      <c r="IIW981" s="342"/>
      <c r="IIX981" s="343"/>
      <c r="IIY981" s="342"/>
      <c r="IIZ981" s="343"/>
      <c r="IJA981" s="342"/>
      <c r="IJB981" s="343"/>
      <c r="IJC981" s="342"/>
      <c r="IJD981" s="343"/>
      <c r="IJE981" s="342"/>
      <c r="IJF981" s="343"/>
      <c r="IJG981" s="342"/>
      <c r="IJH981" s="343"/>
      <c r="IJI981" s="342"/>
      <c r="IJJ981" s="343"/>
      <c r="IJK981" s="342"/>
      <c r="IJL981" s="343"/>
      <c r="IJM981" s="342"/>
      <c r="IJN981" s="343"/>
      <c r="IJO981" s="342"/>
      <c r="IJP981" s="343"/>
      <c r="IJQ981" s="342"/>
      <c r="IJR981" s="343"/>
      <c r="IJS981" s="342"/>
      <c r="IJT981" s="343"/>
      <c r="IJU981" s="342"/>
      <c r="IJV981" s="343"/>
      <c r="IJW981" s="342"/>
      <c r="IJX981" s="343"/>
      <c r="IJY981" s="342"/>
      <c r="IJZ981" s="343"/>
      <c r="IKA981" s="342"/>
      <c r="IKB981" s="343"/>
      <c r="IKC981" s="342"/>
      <c r="IKD981" s="343"/>
      <c r="IKE981" s="342"/>
      <c r="IKF981" s="343"/>
      <c r="IKG981" s="342"/>
      <c r="IKH981" s="343"/>
      <c r="IKI981" s="342"/>
      <c r="IKJ981" s="343"/>
      <c r="IKK981" s="342"/>
      <c r="IKL981" s="343"/>
      <c r="IKM981" s="342"/>
      <c r="IKN981" s="343"/>
      <c r="IKO981" s="342"/>
      <c r="IKP981" s="343"/>
      <c r="IKQ981" s="342"/>
      <c r="IKR981" s="343"/>
      <c r="IKS981" s="342"/>
      <c r="IKT981" s="343"/>
      <c r="IKU981" s="342"/>
      <c r="IKV981" s="343"/>
      <c r="IKW981" s="342"/>
      <c r="IKX981" s="343"/>
      <c r="IKY981" s="342"/>
      <c r="IKZ981" s="343"/>
      <c r="ILA981" s="342"/>
      <c r="ILB981" s="343"/>
      <c r="ILC981" s="342"/>
      <c r="ILD981" s="343"/>
      <c r="ILE981" s="342"/>
      <c r="ILF981" s="343"/>
      <c r="ILG981" s="342"/>
      <c r="ILH981" s="343"/>
      <c r="ILI981" s="342"/>
      <c r="ILJ981" s="343"/>
      <c r="ILK981" s="342"/>
      <c r="ILL981" s="343"/>
      <c r="ILM981" s="342"/>
      <c r="ILN981" s="343"/>
      <c r="ILO981" s="342"/>
      <c r="ILP981" s="343"/>
      <c r="ILQ981" s="342"/>
      <c r="ILR981" s="343"/>
      <c r="ILS981" s="342"/>
      <c r="ILT981" s="343"/>
      <c r="ILU981" s="342"/>
      <c r="ILV981" s="343"/>
      <c r="ILW981" s="342"/>
      <c r="ILX981" s="343"/>
      <c r="ILY981" s="342"/>
      <c r="ILZ981" s="343"/>
      <c r="IMA981" s="342"/>
      <c r="IMB981" s="343"/>
      <c r="IMC981" s="342"/>
      <c r="IMD981" s="343"/>
      <c r="IME981" s="342"/>
      <c r="IMF981" s="343"/>
      <c r="IMG981" s="342"/>
      <c r="IMH981" s="343"/>
      <c r="IMI981" s="342"/>
      <c r="IMJ981" s="343"/>
      <c r="IMK981" s="342"/>
      <c r="IML981" s="343"/>
      <c r="IMM981" s="342"/>
      <c r="IMN981" s="343"/>
      <c r="IMO981" s="342"/>
      <c r="IMP981" s="343"/>
      <c r="IMQ981" s="342"/>
      <c r="IMR981" s="343"/>
      <c r="IMS981" s="342"/>
      <c r="IMT981" s="343"/>
      <c r="IMU981" s="342"/>
      <c r="IMV981" s="343"/>
      <c r="IMW981" s="342"/>
      <c r="IMX981" s="343"/>
      <c r="IMY981" s="342"/>
      <c r="IMZ981" s="343"/>
      <c r="INA981" s="342"/>
      <c r="INB981" s="343"/>
      <c r="INC981" s="342"/>
      <c r="IND981" s="343"/>
      <c r="INE981" s="342"/>
      <c r="INF981" s="343"/>
      <c r="ING981" s="342"/>
      <c r="INH981" s="343"/>
      <c r="INI981" s="342"/>
      <c r="INJ981" s="343"/>
      <c r="INK981" s="342"/>
      <c r="INL981" s="343"/>
      <c r="INM981" s="342"/>
      <c r="INN981" s="343"/>
      <c r="INO981" s="342"/>
      <c r="INP981" s="343"/>
      <c r="INQ981" s="342"/>
      <c r="INR981" s="343"/>
      <c r="INS981" s="342"/>
      <c r="INT981" s="343"/>
      <c r="INU981" s="342"/>
      <c r="INV981" s="343"/>
      <c r="INW981" s="342"/>
      <c r="INX981" s="343"/>
      <c r="INY981" s="342"/>
      <c r="INZ981" s="343"/>
      <c r="IOA981" s="342"/>
      <c r="IOB981" s="343"/>
      <c r="IOC981" s="342"/>
      <c r="IOD981" s="343"/>
      <c r="IOE981" s="342"/>
      <c r="IOF981" s="343"/>
      <c r="IOG981" s="342"/>
      <c r="IOH981" s="343"/>
      <c r="IOI981" s="342"/>
      <c r="IOJ981" s="343"/>
      <c r="IOK981" s="342"/>
      <c r="IOL981" s="343"/>
      <c r="IOM981" s="342"/>
      <c r="ION981" s="343"/>
      <c r="IOO981" s="342"/>
      <c r="IOP981" s="343"/>
      <c r="IOQ981" s="342"/>
      <c r="IOR981" s="343"/>
      <c r="IOS981" s="342"/>
      <c r="IOT981" s="343"/>
      <c r="IOU981" s="342"/>
      <c r="IOV981" s="343"/>
      <c r="IOW981" s="342"/>
      <c r="IOX981" s="343"/>
      <c r="IOY981" s="342"/>
      <c r="IOZ981" s="343"/>
      <c r="IPA981" s="342"/>
      <c r="IPB981" s="343"/>
      <c r="IPC981" s="342"/>
      <c r="IPD981" s="343"/>
      <c r="IPE981" s="342"/>
      <c r="IPF981" s="343"/>
      <c r="IPG981" s="342"/>
      <c r="IPH981" s="343"/>
      <c r="IPI981" s="342"/>
      <c r="IPJ981" s="343"/>
      <c r="IPK981" s="342"/>
      <c r="IPL981" s="343"/>
      <c r="IPM981" s="342"/>
      <c r="IPN981" s="343"/>
      <c r="IPO981" s="342"/>
      <c r="IPP981" s="343"/>
      <c r="IPQ981" s="342"/>
      <c r="IPR981" s="343"/>
      <c r="IPS981" s="342"/>
      <c r="IPT981" s="343"/>
      <c r="IPU981" s="342"/>
      <c r="IPV981" s="343"/>
      <c r="IPW981" s="342"/>
      <c r="IPX981" s="343"/>
      <c r="IPY981" s="342"/>
      <c r="IPZ981" s="343"/>
      <c r="IQA981" s="342"/>
      <c r="IQB981" s="343"/>
      <c r="IQC981" s="342"/>
      <c r="IQD981" s="343"/>
      <c r="IQE981" s="342"/>
      <c r="IQF981" s="343"/>
      <c r="IQG981" s="342"/>
      <c r="IQH981" s="343"/>
      <c r="IQI981" s="342"/>
      <c r="IQJ981" s="343"/>
      <c r="IQK981" s="342"/>
      <c r="IQL981" s="343"/>
      <c r="IQM981" s="342"/>
      <c r="IQN981" s="343"/>
      <c r="IQO981" s="342"/>
      <c r="IQP981" s="343"/>
      <c r="IQQ981" s="342"/>
      <c r="IQR981" s="343"/>
      <c r="IQS981" s="342"/>
      <c r="IQT981" s="343"/>
      <c r="IQU981" s="342"/>
      <c r="IQV981" s="343"/>
      <c r="IQW981" s="342"/>
      <c r="IQX981" s="343"/>
      <c r="IQY981" s="342"/>
      <c r="IQZ981" s="343"/>
      <c r="IRA981" s="342"/>
      <c r="IRB981" s="343"/>
      <c r="IRC981" s="342"/>
      <c r="IRD981" s="343"/>
      <c r="IRE981" s="342"/>
      <c r="IRF981" s="343"/>
      <c r="IRG981" s="342"/>
      <c r="IRH981" s="343"/>
      <c r="IRI981" s="342"/>
      <c r="IRJ981" s="343"/>
      <c r="IRK981" s="342"/>
      <c r="IRL981" s="343"/>
      <c r="IRM981" s="342"/>
      <c r="IRN981" s="343"/>
      <c r="IRO981" s="342"/>
      <c r="IRP981" s="343"/>
      <c r="IRQ981" s="342"/>
      <c r="IRR981" s="343"/>
      <c r="IRS981" s="342"/>
      <c r="IRT981" s="343"/>
      <c r="IRU981" s="342"/>
      <c r="IRV981" s="343"/>
      <c r="IRW981" s="342"/>
      <c r="IRX981" s="343"/>
      <c r="IRY981" s="342"/>
      <c r="IRZ981" s="343"/>
      <c r="ISA981" s="342"/>
      <c r="ISB981" s="343"/>
      <c r="ISC981" s="342"/>
      <c r="ISD981" s="343"/>
      <c r="ISE981" s="342"/>
      <c r="ISF981" s="343"/>
      <c r="ISG981" s="342"/>
      <c r="ISH981" s="343"/>
      <c r="ISI981" s="342"/>
      <c r="ISJ981" s="343"/>
      <c r="ISK981" s="342"/>
      <c r="ISL981" s="343"/>
      <c r="ISM981" s="342"/>
      <c r="ISN981" s="343"/>
      <c r="ISO981" s="342"/>
      <c r="ISP981" s="343"/>
      <c r="ISQ981" s="342"/>
      <c r="ISR981" s="343"/>
      <c r="ISS981" s="342"/>
      <c r="IST981" s="343"/>
      <c r="ISU981" s="342"/>
      <c r="ISV981" s="343"/>
      <c r="ISW981" s="342"/>
      <c r="ISX981" s="343"/>
      <c r="ISY981" s="342"/>
      <c r="ISZ981" s="343"/>
      <c r="ITA981" s="342"/>
      <c r="ITB981" s="343"/>
      <c r="ITC981" s="342"/>
      <c r="ITD981" s="343"/>
      <c r="ITE981" s="342"/>
      <c r="ITF981" s="343"/>
      <c r="ITG981" s="342"/>
      <c r="ITH981" s="343"/>
      <c r="ITI981" s="342"/>
      <c r="ITJ981" s="343"/>
      <c r="ITK981" s="342"/>
      <c r="ITL981" s="343"/>
      <c r="ITM981" s="342"/>
      <c r="ITN981" s="343"/>
      <c r="ITO981" s="342"/>
      <c r="ITP981" s="343"/>
      <c r="ITQ981" s="342"/>
      <c r="ITR981" s="343"/>
      <c r="ITS981" s="342"/>
      <c r="ITT981" s="343"/>
      <c r="ITU981" s="342"/>
      <c r="ITV981" s="343"/>
      <c r="ITW981" s="342"/>
      <c r="ITX981" s="343"/>
      <c r="ITY981" s="342"/>
      <c r="ITZ981" s="343"/>
      <c r="IUA981" s="342"/>
      <c r="IUB981" s="343"/>
      <c r="IUC981" s="342"/>
      <c r="IUD981" s="343"/>
      <c r="IUE981" s="342"/>
      <c r="IUF981" s="343"/>
      <c r="IUG981" s="342"/>
      <c r="IUH981" s="343"/>
      <c r="IUI981" s="342"/>
      <c r="IUJ981" s="343"/>
      <c r="IUK981" s="342"/>
      <c r="IUL981" s="343"/>
      <c r="IUM981" s="342"/>
      <c r="IUN981" s="343"/>
      <c r="IUO981" s="342"/>
      <c r="IUP981" s="343"/>
      <c r="IUQ981" s="342"/>
      <c r="IUR981" s="343"/>
      <c r="IUS981" s="342"/>
      <c r="IUT981" s="343"/>
      <c r="IUU981" s="342"/>
      <c r="IUV981" s="343"/>
      <c r="IUW981" s="342"/>
      <c r="IUX981" s="343"/>
      <c r="IUY981" s="342"/>
      <c r="IUZ981" s="343"/>
      <c r="IVA981" s="342"/>
      <c r="IVB981" s="343"/>
      <c r="IVC981" s="342"/>
      <c r="IVD981" s="343"/>
      <c r="IVE981" s="342"/>
      <c r="IVF981" s="343"/>
      <c r="IVG981" s="342"/>
      <c r="IVH981" s="343"/>
      <c r="IVI981" s="342"/>
      <c r="IVJ981" s="343"/>
      <c r="IVK981" s="342"/>
      <c r="IVL981" s="343"/>
      <c r="IVM981" s="342"/>
      <c r="IVN981" s="343"/>
      <c r="IVO981" s="342"/>
      <c r="IVP981" s="343"/>
      <c r="IVQ981" s="342"/>
      <c r="IVR981" s="343"/>
      <c r="IVS981" s="342"/>
      <c r="IVT981" s="343"/>
      <c r="IVU981" s="342"/>
      <c r="IVV981" s="343"/>
      <c r="IVW981" s="342"/>
      <c r="IVX981" s="343"/>
      <c r="IVY981" s="342"/>
      <c r="IVZ981" s="343"/>
      <c r="IWA981" s="342"/>
      <c r="IWB981" s="343"/>
      <c r="IWC981" s="342"/>
      <c r="IWD981" s="343"/>
      <c r="IWE981" s="342"/>
      <c r="IWF981" s="343"/>
      <c r="IWG981" s="342"/>
      <c r="IWH981" s="343"/>
      <c r="IWI981" s="342"/>
      <c r="IWJ981" s="343"/>
      <c r="IWK981" s="342"/>
      <c r="IWL981" s="343"/>
      <c r="IWM981" s="342"/>
      <c r="IWN981" s="343"/>
      <c r="IWO981" s="342"/>
      <c r="IWP981" s="343"/>
      <c r="IWQ981" s="342"/>
      <c r="IWR981" s="343"/>
      <c r="IWS981" s="342"/>
      <c r="IWT981" s="343"/>
      <c r="IWU981" s="342"/>
      <c r="IWV981" s="343"/>
      <c r="IWW981" s="342"/>
      <c r="IWX981" s="343"/>
      <c r="IWY981" s="342"/>
      <c r="IWZ981" s="343"/>
      <c r="IXA981" s="342"/>
      <c r="IXB981" s="343"/>
      <c r="IXC981" s="342"/>
      <c r="IXD981" s="343"/>
      <c r="IXE981" s="342"/>
      <c r="IXF981" s="343"/>
      <c r="IXG981" s="342"/>
      <c r="IXH981" s="343"/>
      <c r="IXI981" s="342"/>
      <c r="IXJ981" s="343"/>
      <c r="IXK981" s="342"/>
      <c r="IXL981" s="343"/>
      <c r="IXM981" s="342"/>
      <c r="IXN981" s="343"/>
      <c r="IXO981" s="342"/>
      <c r="IXP981" s="343"/>
      <c r="IXQ981" s="342"/>
      <c r="IXR981" s="343"/>
      <c r="IXS981" s="342"/>
      <c r="IXT981" s="343"/>
      <c r="IXU981" s="342"/>
      <c r="IXV981" s="343"/>
      <c r="IXW981" s="342"/>
      <c r="IXX981" s="343"/>
      <c r="IXY981" s="342"/>
      <c r="IXZ981" s="343"/>
      <c r="IYA981" s="342"/>
      <c r="IYB981" s="343"/>
      <c r="IYC981" s="342"/>
      <c r="IYD981" s="343"/>
      <c r="IYE981" s="342"/>
      <c r="IYF981" s="343"/>
      <c r="IYG981" s="342"/>
      <c r="IYH981" s="343"/>
      <c r="IYI981" s="342"/>
      <c r="IYJ981" s="343"/>
      <c r="IYK981" s="342"/>
      <c r="IYL981" s="343"/>
      <c r="IYM981" s="342"/>
      <c r="IYN981" s="343"/>
      <c r="IYO981" s="342"/>
      <c r="IYP981" s="343"/>
      <c r="IYQ981" s="342"/>
      <c r="IYR981" s="343"/>
      <c r="IYS981" s="342"/>
      <c r="IYT981" s="343"/>
      <c r="IYU981" s="342"/>
      <c r="IYV981" s="343"/>
      <c r="IYW981" s="342"/>
      <c r="IYX981" s="343"/>
      <c r="IYY981" s="342"/>
      <c r="IYZ981" s="343"/>
      <c r="IZA981" s="342"/>
      <c r="IZB981" s="343"/>
      <c r="IZC981" s="342"/>
      <c r="IZD981" s="343"/>
      <c r="IZE981" s="342"/>
      <c r="IZF981" s="343"/>
      <c r="IZG981" s="342"/>
      <c r="IZH981" s="343"/>
      <c r="IZI981" s="342"/>
      <c r="IZJ981" s="343"/>
      <c r="IZK981" s="342"/>
      <c r="IZL981" s="343"/>
      <c r="IZM981" s="342"/>
      <c r="IZN981" s="343"/>
      <c r="IZO981" s="342"/>
      <c r="IZP981" s="343"/>
      <c r="IZQ981" s="342"/>
      <c r="IZR981" s="343"/>
      <c r="IZS981" s="342"/>
      <c r="IZT981" s="343"/>
      <c r="IZU981" s="342"/>
      <c r="IZV981" s="343"/>
      <c r="IZW981" s="342"/>
      <c r="IZX981" s="343"/>
      <c r="IZY981" s="342"/>
      <c r="IZZ981" s="343"/>
      <c r="JAA981" s="342"/>
      <c r="JAB981" s="343"/>
      <c r="JAC981" s="342"/>
      <c r="JAD981" s="343"/>
      <c r="JAE981" s="342"/>
      <c r="JAF981" s="343"/>
      <c r="JAG981" s="342"/>
      <c r="JAH981" s="343"/>
      <c r="JAI981" s="342"/>
      <c r="JAJ981" s="343"/>
      <c r="JAK981" s="342"/>
      <c r="JAL981" s="343"/>
      <c r="JAM981" s="342"/>
      <c r="JAN981" s="343"/>
      <c r="JAO981" s="342"/>
      <c r="JAP981" s="343"/>
      <c r="JAQ981" s="342"/>
      <c r="JAR981" s="343"/>
      <c r="JAS981" s="342"/>
      <c r="JAT981" s="343"/>
      <c r="JAU981" s="342"/>
      <c r="JAV981" s="343"/>
      <c r="JAW981" s="342"/>
      <c r="JAX981" s="343"/>
      <c r="JAY981" s="342"/>
      <c r="JAZ981" s="343"/>
      <c r="JBA981" s="342"/>
      <c r="JBB981" s="343"/>
      <c r="JBC981" s="342"/>
      <c r="JBD981" s="343"/>
      <c r="JBE981" s="342"/>
      <c r="JBF981" s="343"/>
      <c r="JBG981" s="342"/>
      <c r="JBH981" s="343"/>
      <c r="JBI981" s="342"/>
      <c r="JBJ981" s="343"/>
      <c r="JBK981" s="342"/>
      <c r="JBL981" s="343"/>
      <c r="JBM981" s="342"/>
      <c r="JBN981" s="343"/>
      <c r="JBO981" s="342"/>
      <c r="JBP981" s="343"/>
      <c r="JBQ981" s="342"/>
      <c r="JBR981" s="343"/>
      <c r="JBS981" s="342"/>
      <c r="JBT981" s="343"/>
      <c r="JBU981" s="342"/>
      <c r="JBV981" s="343"/>
      <c r="JBW981" s="342"/>
      <c r="JBX981" s="343"/>
      <c r="JBY981" s="342"/>
      <c r="JBZ981" s="343"/>
      <c r="JCA981" s="342"/>
      <c r="JCB981" s="343"/>
      <c r="JCC981" s="342"/>
      <c r="JCD981" s="343"/>
      <c r="JCE981" s="342"/>
      <c r="JCF981" s="343"/>
      <c r="JCG981" s="342"/>
      <c r="JCH981" s="343"/>
      <c r="JCI981" s="342"/>
      <c r="JCJ981" s="343"/>
      <c r="JCK981" s="342"/>
      <c r="JCL981" s="343"/>
      <c r="JCM981" s="342"/>
      <c r="JCN981" s="343"/>
      <c r="JCO981" s="342"/>
      <c r="JCP981" s="343"/>
      <c r="JCQ981" s="342"/>
      <c r="JCR981" s="343"/>
      <c r="JCS981" s="342"/>
      <c r="JCT981" s="343"/>
      <c r="JCU981" s="342"/>
      <c r="JCV981" s="343"/>
      <c r="JCW981" s="342"/>
      <c r="JCX981" s="343"/>
      <c r="JCY981" s="342"/>
      <c r="JCZ981" s="343"/>
      <c r="JDA981" s="342"/>
      <c r="JDB981" s="343"/>
      <c r="JDC981" s="342"/>
      <c r="JDD981" s="343"/>
      <c r="JDE981" s="342"/>
      <c r="JDF981" s="343"/>
      <c r="JDG981" s="342"/>
      <c r="JDH981" s="343"/>
      <c r="JDI981" s="342"/>
      <c r="JDJ981" s="343"/>
      <c r="JDK981" s="342"/>
      <c r="JDL981" s="343"/>
      <c r="JDM981" s="342"/>
      <c r="JDN981" s="343"/>
      <c r="JDO981" s="342"/>
      <c r="JDP981" s="343"/>
      <c r="JDQ981" s="342"/>
      <c r="JDR981" s="343"/>
      <c r="JDS981" s="342"/>
      <c r="JDT981" s="343"/>
      <c r="JDU981" s="342"/>
      <c r="JDV981" s="343"/>
      <c r="JDW981" s="342"/>
      <c r="JDX981" s="343"/>
      <c r="JDY981" s="342"/>
      <c r="JDZ981" s="343"/>
      <c r="JEA981" s="342"/>
      <c r="JEB981" s="343"/>
      <c r="JEC981" s="342"/>
      <c r="JED981" s="343"/>
      <c r="JEE981" s="342"/>
      <c r="JEF981" s="343"/>
      <c r="JEG981" s="342"/>
      <c r="JEH981" s="343"/>
      <c r="JEI981" s="342"/>
      <c r="JEJ981" s="343"/>
      <c r="JEK981" s="342"/>
      <c r="JEL981" s="343"/>
      <c r="JEM981" s="342"/>
      <c r="JEN981" s="343"/>
      <c r="JEO981" s="342"/>
      <c r="JEP981" s="343"/>
      <c r="JEQ981" s="342"/>
      <c r="JER981" s="343"/>
      <c r="JES981" s="342"/>
      <c r="JET981" s="343"/>
      <c r="JEU981" s="342"/>
      <c r="JEV981" s="343"/>
      <c r="JEW981" s="342"/>
      <c r="JEX981" s="343"/>
      <c r="JEY981" s="342"/>
      <c r="JEZ981" s="343"/>
      <c r="JFA981" s="342"/>
      <c r="JFB981" s="343"/>
      <c r="JFC981" s="342"/>
      <c r="JFD981" s="343"/>
      <c r="JFE981" s="342"/>
      <c r="JFF981" s="343"/>
      <c r="JFG981" s="342"/>
      <c r="JFH981" s="343"/>
      <c r="JFI981" s="342"/>
      <c r="JFJ981" s="343"/>
      <c r="JFK981" s="342"/>
      <c r="JFL981" s="343"/>
      <c r="JFM981" s="342"/>
      <c r="JFN981" s="343"/>
      <c r="JFO981" s="342"/>
      <c r="JFP981" s="343"/>
      <c r="JFQ981" s="342"/>
      <c r="JFR981" s="343"/>
      <c r="JFS981" s="342"/>
      <c r="JFT981" s="343"/>
      <c r="JFU981" s="342"/>
      <c r="JFV981" s="343"/>
      <c r="JFW981" s="342"/>
      <c r="JFX981" s="343"/>
      <c r="JFY981" s="342"/>
      <c r="JFZ981" s="343"/>
      <c r="JGA981" s="342"/>
      <c r="JGB981" s="343"/>
      <c r="JGC981" s="342"/>
      <c r="JGD981" s="343"/>
      <c r="JGE981" s="342"/>
      <c r="JGF981" s="343"/>
      <c r="JGG981" s="342"/>
      <c r="JGH981" s="343"/>
      <c r="JGI981" s="342"/>
      <c r="JGJ981" s="343"/>
      <c r="JGK981" s="342"/>
      <c r="JGL981" s="343"/>
      <c r="JGM981" s="342"/>
      <c r="JGN981" s="343"/>
      <c r="JGO981" s="342"/>
      <c r="JGP981" s="343"/>
      <c r="JGQ981" s="342"/>
      <c r="JGR981" s="343"/>
      <c r="JGS981" s="342"/>
      <c r="JGT981" s="343"/>
      <c r="JGU981" s="342"/>
      <c r="JGV981" s="343"/>
      <c r="JGW981" s="342"/>
      <c r="JGX981" s="343"/>
      <c r="JGY981" s="342"/>
      <c r="JGZ981" s="343"/>
      <c r="JHA981" s="342"/>
      <c r="JHB981" s="343"/>
      <c r="JHC981" s="342"/>
      <c r="JHD981" s="343"/>
      <c r="JHE981" s="342"/>
      <c r="JHF981" s="343"/>
      <c r="JHG981" s="342"/>
      <c r="JHH981" s="343"/>
      <c r="JHI981" s="342"/>
      <c r="JHJ981" s="343"/>
      <c r="JHK981" s="342"/>
      <c r="JHL981" s="343"/>
      <c r="JHM981" s="342"/>
      <c r="JHN981" s="343"/>
      <c r="JHO981" s="342"/>
      <c r="JHP981" s="343"/>
      <c r="JHQ981" s="342"/>
      <c r="JHR981" s="343"/>
      <c r="JHS981" s="342"/>
      <c r="JHT981" s="343"/>
      <c r="JHU981" s="342"/>
      <c r="JHV981" s="343"/>
      <c r="JHW981" s="342"/>
      <c r="JHX981" s="343"/>
      <c r="JHY981" s="342"/>
      <c r="JHZ981" s="343"/>
      <c r="JIA981" s="342"/>
      <c r="JIB981" s="343"/>
      <c r="JIC981" s="342"/>
      <c r="JID981" s="343"/>
      <c r="JIE981" s="342"/>
      <c r="JIF981" s="343"/>
      <c r="JIG981" s="342"/>
      <c r="JIH981" s="343"/>
      <c r="JII981" s="342"/>
      <c r="JIJ981" s="343"/>
      <c r="JIK981" s="342"/>
      <c r="JIL981" s="343"/>
      <c r="JIM981" s="342"/>
      <c r="JIN981" s="343"/>
      <c r="JIO981" s="342"/>
      <c r="JIP981" s="343"/>
      <c r="JIQ981" s="342"/>
      <c r="JIR981" s="343"/>
      <c r="JIS981" s="342"/>
      <c r="JIT981" s="343"/>
      <c r="JIU981" s="342"/>
      <c r="JIV981" s="343"/>
      <c r="JIW981" s="342"/>
      <c r="JIX981" s="343"/>
      <c r="JIY981" s="342"/>
      <c r="JIZ981" s="343"/>
      <c r="JJA981" s="342"/>
      <c r="JJB981" s="343"/>
      <c r="JJC981" s="342"/>
      <c r="JJD981" s="343"/>
      <c r="JJE981" s="342"/>
      <c r="JJF981" s="343"/>
      <c r="JJG981" s="342"/>
      <c r="JJH981" s="343"/>
      <c r="JJI981" s="342"/>
      <c r="JJJ981" s="343"/>
      <c r="JJK981" s="342"/>
      <c r="JJL981" s="343"/>
      <c r="JJM981" s="342"/>
      <c r="JJN981" s="343"/>
      <c r="JJO981" s="342"/>
      <c r="JJP981" s="343"/>
      <c r="JJQ981" s="342"/>
      <c r="JJR981" s="343"/>
      <c r="JJS981" s="342"/>
      <c r="JJT981" s="343"/>
      <c r="JJU981" s="342"/>
      <c r="JJV981" s="343"/>
      <c r="JJW981" s="342"/>
      <c r="JJX981" s="343"/>
      <c r="JJY981" s="342"/>
      <c r="JJZ981" s="343"/>
      <c r="JKA981" s="342"/>
      <c r="JKB981" s="343"/>
      <c r="JKC981" s="342"/>
      <c r="JKD981" s="343"/>
      <c r="JKE981" s="342"/>
      <c r="JKF981" s="343"/>
      <c r="JKG981" s="342"/>
      <c r="JKH981" s="343"/>
      <c r="JKI981" s="342"/>
      <c r="JKJ981" s="343"/>
      <c r="JKK981" s="342"/>
      <c r="JKL981" s="343"/>
      <c r="JKM981" s="342"/>
      <c r="JKN981" s="343"/>
      <c r="JKO981" s="342"/>
      <c r="JKP981" s="343"/>
      <c r="JKQ981" s="342"/>
      <c r="JKR981" s="343"/>
      <c r="JKS981" s="342"/>
      <c r="JKT981" s="343"/>
      <c r="JKU981" s="342"/>
      <c r="JKV981" s="343"/>
      <c r="JKW981" s="342"/>
      <c r="JKX981" s="343"/>
      <c r="JKY981" s="342"/>
      <c r="JKZ981" s="343"/>
      <c r="JLA981" s="342"/>
      <c r="JLB981" s="343"/>
      <c r="JLC981" s="342"/>
      <c r="JLD981" s="343"/>
      <c r="JLE981" s="342"/>
      <c r="JLF981" s="343"/>
      <c r="JLG981" s="342"/>
      <c r="JLH981" s="343"/>
      <c r="JLI981" s="342"/>
      <c r="JLJ981" s="343"/>
      <c r="JLK981" s="342"/>
      <c r="JLL981" s="343"/>
      <c r="JLM981" s="342"/>
      <c r="JLN981" s="343"/>
      <c r="JLO981" s="342"/>
      <c r="JLP981" s="343"/>
      <c r="JLQ981" s="342"/>
      <c r="JLR981" s="343"/>
      <c r="JLS981" s="342"/>
      <c r="JLT981" s="343"/>
      <c r="JLU981" s="342"/>
      <c r="JLV981" s="343"/>
      <c r="JLW981" s="342"/>
      <c r="JLX981" s="343"/>
      <c r="JLY981" s="342"/>
      <c r="JLZ981" s="343"/>
      <c r="JMA981" s="342"/>
      <c r="JMB981" s="343"/>
      <c r="JMC981" s="342"/>
      <c r="JMD981" s="343"/>
      <c r="JME981" s="342"/>
      <c r="JMF981" s="343"/>
      <c r="JMG981" s="342"/>
      <c r="JMH981" s="343"/>
      <c r="JMI981" s="342"/>
      <c r="JMJ981" s="343"/>
      <c r="JMK981" s="342"/>
      <c r="JML981" s="343"/>
      <c r="JMM981" s="342"/>
      <c r="JMN981" s="343"/>
      <c r="JMO981" s="342"/>
      <c r="JMP981" s="343"/>
      <c r="JMQ981" s="342"/>
      <c r="JMR981" s="343"/>
      <c r="JMS981" s="342"/>
      <c r="JMT981" s="343"/>
      <c r="JMU981" s="342"/>
      <c r="JMV981" s="343"/>
      <c r="JMW981" s="342"/>
      <c r="JMX981" s="343"/>
      <c r="JMY981" s="342"/>
      <c r="JMZ981" s="343"/>
      <c r="JNA981" s="342"/>
      <c r="JNB981" s="343"/>
      <c r="JNC981" s="342"/>
      <c r="JND981" s="343"/>
      <c r="JNE981" s="342"/>
      <c r="JNF981" s="343"/>
      <c r="JNG981" s="342"/>
      <c r="JNH981" s="343"/>
      <c r="JNI981" s="342"/>
      <c r="JNJ981" s="343"/>
      <c r="JNK981" s="342"/>
      <c r="JNL981" s="343"/>
      <c r="JNM981" s="342"/>
      <c r="JNN981" s="343"/>
      <c r="JNO981" s="342"/>
      <c r="JNP981" s="343"/>
      <c r="JNQ981" s="342"/>
      <c r="JNR981" s="343"/>
      <c r="JNS981" s="342"/>
      <c r="JNT981" s="343"/>
      <c r="JNU981" s="342"/>
      <c r="JNV981" s="343"/>
      <c r="JNW981" s="342"/>
      <c r="JNX981" s="343"/>
      <c r="JNY981" s="342"/>
      <c r="JNZ981" s="343"/>
      <c r="JOA981" s="342"/>
      <c r="JOB981" s="343"/>
      <c r="JOC981" s="342"/>
      <c r="JOD981" s="343"/>
      <c r="JOE981" s="342"/>
      <c r="JOF981" s="343"/>
      <c r="JOG981" s="342"/>
      <c r="JOH981" s="343"/>
      <c r="JOI981" s="342"/>
      <c r="JOJ981" s="343"/>
      <c r="JOK981" s="342"/>
      <c r="JOL981" s="343"/>
      <c r="JOM981" s="342"/>
      <c r="JON981" s="343"/>
      <c r="JOO981" s="342"/>
      <c r="JOP981" s="343"/>
      <c r="JOQ981" s="342"/>
      <c r="JOR981" s="343"/>
      <c r="JOS981" s="342"/>
      <c r="JOT981" s="343"/>
      <c r="JOU981" s="342"/>
      <c r="JOV981" s="343"/>
      <c r="JOW981" s="342"/>
      <c r="JOX981" s="343"/>
      <c r="JOY981" s="342"/>
      <c r="JOZ981" s="343"/>
      <c r="JPA981" s="342"/>
      <c r="JPB981" s="343"/>
      <c r="JPC981" s="342"/>
      <c r="JPD981" s="343"/>
      <c r="JPE981" s="342"/>
      <c r="JPF981" s="343"/>
      <c r="JPG981" s="342"/>
      <c r="JPH981" s="343"/>
      <c r="JPI981" s="342"/>
      <c r="JPJ981" s="343"/>
      <c r="JPK981" s="342"/>
      <c r="JPL981" s="343"/>
      <c r="JPM981" s="342"/>
      <c r="JPN981" s="343"/>
      <c r="JPO981" s="342"/>
      <c r="JPP981" s="343"/>
      <c r="JPQ981" s="342"/>
      <c r="JPR981" s="343"/>
      <c r="JPS981" s="342"/>
      <c r="JPT981" s="343"/>
      <c r="JPU981" s="342"/>
      <c r="JPV981" s="343"/>
      <c r="JPW981" s="342"/>
      <c r="JPX981" s="343"/>
      <c r="JPY981" s="342"/>
      <c r="JPZ981" s="343"/>
      <c r="JQA981" s="342"/>
      <c r="JQB981" s="343"/>
      <c r="JQC981" s="342"/>
      <c r="JQD981" s="343"/>
      <c r="JQE981" s="342"/>
      <c r="JQF981" s="343"/>
      <c r="JQG981" s="342"/>
      <c r="JQH981" s="343"/>
      <c r="JQI981" s="342"/>
      <c r="JQJ981" s="343"/>
      <c r="JQK981" s="342"/>
      <c r="JQL981" s="343"/>
      <c r="JQM981" s="342"/>
      <c r="JQN981" s="343"/>
      <c r="JQO981" s="342"/>
      <c r="JQP981" s="343"/>
      <c r="JQQ981" s="342"/>
      <c r="JQR981" s="343"/>
      <c r="JQS981" s="342"/>
      <c r="JQT981" s="343"/>
      <c r="JQU981" s="342"/>
      <c r="JQV981" s="343"/>
      <c r="JQW981" s="342"/>
      <c r="JQX981" s="343"/>
      <c r="JQY981" s="342"/>
      <c r="JQZ981" s="343"/>
      <c r="JRA981" s="342"/>
      <c r="JRB981" s="343"/>
      <c r="JRC981" s="342"/>
      <c r="JRD981" s="343"/>
      <c r="JRE981" s="342"/>
      <c r="JRF981" s="343"/>
      <c r="JRG981" s="342"/>
      <c r="JRH981" s="343"/>
      <c r="JRI981" s="342"/>
      <c r="JRJ981" s="343"/>
      <c r="JRK981" s="342"/>
      <c r="JRL981" s="343"/>
      <c r="JRM981" s="342"/>
      <c r="JRN981" s="343"/>
      <c r="JRO981" s="342"/>
      <c r="JRP981" s="343"/>
      <c r="JRQ981" s="342"/>
      <c r="JRR981" s="343"/>
      <c r="JRS981" s="342"/>
      <c r="JRT981" s="343"/>
      <c r="JRU981" s="342"/>
      <c r="JRV981" s="343"/>
      <c r="JRW981" s="342"/>
      <c r="JRX981" s="343"/>
      <c r="JRY981" s="342"/>
      <c r="JRZ981" s="343"/>
      <c r="JSA981" s="342"/>
      <c r="JSB981" s="343"/>
      <c r="JSC981" s="342"/>
      <c r="JSD981" s="343"/>
      <c r="JSE981" s="342"/>
      <c r="JSF981" s="343"/>
      <c r="JSG981" s="342"/>
      <c r="JSH981" s="343"/>
      <c r="JSI981" s="342"/>
      <c r="JSJ981" s="343"/>
      <c r="JSK981" s="342"/>
      <c r="JSL981" s="343"/>
      <c r="JSM981" s="342"/>
      <c r="JSN981" s="343"/>
      <c r="JSO981" s="342"/>
      <c r="JSP981" s="343"/>
      <c r="JSQ981" s="342"/>
      <c r="JSR981" s="343"/>
      <c r="JSS981" s="342"/>
      <c r="JST981" s="343"/>
      <c r="JSU981" s="342"/>
      <c r="JSV981" s="343"/>
      <c r="JSW981" s="342"/>
      <c r="JSX981" s="343"/>
      <c r="JSY981" s="342"/>
      <c r="JSZ981" s="343"/>
      <c r="JTA981" s="342"/>
      <c r="JTB981" s="343"/>
      <c r="JTC981" s="342"/>
      <c r="JTD981" s="343"/>
      <c r="JTE981" s="342"/>
      <c r="JTF981" s="343"/>
      <c r="JTG981" s="342"/>
      <c r="JTH981" s="343"/>
      <c r="JTI981" s="342"/>
      <c r="JTJ981" s="343"/>
      <c r="JTK981" s="342"/>
      <c r="JTL981" s="343"/>
      <c r="JTM981" s="342"/>
      <c r="JTN981" s="343"/>
      <c r="JTO981" s="342"/>
      <c r="JTP981" s="343"/>
      <c r="JTQ981" s="342"/>
      <c r="JTR981" s="343"/>
      <c r="JTS981" s="342"/>
      <c r="JTT981" s="343"/>
      <c r="JTU981" s="342"/>
      <c r="JTV981" s="343"/>
      <c r="JTW981" s="342"/>
      <c r="JTX981" s="343"/>
      <c r="JTY981" s="342"/>
      <c r="JTZ981" s="343"/>
      <c r="JUA981" s="342"/>
      <c r="JUB981" s="343"/>
      <c r="JUC981" s="342"/>
      <c r="JUD981" s="343"/>
      <c r="JUE981" s="342"/>
      <c r="JUF981" s="343"/>
      <c r="JUG981" s="342"/>
      <c r="JUH981" s="343"/>
      <c r="JUI981" s="342"/>
      <c r="JUJ981" s="343"/>
      <c r="JUK981" s="342"/>
      <c r="JUL981" s="343"/>
      <c r="JUM981" s="342"/>
      <c r="JUN981" s="343"/>
      <c r="JUO981" s="342"/>
      <c r="JUP981" s="343"/>
      <c r="JUQ981" s="342"/>
      <c r="JUR981" s="343"/>
      <c r="JUS981" s="342"/>
      <c r="JUT981" s="343"/>
      <c r="JUU981" s="342"/>
      <c r="JUV981" s="343"/>
      <c r="JUW981" s="342"/>
      <c r="JUX981" s="343"/>
      <c r="JUY981" s="342"/>
      <c r="JUZ981" s="343"/>
      <c r="JVA981" s="342"/>
      <c r="JVB981" s="343"/>
      <c r="JVC981" s="342"/>
      <c r="JVD981" s="343"/>
      <c r="JVE981" s="342"/>
      <c r="JVF981" s="343"/>
      <c r="JVG981" s="342"/>
      <c r="JVH981" s="343"/>
      <c r="JVI981" s="342"/>
      <c r="JVJ981" s="343"/>
      <c r="JVK981" s="342"/>
      <c r="JVL981" s="343"/>
      <c r="JVM981" s="342"/>
      <c r="JVN981" s="343"/>
      <c r="JVO981" s="342"/>
      <c r="JVP981" s="343"/>
      <c r="JVQ981" s="342"/>
      <c r="JVR981" s="343"/>
      <c r="JVS981" s="342"/>
      <c r="JVT981" s="343"/>
      <c r="JVU981" s="342"/>
      <c r="JVV981" s="343"/>
      <c r="JVW981" s="342"/>
      <c r="JVX981" s="343"/>
      <c r="JVY981" s="342"/>
      <c r="JVZ981" s="343"/>
      <c r="JWA981" s="342"/>
      <c r="JWB981" s="343"/>
      <c r="JWC981" s="342"/>
      <c r="JWD981" s="343"/>
      <c r="JWE981" s="342"/>
      <c r="JWF981" s="343"/>
      <c r="JWG981" s="342"/>
      <c r="JWH981" s="343"/>
      <c r="JWI981" s="342"/>
      <c r="JWJ981" s="343"/>
      <c r="JWK981" s="342"/>
      <c r="JWL981" s="343"/>
      <c r="JWM981" s="342"/>
      <c r="JWN981" s="343"/>
      <c r="JWO981" s="342"/>
      <c r="JWP981" s="343"/>
      <c r="JWQ981" s="342"/>
      <c r="JWR981" s="343"/>
      <c r="JWS981" s="342"/>
      <c r="JWT981" s="343"/>
      <c r="JWU981" s="342"/>
      <c r="JWV981" s="343"/>
      <c r="JWW981" s="342"/>
      <c r="JWX981" s="343"/>
      <c r="JWY981" s="342"/>
      <c r="JWZ981" s="343"/>
      <c r="JXA981" s="342"/>
      <c r="JXB981" s="343"/>
      <c r="JXC981" s="342"/>
      <c r="JXD981" s="343"/>
      <c r="JXE981" s="342"/>
      <c r="JXF981" s="343"/>
      <c r="JXG981" s="342"/>
      <c r="JXH981" s="343"/>
      <c r="JXI981" s="342"/>
      <c r="JXJ981" s="343"/>
      <c r="JXK981" s="342"/>
      <c r="JXL981" s="343"/>
      <c r="JXM981" s="342"/>
      <c r="JXN981" s="343"/>
      <c r="JXO981" s="342"/>
      <c r="JXP981" s="343"/>
      <c r="JXQ981" s="342"/>
      <c r="JXR981" s="343"/>
      <c r="JXS981" s="342"/>
      <c r="JXT981" s="343"/>
      <c r="JXU981" s="342"/>
      <c r="JXV981" s="343"/>
      <c r="JXW981" s="342"/>
      <c r="JXX981" s="343"/>
      <c r="JXY981" s="342"/>
      <c r="JXZ981" s="343"/>
      <c r="JYA981" s="342"/>
      <c r="JYB981" s="343"/>
      <c r="JYC981" s="342"/>
      <c r="JYD981" s="343"/>
      <c r="JYE981" s="342"/>
      <c r="JYF981" s="343"/>
      <c r="JYG981" s="342"/>
      <c r="JYH981" s="343"/>
      <c r="JYI981" s="342"/>
      <c r="JYJ981" s="343"/>
      <c r="JYK981" s="342"/>
      <c r="JYL981" s="343"/>
      <c r="JYM981" s="342"/>
      <c r="JYN981" s="343"/>
      <c r="JYO981" s="342"/>
      <c r="JYP981" s="343"/>
      <c r="JYQ981" s="342"/>
      <c r="JYR981" s="343"/>
      <c r="JYS981" s="342"/>
      <c r="JYT981" s="343"/>
      <c r="JYU981" s="342"/>
      <c r="JYV981" s="343"/>
      <c r="JYW981" s="342"/>
      <c r="JYX981" s="343"/>
      <c r="JYY981" s="342"/>
      <c r="JYZ981" s="343"/>
      <c r="JZA981" s="342"/>
      <c r="JZB981" s="343"/>
      <c r="JZC981" s="342"/>
      <c r="JZD981" s="343"/>
      <c r="JZE981" s="342"/>
      <c r="JZF981" s="343"/>
      <c r="JZG981" s="342"/>
      <c r="JZH981" s="343"/>
      <c r="JZI981" s="342"/>
      <c r="JZJ981" s="343"/>
      <c r="JZK981" s="342"/>
      <c r="JZL981" s="343"/>
      <c r="JZM981" s="342"/>
      <c r="JZN981" s="343"/>
      <c r="JZO981" s="342"/>
      <c r="JZP981" s="343"/>
      <c r="JZQ981" s="342"/>
      <c r="JZR981" s="343"/>
      <c r="JZS981" s="342"/>
      <c r="JZT981" s="343"/>
      <c r="JZU981" s="342"/>
      <c r="JZV981" s="343"/>
      <c r="JZW981" s="342"/>
      <c r="JZX981" s="343"/>
      <c r="JZY981" s="342"/>
      <c r="JZZ981" s="343"/>
      <c r="KAA981" s="342"/>
      <c r="KAB981" s="343"/>
      <c r="KAC981" s="342"/>
      <c r="KAD981" s="343"/>
      <c r="KAE981" s="342"/>
      <c r="KAF981" s="343"/>
      <c r="KAG981" s="342"/>
      <c r="KAH981" s="343"/>
      <c r="KAI981" s="342"/>
      <c r="KAJ981" s="343"/>
      <c r="KAK981" s="342"/>
      <c r="KAL981" s="343"/>
      <c r="KAM981" s="342"/>
      <c r="KAN981" s="343"/>
      <c r="KAO981" s="342"/>
      <c r="KAP981" s="343"/>
      <c r="KAQ981" s="342"/>
      <c r="KAR981" s="343"/>
      <c r="KAS981" s="342"/>
      <c r="KAT981" s="343"/>
      <c r="KAU981" s="342"/>
      <c r="KAV981" s="343"/>
      <c r="KAW981" s="342"/>
      <c r="KAX981" s="343"/>
      <c r="KAY981" s="342"/>
      <c r="KAZ981" s="343"/>
      <c r="KBA981" s="342"/>
      <c r="KBB981" s="343"/>
      <c r="KBC981" s="342"/>
      <c r="KBD981" s="343"/>
      <c r="KBE981" s="342"/>
      <c r="KBF981" s="343"/>
      <c r="KBG981" s="342"/>
      <c r="KBH981" s="343"/>
      <c r="KBI981" s="342"/>
      <c r="KBJ981" s="343"/>
      <c r="KBK981" s="342"/>
      <c r="KBL981" s="343"/>
      <c r="KBM981" s="342"/>
      <c r="KBN981" s="343"/>
      <c r="KBO981" s="342"/>
      <c r="KBP981" s="343"/>
      <c r="KBQ981" s="342"/>
      <c r="KBR981" s="343"/>
      <c r="KBS981" s="342"/>
      <c r="KBT981" s="343"/>
      <c r="KBU981" s="342"/>
      <c r="KBV981" s="343"/>
      <c r="KBW981" s="342"/>
      <c r="KBX981" s="343"/>
      <c r="KBY981" s="342"/>
      <c r="KBZ981" s="343"/>
      <c r="KCA981" s="342"/>
      <c r="KCB981" s="343"/>
      <c r="KCC981" s="342"/>
      <c r="KCD981" s="343"/>
      <c r="KCE981" s="342"/>
      <c r="KCF981" s="343"/>
      <c r="KCG981" s="342"/>
      <c r="KCH981" s="343"/>
      <c r="KCI981" s="342"/>
      <c r="KCJ981" s="343"/>
      <c r="KCK981" s="342"/>
      <c r="KCL981" s="343"/>
      <c r="KCM981" s="342"/>
      <c r="KCN981" s="343"/>
      <c r="KCO981" s="342"/>
      <c r="KCP981" s="343"/>
      <c r="KCQ981" s="342"/>
      <c r="KCR981" s="343"/>
      <c r="KCS981" s="342"/>
      <c r="KCT981" s="343"/>
      <c r="KCU981" s="342"/>
      <c r="KCV981" s="343"/>
      <c r="KCW981" s="342"/>
      <c r="KCX981" s="343"/>
      <c r="KCY981" s="342"/>
      <c r="KCZ981" s="343"/>
      <c r="KDA981" s="342"/>
      <c r="KDB981" s="343"/>
      <c r="KDC981" s="342"/>
      <c r="KDD981" s="343"/>
      <c r="KDE981" s="342"/>
      <c r="KDF981" s="343"/>
      <c r="KDG981" s="342"/>
      <c r="KDH981" s="343"/>
      <c r="KDI981" s="342"/>
      <c r="KDJ981" s="343"/>
      <c r="KDK981" s="342"/>
      <c r="KDL981" s="343"/>
      <c r="KDM981" s="342"/>
      <c r="KDN981" s="343"/>
      <c r="KDO981" s="342"/>
      <c r="KDP981" s="343"/>
      <c r="KDQ981" s="342"/>
      <c r="KDR981" s="343"/>
      <c r="KDS981" s="342"/>
      <c r="KDT981" s="343"/>
      <c r="KDU981" s="342"/>
      <c r="KDV981" s="343"/>
      <c r="KDW981" s="342"/>
      <c r="KDX981" s="343"/>
      <c r="KDY981" s="342"/>
      <c r="KDZ981" s="343"/>
      <c r="KEA981" s="342"/>
      <c r="KEB981" s="343"/>
      <c r="KEC981" s="342"/>
      <c r="KED981" s="343"/>
      <c r="KEE981" s="342"/>
      <c r="KEF981" s="343"/>
      <c r="KEG981" s="342"/>
      <c r="KEH981" s="343"/>
      <c r="KEI981" s="342"/>
      <c r="KEJ981" s="343"/>
      <c r="KEK981" s="342"/>
      <c r="KEL981" s="343"/>
      <c r="KEM981" s="342"/>
      <c r="KEN981" s="343"/>
      <c r="KEO981" s="342"/>
      <c r="KEP981" s="343"/>
      <c r="KEQ981" s="342"/>
      <c r="KER981" s="343"/>
      <c r="KES981" s="342"/>
      <c r="KET981" s="343"/>
      <c r="KEU981" s="342"/>
      <c r="KEV981" s="343"/>
      <c r="KEW981" s="342"/>
      <c r="KEX981" s="343"/>
      <c r="KEY981" s="342"/>
      <c r="KEZ981" s="343"/>
      <c r="KFA981" s="342"/>
      <c r="KFB981" s="343"/>
      <c r="KFC981" s="342"/>
      <c r="KFD981" s="343"/>
      <c r="KFE981" s="342"/>
      <c r="KFF981" s="343"/>
      <c r="KFG981" s="342"/>
      <c r="KFH981" s="343"/>
      <c r="KFI981" s="342"/>
      <c r="KFJ981" s="343"/>
      <c r="KFK981" s="342"/>
      <c r="KFL981" s="343"/>
      <c r="KFM981" s="342"/>
      <c r="KFN981" s="343"/>
      <c r="KFO981" s="342"/>
      <c r="KFP981" s="343"/>
      <c r="KFQ981" s="342"/>
      <c r="KFR981" s="343"/>
      <c r="KFS981" s="342"/>
      <c r="KFT981" s="343"/>
      <c r="KFU981" s="342"/>
      <c r="KFV981" s="343"/>
      <c r="KFW981" s="342"/>
      <c r="KFX981" s="343"/>
      <c r="KFY981" s="342"/>
      <c r="KFZ981" s="343"/>
      <c r="KGA981" s="342"/>
      <c r="KGB981" s="343"/>
      <c r="KGC981" s="342"/>
      <c r="KGD981" s="343"/>
      <c r="KGE981" s="342"/>
      <c r="KGF981" s="343"/>
      <c r="KGG981" s="342"/>
      <c r="KGH981" s="343"/>
      <c r="KGI981" s="342"/>
      <c r="KGJ981" s="343"/>
      <c r="KGK981" s="342"/>
      <c r="KGL981" s="343"/>
      <c r="KGM981" s="342"/>
      <c r="KGN981" s="343"/>
      <c r="KGO981" s="342"/>
      <c r="KGP981" s="343"/>
      <c r="KGQ981" s="342"/>
      <c r="KGR981" s="343"/>
      <c r="KGS981" s="342"/>
      <c r="KGT981" s="343"/>
      <c r="KGU981" s="342"/>
      <c r="KGV981" s="343"/>
      <c r="KGW981" s="342"/>
      <c r="KGX981" s="343"/>
      <c r="KGY981" s="342"/>
      <c r="KGZ981" s="343"/>
      <c r="KHA981" s="342"/>
      <c r="KHB981" s="343"/>
      <c r="KHC981" s="342"/>
      <c r="KHD981" s="343"/>
      <c r="KHE981" s="342"/>
      <c r="KHF981" s="343"/>
      <c r="KHG981" s="342"/>
      <c r="KHH981" s="343"/>
      <c r="KHI981" s="342"/>
      <c r="KHJ981" s="343"/>
      <c r="KHK981" s="342"/>
      <c r="KHL981" s="343"/>
      <c r="KHM981" s="342"/>
      <c r="KHN981" s="343"/>
      <c r="KHO981" s="342"/>
      <c r="KHP981" s="343"/>
      <c r="KHQ981" s="342"/>
      <c r="KHR981" s="343"/>
      <c r="KHS981" s="342"/>
      <c r="KHT981" s="343"/>
      <c r="KHU981" s="342"/>
      <c r="KHV981" s="343"/>
      <c r="KHW981" s="342"/>
      <c r="KHX981" s="343"/>
      <c r="KHY981" s="342"/>
      <c r="KHZ981" s="343"/>
      <c r="KIA981" s="342"/>
      <c r="KIB981" s="343"/>
      <c r="KIC981" s="342"/>
      <c r="KID981" s="343"/>
      <c r="KIE981" s="342"/>
      <c r="KIF981" s="343"/>
      <c r="KIG981" s="342"/>
      <c r="KIH981" s="343"/>
      <c r="KII981" s="342"/>
      <c r="KIJ981" s="343"/>
      <c r="KIK981" s="342"/>
      <c r="KIL981" s="343"/>
      <c r="KIM981" s="342"/>
      <c r="KIN981" s="343"/>
      <c r="KIO981" s="342"/>
      <c r="KIP981" s="343"/>
      <c r="KIQ981" s="342"/>
      <c r="KIR981" s="343"/>
      <c r="KIS981" s="342"/>
      <c r="KIT981" s="343"/>
      <c r="KIU981" s="342"/>
      <c r="KIV981" s="343"/>
      <c r="KIW981" s="342"/>
      <c r="KIX981" s="343"/>
      <c r="KIY981" s="342"/>
      <c r="KIZ981" s="343"/>
      <c r="KJA981" s="342"/>
      <c r="KJB981" s="343"/>
      <c r="KJC981" s="342"/>
      <c r="KJD981" s="343"/>
      <c r="KJE981" s="342"/>
      <c r="KJF981" s="343"/>
      <c r="KJG981" s="342"/>
      <c r="KJH981" s="343"/>
      <c r="KJI981" s="342"/>
      <c r="KJJ981" s="343"/>
      <c r="KJK981" s="342"/>
      <c r="KJL981" s="343"/>
      <c r="KJM981" s="342"/>
      <c r="KJN981" s="343"/>
      <c r="KJO981" s="342"/>
      <c r="KJP981" s="343"/>
      <c r="KJQ981" s="342"/>
      <c r="KJR981" s="343"/>
      <c r="KJS981" s="342"/>
      <c r="KJT981" s="343"/>
      <c r="KJU981" s="342"/>
      <c r="KJV981" s="343"/>
      <c r="KJW981" s="342"/>
      <c r="KJX981" s="343"/>
      <c r="KJY981" s="342"/>
      <c r="KJZ981" s="343"/>
      <c r="KKA981" s="342"/>
      <c r="KKB981" s="343"/>
      <c r="KKC981" s="342"/>
      <c r="KKD981" s="343"/>
      <c r="KKE981" s="342"/>
      <c r="KKF981" s="343"/>
      <c r="KKG981" s="342"/>
      <c r="KKH981" s="343"/>
      <c r="KKI981" s="342"/>
      <c r="KKJ981" s="343"/>
      <c r="KKK981" s="342"/>
      <c r="KKL981" s="343"/>
      <c r="KKM981" s="342"/>
      <c r="KKN981" s="343"/>
      <c r="KKO981" s="342"/>
      <c r="KKP981" s="343"/>
      <c r="KKQ981" s="342"/>
      <c r="KKR981" s="343"/>
      <c r="KKS981" s="342"/>
      <c r="KKT981" s="343"/>
      <c r="KKU981" s="342"/>
      <c r="KKV981" s="343"/>
      <c r="KKW981" s="342"/>
      <c r="KKX981" s="343"/>
      <c r="KKY981" s="342"/>
      <c r="KKZ981" s="343"/>
      <c r="KLA981" s="342"/>
      <c r="KLB981" s="343"/>
      <c r="KLC981" s="342"/>
      <c r="KLD981" s="343"/>
      <c r="KLE981" s="342"/>
      <c r="KLF981" s="343"/>
      <c r="KLG981" s="342"/>
      <c r="KLH981" s="343"/>
      <c r="KLI981" s="342"/>
      <c r="KLJ981" s="343"/>
      <c r="KLK981" s="342"/>
      <c r="KLL981" s="343"/>
      <c r="KLM981" s="342"/>
      <c r="KLN981" s="343"/>
      <c r="KLO981" s="342"/>
      <c r="KLP981" s="343"/>
      <c r="KLQ981" s="342"/>
      <c r="KLR981" s="343"/>
      <c r="KLS981" s="342"/>
      <c r="KLT981" s="343"/>
      <c r="KLU981" s="342"/>
      <c r="KLV981" s="343"/>
      <c r="KLW981" s="342"/>
      <c r="KLX981" s="343"/>
      <c r="KLY981" s="342"/>
      <c r="KLZ981" s="343"/>
      <c r="KMA981" s="342"/>
      <c r="KMB981" s="343"/>
      <c r="KMC981" s="342"/>
      <c r="KMD981" s="343"/>
      <c r="KME981" s="342"/>
      <c r="KMF981" s="343"/>
      <c r="KMG981" s="342"/>
      <c r="KMH981" s="343"/>
      <c r="KMI981" s="342"/>
      <c r="KMJ981" s="343"/>
      <c r="KMK981" s="342"/>
      <c r="KML981" s="343"/>
      <c r="KMM981" s="342"/>
      <c r="KMN981" s="343"/>
      <c r="KMO981" s="342"/>
      <c r="KMP981" s="343"/>
      <c r="KMQ981" s="342"/>
      <c r="KMR981" s="343"/>
      <c r="KMS981" s="342"/>
      <c r="KMT981" s="343"/>
      <c r="KMU981" s="342"/>
      <c r="KMV981" s="343"/>
      <c r="KMW981" s="342"/>
      <c r="KMX981" s="343"/>
      <c r="KMY981" s="342"/>
      <c r="KMZ981" s="343"/>
      <c r="KNA981" s="342"/>
      <c r="KNB981" s="343"/>
      <c r="KNC981" s="342"/>
      <c r="KND981" s="343"/>
      <c r="KNE981" s="342"/>
      <c r="KNF981" s="343"/>
      <c r="KNG981" s="342"/>
      <c r="KNH981" s="343"/>
      <c r="KNI981" s="342"/>
      <c r="KNJ981" s="343"/>
      <c r="KNK981" s="342"/>
      <c r="KNL981" s="343"/>
      <c r="KNM981" s="342"/>
      <c r="KNN981" s="343"/>
      <c r="KNO981" s="342"/>
      <c r="KNP981" s="343"/>
      <c r="KNQ981" s="342"/>
      <c r="KNR981" s="343"/>
      <c r="KNS981" s="342"/>
      <c r="KNT981" s="343"/>
      <c r="KNU981" s="342"/>
      <c r="KNV981" s="343"/>
      <c r="KNW981" s="342"/>
      <c r="KNX981" s="343"/>
      <c r="KNY981" s="342"/>
      <c r="KNZ981" s="343"/>
      <c r="KOA981" s="342"/>
      <c r="KOB981" s="343"/>
      <c r="KOC981" s="342"/>
      <c r="KOD981" s="343"/>
      <c r="KOE981" s="342"/>
      <c r="KOF981" s="343"/>
      <c r="KOG981" s="342"/>
      <c r="KOH981" s="343"/>
      <c r="KOI981" s="342"/>
      <c r="KOJ981" s="343"/>
      <c r="KOK981" s="342"/>
      <c r="KOL981" s="343"/>
      <c r="KOM981" s="342"/>
      <c r="KON981" s="343"/>
      <c r="KOO981" s="342"/>
      <c r="KOP981" s="343"/>
      <c r="KOQ981" s="342"/>
      <c r="KOR981" s="343"/>
      <c r="KOS981" s="342"/>
      <c r="KOT981" s="343"/>
      <c r="KOU981" s="342"/>
      <c r="KOV981" s="343"/>
      <c r="KOW981" s="342"/>
      <c r="KOX981" s="343"/>
      <c r="KOY981" s="342"/>
      <c r="KOZ981" s="343"/>
      <c r="KPA981" s="342"/>
      <c r="KPB981" s="343"/>
      <c r="KPC981" s="342"/>
      <c r="KPD981" s="343"/>
      <c r="KPE981" s="342"/>
      <c r="KPF981" s="343"/>
      <c r="KPG981" s="342"/>
      <c r="KPH981" s="343"/>
      <c r="KPI981" s="342"/>
      <c r="KPJ981" s="343"/>
      <c r="KPK981" s="342"/>
      <c r="KPL981" s="343"/>
      <c r="KPM981" s="342"/>
      <c r="KPN981" s="343"/>
      <c r="KPO981" s="342"/>
      <c r="KPP981" s="343"/>
      <c r="KPQ981" s="342"/>
      <c r="KPR981" s="343"/>
      <c r="KPS981" s="342"/>
      <c r="KPT981" s="343"/>
      <c r="KPU981" s="342"/>
      <c r="KPV981" s="343"/>
      <c r="KPW981" s="342"/>
      <c r="KPX981" s="343"/>
      <c r="KPY981" s="342"/>
      <c r="KPZ981" s="343"/>
      <c r="KQA981" s="342"/>
      <c r="KQB981" s="343"/>
      <c r="KQC981" s="342"/>
      <c r="KQD981" s="343"/>
      <c r="KQE981" s="342"/>
      <c r="KQF981" s="343"/>
      <c r="KQG981" s="342"/>
      <c r="KQH981" s="343"/>
      <c r="KQI981" s="342"/>
      <c r="KQJ981" s="343"/>
      <c r="KQK981" s="342"/>
      <c r="KQL981" s="343"/>
      <c r="KQM981" s="342"/>
      <c r="KQN981" s="343"/>
      <c r="KQO981" s="342"/>
      <c r="KQP981" s="343"/>
      <c r="KQQ981" s="342"/>
      <c r="KQR981" s="343"/>
      <c r="KQS981" s="342"/>
      <c r="KQT981" s="343"/>
      <c r="KQU981" s="342"/>
      <c r="KQV981" s="343"/>
      <c r="KQW981" s="342"/>
      <c r="KQX981" s="343"/>
      <c r="KQY981" s="342"/>
      <c r="KQZ981" s="343"/>
      <c r="KRA981" s="342"/>
      <c r="KRB981" s="343"/>
      <c r="KRC981" s="342"/>
      <c r="KRD981" s="343"/>
      <c r="KRE981" s="342"/>
      <c r="KRF981" s="343"/>
      <c r="KRG981" s="342"/>
      <c r="KRH981" s="343"/>
      <c r="KRI981" s="342"/>
      <c r="KRJ981" s="343"/>
      <c r="KRK981" s="342"/>
      <c r="KRL981" s="343"/>
      <c r="KRM981" s="342"/>
      <c r="KRN981" s="343"/>
      <c r="KRO981" s="342"/>
      <c r="KRP981" s="343"/>
      <c r="KRQ981" s="342"/>
      <c r="KRR981" s="343"/>
      <c r="KRS981" s="342"/>
      <c r="KRT981" s="343"/>
      <c r="KRU981" s="342"/>
      <c r="KRV981" s="343"/>
      <c r="KRW981" s="342"/>
      <c r="KRX981" s="343"/>
      <c r="KRY981" s="342"/>
      <c r="KRZ981" s="343"/>
      <c r="KSA981" s="342"/>
      <c r="KSB981" s="343"/>
      <c r="KSC981" s="342"/>
      <c r="KSD981" s="343"/>
      <c r="KSE981" s="342"/>
      <c r="KSF981" s="343"/>
      <c r="KSG981" s="342"/>
      <c r="KSH981" s="343"/>
      <c r="KSI981" s="342"/>
      <c r="KSJ981" s="343"/>
      <c r="KSK981" s="342"/>
      <c r="KSL981" s="343"/>
      <c r="KSM981" s="342"/>
      <c r="KSN981" s="343"/>
      <c r="KSO981" s="342"/>
      <c r="KSP981" s="343"/>
      <c r="KSQ981" s="342"/>
      <c r="KSR981" s="343"/>
      <c r="KSS981" s="342"/>
      <c r="KST981" s="343"/>
      <c r="KSU981" s="342"/>
      <c r="KSV981" s="343"/>
      <c r="KSW981" s="342"/>
      <c r="KSX981" s="343"/>
      <c r="KSY981" s="342"/>
      <c r="KSZ981" s="343"/>
      <c r="KTA981" s="342"/>
      <c r="KTB981" s="343"/>
      <c r="KTC981" s="342"/>
      <c r="KTD981" s="343"/>
      <c r="KTE981" s="342"/>
      <c r="KTF981" s="343"/>
      <c r="KTG981" s="342"/>
      <c r="KTH981" s="343"/>
      <c r="KTI981" s="342"/>
      <c r="KTJ981" s="343"/>
      <c r="KTK981" s="342"/>
      <c r="KTL981" s="343"/>
      <c r="KTM981" s="342"/>
      <c r="KTN981" s="343"/>
      <c r="KTO981" s="342"/>
      <c r="KTP981" s="343"/>
      <c r="KTQ981" s="342"/>
      <c r="KTR981" s="343"/>
      <c r="KTS981" s="342"/>
      <c r="KTT981" s="343"/>
      <c r="KTU981" s="342"/>
      <c r="KTV981" s="343"/>
      <c r="KTW981" s="342"/>
      <c r="KTX981" s="343"/>
      <c r="KTY981" s="342"/>
      <c r="KTZ981" s="343"/>
      <c r="KUA981" s="342"/>
      <c r="KUB981" s="343"/>
      <c r="KUC981" s="342"/>
      <c r="KUD981" s="343"/>
      <c r="KUE981" s="342"/>
      <c r="KUF981" s="343"/>
      <c r="KUG981" s="342"/>
      <c r="KUH981" s="343"/>
      <c r="KUI981" s="342"/>
      <c r="KUJ981" s="343"/>
      <c r="KUK981" s="342"/>
      <c r="KUL981" s="343"/>
      <c r="KUM981" s="342"/>
      <c r="KUN981" s="343"/>
      <c r="KUO981" s="342"/>
      <c r="KUP981" s="343"/>
      <c r="KUQ981" s="342"/>
      <c r="KUR981" s="343"/>
      <c r="KUS981" s="342"/>
      <c r="KUT981" s="343"/>
      <c r="KUU981" s="342"/>
      <c r="KUV981" s="343"/>
      <c r="KUW981" s="342"/>
      <c r="KUX981" s="343"/>
      <c r="KUY981" s="342"/>
      <c r="KUZ981" s="343"/>
      <c r="KVA981" s="342"/>
      <c r="KVB981" s="343"/>
      <c r="KVC981" s="342"/>
      <c r="KVD981" s="343"/>
      <c r="KVE981" s="342"/>
      <c r="KVF981" s="343"/>
      <c r="KVG981" s="342"/>
      <c r="KVH981" s="343"/>
      <c r="KVI981" s="342"/>
      <c r="KVJ981" s="343"/>
      <c r="KVK981" s="342"/>
      <c r="KVL981" s="343"/>
      <c r="KVM981" s="342"/>
      <c r="KVN981" s="343"/>
      <c r="KVO981" s="342"/>
      <c r="KVP981" s="343"/>
      <c r="KVQ981" s="342"/>
      <c r="KVR981" s="343"/>
      <c r="KVS981" s="342"/>
      <c r="KVT981" s="343"/>
      <c r="KVU981" s="342"/>
      <c r="KVV981" s="343"/>
      <c r="KVW981" s="342"/>
      <c r="KVX981" s="343"/>
      <c r="KVY981" s="342"/>
      <c r="KVZ981" s="343"/>
      <c r="KWA981" s="342"/>
      <c r="KWB981" s="343"/>
      <c r="KWC981" s="342"/>
      <c r="KWD981" s="343"/>
      <c r="KWE981" s="342"/>
      <c r="KWF981" s="343"/>
      <c r="KWG981" s="342"/>
      <c r="KWH981" s="343"/>
      <c r="KWI981" s="342"/>
      <c r="KWJ981" s="343"/>
      <c r="KWK981" s="342"/>
      <c r="KWL981" s="343"/>
      <c r="KWM981" s="342"/>
      <c r="KWN981" s="343"/>
      <c r="KWO981" s="342"/>
      <c r="KWP981" s="343"/>
      <c r="KWQ981" s="342"/>
      <c r="KWR981" s="343"/>
      <c r="KWS981" s="342"/>
      <c r="KWT981" s="343"/>
      <c r="KWU981" s="342"/>
      <c r="KWV981" s="343"/>
      <c r="KWW981" s="342"/>
      <c r="KWX981" s="343"/>
      <c r="KWY981" s="342"/>
      <c r="KWZ981" s="343"/>
      <c r="KXA981" s="342"/>
      <c r="KXB981" s="343"/>
      <c r="KXC981" s="342"/>
      <c r="KXD981" s="343"/>
      <c r="KXE981" s="342"/>
      <c r="KXF981" s="343"/>
      <c r="KXG981" s="342"/>
      <c r="KXH981" s="343"/>
      <c r="KXI981" s="342"/>
      <c r="KXJ981" s="343"/>
      <c r="KXK981" s="342"/>
      <c r="KXL981" s="343"/>
      <c r="KXM981" s="342"/>
      <c r="KXN981" s="343"/>
      <c r="KXO981" s="342"/>
      <c r="KXP981" s="343"/>
      <c r="KXQ981" s="342"/>
      <c r="KXR981" s="343"/>
      <c r="KXS981" s="342"/>
      <c r="KXT981" s="343"/>
      <c r="KXU981" s="342"/>
      <c r="KXV981" s="343"/>
      <c r="KXW981" s="342"/>
      <c r="KXX981" s="343"/>
      <c r="KXY981" s="342"/>
      <c r="KXZ981" s="343"/>
      <c r="KYA981" s="342"/>
      <c r="KYB981" s="343"/>
      <c r="KYC981" s="342"/>
      <c r="KYD981" s="343"/>
      <c r="KYE981" s="342"/>
      <c r="KYF981" s="343"/>
      <c r="KYG981" s="342"/>
      <c r="KYH981" s="343"/>
      <c r="KYI981" s="342"/>
      <c r="KYJ981" s="343"/>
      <c r="KYK981" s="342"/>
      <c r="KYL981" s="343"/>
      <c r="KYM981" s="342"/>
      <c r="KYN981" s="343"/>
      <c r="KYO981" s="342"/>
      <c r="KYP981" s="343"/>
      <c r="KYQ981" s="342"/>
      <c r="KYR981" s="343"/>
      <c r="KYS981" s="342"/>
      <c r="KYT981" s="343"/>
      <c r="KYU981" s="342"/>
      <c r="KYV981" s="343"/>
      <c r="KYW981" s="342"/>
      <c r="KYX981" s="343"/>
      <c r="KYY981" s="342"/>
      <c r="KYZ981" s="343"/>
      <c r="KZA981" s="342"/>
      <c r="KZB981" s="343"/>
      <c r="KZC981" s="342"/>
      <c r="KZD981" s="343"/>
      <c r="KZE981" s="342"/>
      <c r="KZF981" s="343"/>
      <c r="KZG981" s="342"/>
      <c r="KZH981" s="343"/>
      <c r="KZI981" s="342"/>
      <c r="KZJ981" s="343"/>
      <c r="KZK981" s="342"/>
      <c r="KZL981" s="343"/>
      <c r="KZM981" s="342"/>
      <c r="KZN981" s="343"/>
      <c r="KZO981" s="342"/>
      <c r="KZP981" s="343"/>
      <c r="KZQ981" s="342"/>
      <c r="KZR981" s="343"/>
      <c r="KZS981" s="342"/>
      <c r="KZT981" s="343"/>
      <c r="KZU981" s="342"/>
      <c r="KZV981" s="343"/>
      <c r="KZW981" s="342"/>
      <c r="KZX981" s="343"/>
      <c r="KZY981" s="342"/>
      <c r="KZZ981" s="343"/>
      <c r="LAA981" s="342"/>
      <c r="LAB981" s="343"/>
      <c r="LAC981" s="342"/>
      <c r="LAD981" s="343"/>
      <c r="LAE981" s="342"/>
      <c r="LAF981" s="343"/>
      <c r="LAG981" s="342"/>
      <c r="LAH981" s="343"/>
      <c r="LAI981" s="342"/>
      <c r="LAJ981" s="343"/>
      <c r="LAK981" s="342"/>
      <c r="LAL981" s="343"/>
      <c r="LAM981" s="342"/>
      <c r="LAN981" s="343"/>
      <c r="LAO981" s="342"/>
      <c r="LAP981" s="343"/>
      <c r="LAQ981" s="342"/>
      <c r="LAR981" s="343"/>
      <c r="LAS981" s="342"/>
      <c r="LAT981" s="343"/>
      <c r="LAU981" s="342"/>
      <c r="LAV981" s="343"/>
      <c r="LAW981" s="342"/>
      <c r="LAX981" s="343"/>
      <c r="LAY981" s="342"/>
      <c r="LAZ981" s="343"/>
      <c r="LBA981" s="342"/>
      <c r="LBB981" s="343"/>
      <c r="LBC981" s="342"/>
      <c r="LBD981" s="343"/>
      <c r="LBE981" s="342"/>
      <c r="LBF981" s="343"/>
      <c r="LBG981" s="342"/>
      <c r="LBH981" s="343"/>
      <c r="LBI981" s="342"/>
      <c r="LBJ981" s="343"/>
      <c r="LBK981" s="342"/>
      <c r="LBL981" s="343"/>
      <c r="LBM981" s="342"/>
      <c r="LBN981" s="343"/>
      <c r="LBO981" s="342"/>
      <c r="LBP981" s="343"/>
      <c r="LBQ981" s="342"/>
      <c r="LBR981" s="343"/>
      <c r="LBS981" s="342"/>
      <c r="LBT981" s="343"/>
      <c r="LBU981" s="342"/>
      <c r="LBV981" s="343"/>
      <c r="LBW981" s="342"/>
      <c r="LBX981" s="343"/>
      <c r="LBY981" s="342"/>
      <c r="LBZ981" s="343"/>
      <c r="LCA981" s="342"/>
      <c r="LCB981" s="343"/>
      <c r="LCC981" s="342"/>
      <c r="LCD981" s="343"/>
      <c r="LCE981" s="342"/>
      <c r="LCF981" s="343"/>
      <c r="LCG981" s="342"/>
      <c r="LCH981" s="343"/>
      <c r="LCI981" s="342"/>
      <c r="LCJ981" s="343"/>
      <c r="LCK981" s="342"/>
      <c r="LCL981" s="343"/>
      <c r="LCM981" s="342"/>
      <c r="LCN981" s="343"/>
      <c r="LCO981" s="342"/>
      <c r="LCP981" s="343"/>
      <c r="LCQ981" s="342"/>
      <c r="LCR981" s="343"/>
      <c r="LCS981" s="342"/>
      <c r="LCT981" s="343"/>
      <c r="LCU981" s="342"/>
      <c r="LCV981" s="343"/>
      <c r="LCW981" s="342"/>
      <c r="LCX981" s="343"/>
      <c r="LCY981" s="342"/>
      <c r="LCZ981" s="343"/>
      <c r="LDA981" s="342"/>
      <c r="LDB981" s="343"/>
      <c r="LDC981" s="342"/>
      <c r="LDD981" s="343"/>
      <c r="LDE981" s="342"/>
      <c r="LDF981" s="343"/>
      <c r="LDG981" s="342"/>
      <c r="LDH981" s="343"/>
      <c r="LDI981" s="342"/>
      <c r="LDJ981" s="343"/>
      <c r="LDK981" s="342"/>
      <c r="LDL981" s="343"/>
      <c r="LDM981" s="342"/>
      <c r="LDN981" s="343"/>
      <c r="LDO981" s="342"/>
      <c r="LDP981" s="343"/>
      <c r="LDQ981" s="342"/>
      <c r="LDR981" s="343"/>
      <c r="LDS981" s="342"/>
      <c r="LDT981" s="343"/>
      <c r="LDU981" s="342"/>
      <c r="LDV981" s="343"/>
      <c r="LDW981" s="342"/>
      <c r="LDX981" s="343"/>
      <c r="LDY981" s="342"/>
      <c r="LDZ981" s="343"/>
      <c r="LEA981" s="342"/>
      <c r="LEB981" s="343"/>
      <c r="LEC981" s="342"/>
      <c r="LED981" s="343"/>
      <c r="LEE981" s="342"/>
      <c r="LEF981" s="343"/>
      <c r="LEG981" s="342"/>
      <c r="LEH981" s="343"/>
      <c r="LEI981" s="342"/>
      <c r="LEJ981" s="343"/>
      <c r="LEK981" s="342"/>
      <c r="LEL981" s="343"/>
      <c r="LEM981" s="342"/>
      <c r="LEN981" s="343"/>
      <c r="LEO981" s="342"/>
      <c r="LEP981" s="343"/>
      <c r="LEQ981" s="342"/>
      <c r="LER981" s="343"/>
      <c r="LES981" s="342"/>
      <c r="LET981" s="343"/>
      <c r="LEU981" s="342"/>
      <c r="LEV981" s="343"/>
      <c r="LEW981" s="342"/>
      <c r="LEX981" s="343"/>
      <c r="LEY981" s="342"/>
      <c r="LEZ981" s="343"/>
      <c r="LFA981" s="342"/>
      <c r="LFB981" s="343"/>
      <c r="LFC981" s="342"/>
      <c r="LFD981" s="343"/>
      <c r="LFE981" s="342"/>
      <c r="LFF981" s="343"/>
      <c r="LFG981" s="342"/>
      <c r="LFH981" s="343"/>
      <c r="LFI981" s="342"/>
      <c r="LFJ981" s="343"/>
      <c r="LFK981" s="342"/>
      <c r="LFL981" s="343"/>
      <c r="LFM981" s="342"/>
      <c r="LFN981" s="343"/>
      <c r="LFO981" s="342"/>
      <c r="LFP981" s="343"/>
      <c r="LFQ981" s="342"/>
      <c r="LFR981" s="343"/>
      <c r="LFS981" s="342"/>
      <c r="LFT981" s="343"/>
      <c r="LFU981" s="342"/>
      <c r="LFV981" s="343"/>
      <c r="LFW981" s="342"/>
      <c r="LFX981" s="343"/>
      <c r="LFY981" s="342"/>
      <c r="LFZ981" s="343"/>
      <c r="LGA981" s="342"/>
      <c r="LGB981" s="343"/>
      <c r="LGC981" s="342"/>
      <c r="LGD981" s="343"/>
      <c r="LGE981" s="342"/>
      <c r="LGF981" s="343"/>
      <c r="LGG981" s="342"/>
      <c r="LGH981" s="343"/>
      <c r="LGI981" s="342"/>
      <c r="LGJ981" s="343"/>
      <c r="LGK981" s="342"/>
      <c r="LGL981" s="343"/>
      <c r="LGM981" s="342"/>
      <c r="LGN981" s="343"/>
      <c r="LGO981" s="342"/>
      <c r="LGP981" s="343"/>
      <c r="LGQ981" s="342"/>
      <c r="LGR981" s="343"/>
      <c r="LGS981" s="342"/>
      <c r="LGT981" s="343"/>
      <c r="LGU981" s="342"/>
      <c r="LGV981" s="343"/>
      <c r="LGW981" s="342"/>
      <c r="LGX981" s="343"/>
      <c r="LGY981" s="342"/>
      <c r="LGZ981" s="343"/>
      <c r="LHA981" s="342"/>
      <c r="LHB981" s="343"/>
      <c r="LHC981" s="342"/>
      <c r="LHD981" s="343"/>
      <c r="LHE981" s="342"/>
      <c r="LHF981" s="343"/>
      <c r="LHG981" s="342"/>
      <c r="LHH981" s="343"/>
      <c r="LHI981" s="342"/>
      <c r="LHJ981" s="343"/>
      <c r="LHK981" s="342"/>
      <c r="LHL981" s="343"/>
      <c r="LHM981" s="342"/>
      <c r="LHN981" s="343"/>
      <c r="LHO981" s="342"/>
      <c r="LHP981" s="343"/>
      <c r="LHQ981" s="342"/>
      <c r="LHR981" s="343"/>
      <c r="LHS981" s="342"/>
      <c r="LHT981" s="343"/>
      <c r="LHU981" s="342"/>
      <c r="LHV981" s="343"/>
      <c r="LHW981" s="342"/>
      <c r="LHX981" s="343"/>
      <c r="LHY981" s="342"/>
      <c r="LHZ981" s="343"/>
      <c r="LIA981" s="342"/>
      <c r="LIB981" s="343"/>
      <c r="LIC981" s="342"/>
      <c r="LID981" s="343"/>
      <c r="LIE981" s="342"/>
      <c r="LIF981" s="343"/>
      <c r="LIG981" s="342"/>
      <c r="LIH981" s="343"/>
      <c r="LII981" s="342"/>
      <c r="LIJ981" s="343"/>
      <c r="LIK981" s="342"/>
      <c r="LIL981" s="343"/>
      <c r="LIM981" s="342"/>
      <c r="LIN981" s="343"/>
      <c r="LIO981" s="342"/>
      <c r="LIP981" s="343"/>
      <c r="LIQ981" s="342"/>
      <c r="LIR981" s="343"/>
      <c r="LIS981" s="342"/>
      <c r="LIT981" s="343"/>
      <c r="LIU981" s="342"/>
      <c r="LIV981" s="343"/>
      <c r="LIW981" s="342"/>
      <c r="LIX981" s="343"/>
      <c r="LIY981" s="342"/>
      <c r="LIZ981" s="343"/>
      <c r="LJA981" s="342"/>
      <c r="LJB981" s="343"/>
      <c r="LJC981" s="342"/>
      <c r="LJD981" s="343"/>
      <c r="LJE981" s="342"/>
      <c r="LJF981" s="343"/>
      <c r="LJG981" s="342"/>
      <c r="LJH981" s="343"/>
      <c r="LJI981" s="342"/>
      <c r="LJJ981" s="343"/>
      <c r="LJK981" s="342"/>
      <c r="LJL981" s="343"/>
      <c r="LJM981" s="342"/>
      <c r="LJN981" s="343"/>
      <c r="LJO981" s="342"/>
      <c r="LJP981" s="343"/>
      <c r="LJQ981" s="342"/>
      <c r="LJR981" s="343"/>
      <c r="LJS981" s="342"/>
      <c r="LJT981" s="343"/>
      <c r="LJU981" s="342"/>
      <c r="LJV981" s="343"/>
      <c r="LJW981" s="342"/>
      <c r="LJX981" s="343"/>
      <c r="LJY981" s="342"/>
      <c r="LJZ981" s="343"/>
      <c r="LKA981" s="342"/>
      <c r="LKB981" s="343"/>
      <c r="LKC981" s="342"/>
      <c r="LKD981" s="343"/>
      <c r="LKE981" s="342"/>
      <c r="LKF981" s="343"/>
      <c r="LKG981" s="342"/>
      <c r="LKH981" s="343"/>
      <c r="LKI981" s="342"/>
      <c r="LKJ981" s="343"/>
      <c r="LKK981" s="342"/>
      <c r="LKL981" s="343"/>
      <c r="LKM981" s="342"/>
      <c r="LKN981" s="343"/>
      <c r="LKO981" s="342"/>
      <c r="LKP981" s="343"/>
      <c r="LKQ981" s="342"/>
      <c r="LKR981" s="343"/>
      <c r="LKS981" s="342"/>
      <c r="LKT981" s="343"/>
      <c r="LKU981" s="342"/>
      <c r="LKV981" s="343"/>
      <c r="LKW981" s="342"/>
      <c r="LKX981" s="343"/>
      <c r="LKY981" s="342"/>
      <c r="LKZ981" s="343"/>
      <c r="LLA981" s="342"/>
      <c r="LLB981" s="343"/>
      <c r="LLC981" s="342"/>
      <c r="LLD981" s="343"/>
      <c r="LLE981" s="342"/>
      <c r="LLF981" s="343"/>
      <c r="LLG981" s="342"/>
      <c r="LLH981" s="343"/>
      <c r="LLI981" s="342"/>
      <c r="LLJ981" s="343"/>
      <c r="LLK981" s="342"/>
      <c r="LLL981" s="343"/>
      <c r="LLM981" s="342"/>
      <c r="LLN981" s="343"/>
      <c r="LLO981" s="342"/>
      <c r="LLP981" s="343"/>
      <c r="LLQ981" s="342"/>
      <c r="LLR981" s="343"/>
      <c r="LLS981" s="342"/>
      <c r="LLT981" s="343"/>
      <c r="LLU981" s="342"/>
      <c r="LLV981" s="343"/>
      <c r="LLW981" s="342"/>
      <c r="LLX981" s="343"/>
      <c r="LLY981" s="342"/>
      <c r="LLZ981" s="343"/>
      <c r="LMA981" s="342"/>
      <c r="LMB981" s="343"/>
      <c r="LMC981" s="342"/>
      <c r="LMD981" s="343"/>
      <c r="LME981" s="342"/>
      <c r="LMF981" s="343"/>
      <c r="LMG981" s="342"/>
      <c r="LMH981" s="343"/>
      <c r="LMI981" s="342"/>
      <c r="LMJ981" s="343"/>
      <c r="LMK981" s="342"/>
      <c r="LML981" s="343"/>
      <c r="LMM981" s="342"/>
      <c r="LMN981" s="343"/>
      <c r="LMO981" s="342"/>
      <c r="LMP981" s="343"/>
      <c r="LMQ981" s="342"/>
      <c r="LMR981" s="343"/>
      <c r="LMS981" s="342"/>
      <c r="LMT981" s="343"/>
      <c r="LMU981" s="342"/>
      <c r="LMV981" s="343"/>
      <c r="LMW981" s="342"/>
      <c r="LMX981" s="343"/>
      <c r="LMY981" s="342"/>
      <c r="LMZ981" s="343"/>
      <c r="LNA981" s="342"/>
      <c r="LNB981" s="343"/>
      <c r="LNC981" s="342"/>
      <c r="LND981" s="343"/>
      <c r="LNE981" s="342"/>
      <c r="LNF981" s="343"/>
      <c r="LNG981" s="342"/>
      <c r="LNH981" s="343"/>
      <c r="LNI981" s="342"/>
      <c r="LNJ981" s="343"/>
      <c r="LNK981" s="342"/>
      <c r="LNL981" s="343"/>
      <c r="LNM981" s="342"/>
      <c r="LNN981" s="343"/>
      <c r="LNO981" s="342"/>
      <c r="LNP981" s="343"/>
      <c r="LNQ981" s="342"/>
      <c r="LNR981" s="343"/>
      <c r="LNS981" s="342"/>
      <c r="LNT981" s="343"/>
      <c r="LNU981" s="342"/>
      <c r="LNV981" s="343"/>
      <c r="LNW981" s="342"/>
      <c r="LNX981" s="343"/>
      <c r="LNY981" s="342"/>
      <c r="LNZ981" s="343"/>
      <c r="LOA981" s="342"/>
      <c r="LOB981" s="343"/>
      <c r="LOC981" s="342"/>
      <c r="LOD981" s="343"/>
      <c r="LOE981" s="342"/>
      <c r="LOF981" s="343"/>
      <c r="LOG981" s="342"/>
      <c r="LOH981" s="343"/>
      <c r="LOI981" s="342"/>
      <c r="LOJ981" s="343"/>
      <c r="LOK981" s="342"/>
      <c r="LOL981" s="343"/>
      <c r="LOM981" s="342"/>
      <c r="LON981" s="343"/>
      <c r="LOO981" s="342"/>
      <c r="LOP981" s="343"/>
      <c r="LOQ981" s="342"/>
      <c r="LOR981" s="343"/>
      <c r="LOS981" s="342"/>
      <c r="LOT981" s="343"/>
      <c r="LOU981" s="342"/>
      <c r="LOV981" s="343"/>
      <c r="LOW981" s="342"/>
      <c r="LOX981" s="343"/>
      <c r="LOY981" s="342"/>
      <c r="LOZ981" s="343"/>
      <c r="LPA981" s="342"/>
      <c r="LPB981" s="343"/>
      <c r="LPC981" s="342"/>
      <c r="LPD981" s="343"/>
      <c r="LPE981" s="342"/>
      <c r="LPF981" s="343"/>
      <c r="LPG981" s="342"/>
      <c r="LPH981" s="343"/>
      <c r="LPI981" s="342"/>
      <c r="LPJ981" s="343"/>
      <c r="LPK981" s="342"/>
      <c r="LPL981" s="343"/>
      <c r="LPM981" s="342"/>
      <c r="LPN981" s="343"/>
      <c r="LPO981" s="342"/>
      <c r="LPP981" s="343"/>
      <c r="LPQ981" s="342"/>
      <c r="LPR981" s="343"/>
      <c r="LPS981" s="342"/>
      <c r="LPT981" s="343"/>
      <c r="LPU981" s="342"/>
      <c r="LPV981" s="343"/>
      <c r="LPW981" s="342"/>
      <c r="LPX981" s="343"/>
      <c r="LPY981" s="342"/>
      <c r="LPZ981" s="343"/>
      <c r="LQA981" s="342"/>
      <c r="LQB981" s="343"/>
      <c r="LQC981" s="342"/>
      <c r="LQD981" s="343"/>
      <c r="LQE981" s="342"/>
      <c r="LQF981" s="343"/>
      <c r="LQG981" s="342"/>
      <c r="LQH981" s="343"/>
      <c r="LQI981" s="342"/>
      <c r="LQJ981" s="343"/>
      <c r="LQK981" s="342"/>
      <c r="LQL981" s="343"/>
      <c r="LQM981" s="342"/>
      <c r="LQN981" s="343"/>
      <c r="LQO981" s="342"/>
      <c r="LQP981" s="343"/>
      <c r="LQQ981" s="342"/>
      <c r="LQR981" s="343"/>
      <c r="LQS981" s="342"/>
      <c r="LQT981" s="343"/>
      <c r="LQU981" s="342"/>
      <c r="LQV981" s="343"/>
      <c r="LQW981" s="342"/>
      <c r="LQX981" s="343"/>
      <c r="LQY981" s="342"/>
      <c r="LQZ981" s="343"/>
      <c r="LRA981" s="342"/>
      <c r="LRB981" s="343"/>
      <c r="LRC981" s="342"/>
      <c r="LRD981" s="343"/>
      <c r="LRE981" s="342"/>
      <c r="LRF981" s="343"/>
      <c r="LRG981" s="342"/>
      <c r="LRH981" s="343"/>
      <c r="LRI981" s="342"/>
      <c r="LRJ981" s="343"/>
      <c r="LRK981" s="342"/>
      <c r="LRL981" s="343"/>
      <c r="LRM981" s="342"/>
      <c r="LRN981" s="343"/>
      <c r="LRO981" s="342"/>
      <c r="LRP981" s="343"/>
      <c r="LRQ981" s="342"/>
      <c r="LRR981" s="343"/>
      <c r="LRS981" s="342"/>
      <c r="LRT981" s="343"/>
      <c r="LRU981" s="342"/>
      <c r="LRV981" s="343"/>
      <c r="LRW981" s="342"/>
      <c r="LRX981" s="343"/>
      <c r="LRY981" s="342"/>
      <c r="LRZ981" s="343"/>
      <c r="LSA981" s="342"/>
      <c r="LSB981" s="343"/>
      <c r="LSC981" s="342"/>
      <c r="LSD981" s="343"/>
      <c r="LSE981" s="342"/>
      <c r="LSF981" s="343"/>
      <c r="LSG981" s="342"/>
      <c r="LSH981" s="343"/>
      <c r="LSI981" s="342"/>
      <c r="LSJ981" s="343"/>
      <c r="LSK981" s="342"/>
      <c r="LSL981" s="343"/>
      <c r="LSM981" s="342"/>
      <c r="LSN981" s="343"/>
      <c r="LSO981" s="342"/>
      <c r="LSP981" s="343"/>
      <c r="LSQ981" s="342"/>
      <c r="LSR981" s="343"/>
      <c r="LSS981" s="342"/>
      <c r="LST981" s="343"/>
      <c r="LSU981" s="342"/>
      <c r="LSV981" s="343"/>
      <c r="LSW981" s="342"/>
      <c r="LSX981" s="343"/>
      <c r="LSY981" s="342"/>
      <c r="LSZ981" s="343"/>
      <c r="LTA981" s="342"/>
      <c r="LTB981" s="343"/>
      <c r="LTC981" s="342"/>
      <c r="LTD981" s="343"/>
      <c r="LTE981" s="342"/>
      <c r="LTF981" s="343"/>
      <c r="LTG981" s="342"/>
      <c r="LTH981" s="343"/>
      <c r="LTI981" s="342"/>
      <c r="LTJ981" s="343"/>
      <c r="LTK981" s="342"/>
      <c r="LTL981" s="343"/>
      <c r="LTM981" s="342"/>
      <c r="LTN981" s="343"/>
      <c r="LTO981" s="342"/>
      <c r="LTP981" s="343"/>
      <c r="LTQ981" s="342"/>
      <c r="LTR981" s="343"/>
      <c r="LTS981" s="342"/>
      <c r="LTT981" s="343"/>
      <c r="LTU981" s="342"/>
      <c r="LTV981" s="343"/>
      <c r="LTW981" s="342"/>
      <c r="LTX981" s="343"/>
      <c r="LTY981" s="342"/>
      <c r="LTZ981" s="343"/>
      <c r="LUA981" s="342"/>
      <c r="LUB981" s="343"/>
      <c r="LUC981" s="342"/>
      <c r="LUD981" s="343"/>
      <c r="LUE981" s="342"/>
      <c r="LUF981" s="343"/>
      <c r="LUG981" s="342"/>
      <c r="LUH981" s="343"/>
      <c r="LUI981" s="342"/>
      <c r="LUJ981" s="343"/>
      <c r="LUK981" s="342"/>
      <c r="LUL981" s="343"/>
      <c r="LUM981" s="342"/>
      <c r="LUN981" s="343"/>
      <c r="LUO981" s="342"/>
      <c r="LUP981" s="343"/>
      <c r="LUQ981" s="342"/>
      <c r="LUR981" s="343"/>
      <c r="LUS981" s="342"/>
      <c r="LUT981" s="343"/>
      <c r="LUU981" s="342"/>
      <c r="LUV981" s="343"/>
      <c r="LUW981" s="342"/>
      <c r="LUX981" s="343"/>
      <c r="LUY981" s="342"/>
      <c r="LUZ981" s="343"/>
      <c r="LVA981" s="342"/>
      <c r="LVB981" s="343"/>
      <c r="LVC981" s="342"/>
      <c r="LVD981" s="343"/>
      <c r="LVE981" s="342"/>
      <c r="LVF981" s="343"/>
      <c r="LVG981" s="342"/>
      <c r="LVH981" s="343"/>
      <c r="LVI981" s="342"/>
      <c r="LVJ981" s="343"/>
      <c r="LVK981" s="342"/>
      <c r="LVL981" s="343"/>
      <c r="LVM981" s="342"/>
      <c r="LVN981" s="343"/>
      <c r="LVO981" s="342"/>
      <c r="LVP981" s="343"/>
      <c r="LVQ981" s="342"/>
      <c r="LVR981" s="343"/>
      <c r="LVS981" s="342"/>
      <c r="LVT981" s="343"/>
      <c r="LVU981" s="342"/>
      <c r="LVV981" s="343"/>
      <c r="LVW981" s="342"/>
      <c r="LVX981" s="343"/>
      <c r="LVY981" s="342"/>
      <c r="LVZ981" s="343"/>
      <c r="LWA981" s="342"/>
      <c r="LWB981" s="343"/>
      <c r="LWC981" s="342"/>
      <c r="LWD981" s="343"/>
      <c r="LWE981" s="342"/>
      <c r="LWF981" s="343"/>
      <c r="LWG981" s="342"/>
      <c r="LWH981" s="343"/>
      <c r="LWI981" s="342"/>
      <c r="LWJ981" s="343"/>
      <c r="LWK981" s="342"/>
      <c r="LWL981" s="343"/>
      <c r="LWM981" s="342"/>
      <c r="LWN981" s="343"/>
      <c r="LWO981" s="342"/>
      <c r="LWP981" s="343"/>
      <c r="LWQ981" s="342"/>
      <c r="LWR981" s="343"/>
      <c r="LWS981" s="342"/>
      <c r="LWT981" s="343"/>
      <c r="LWU981" s="342"/>
      <c r="LWV981" s="343"/>
      <c r="LWW981" s="342"/>
      <c r="LWX981" s="343"/>
      <c r="LWY981" s="342"/>
      <c r="LWZ981" s="343"/>
      <c r="LXA981" s="342"/>
      <c r="LXB981" s="343"/>
      <c r="LXC981" s="342"/>
      <c r="LXD981" s="343"/>
      <c r="LXE981" s="342"/>
      <c r="LXF981" s="343"/>
      <c r="LXG981" s="342"/>
      <c r="LXH981" s="343"/>
      <c r="LXI981" s="342"/>
      <c r="LXJ981" s="343"/>
      <c r="LXK981" s="342"/>
      <c r="LXL981" s="343"/>
      <c r="LXM981" s="342"/>
      <c r="LXN981" s="343"/>
      <c r="LXO981" s="342"/>
      <c r="LXP981" s="343"/>
      <c r="LXQ981" s="342"/>
      <c r="LXR981" s="343"/>
      <c r="LXS981" s="342"/>
      <c r="LXT981" s="343"/>
      <c r="LXU981" s="342"/>
      <c r="LXV981" s="343"/>
      <c r="LXW981" s="342"/>
      <c r="LXX981" s="343"/>
      <c r="LXY981" s="342"/>
      <c r="LXZ981" s="343"/>
      <c r="LYA981" s="342"/>
      <c r="LYB981" s="343"/>
      <c r="LYC981" s="342"/>
      <c r="LYD981" s="343"/>
      <c r="LYE981" s="342"/>
      <c r="LYF981" s="343"/>
      <c r="LYG981" s="342"/>
      <c r="LYH981" s="343"/>
      <c r="LYI981" s="342"/>
      <c r="LYJ981" s="343"/>
      <c r="LYK981" s="342"/>
      <c r="LYL981" s="343"/>
      <c r="LYM981" s="342"/>
      <c r="LYN981" s="343"/>
      <c r="LYO981" s="342"/>
      <c r="LYP981" s="343"/>
      <c r="LYQ981" s="342"/>
      <c r="LYR981" s="343"/>
      <c r="LYS981" s="342"/>
      <c r="LYT981" s="343"/>
      <c r="LYU981" s="342"/>
      <c r="LYV981" s="343"/>
      <c r="LYW981" s="342"/>
      <c r="LYX981" s="343"/>
      <c r="LYY981" s="342"/>
      <c r="LYZ981" s="343"/>
      <c r="LZA981" s="342"/>
      <c r="LZB981" s="343"/>
      <c r="LZC981" s="342"/>
      <c r="LZD981" s="343"/>
      <c r="LZE981" s="342"/>
      <c r="LZF981" s="343"/>
      <c r="LZG981" s="342"/>
      <c r="LZH981" s="343"/>
      <c r="LZI981" s="342"/>
      <c r="LZJ981" s="343"/>
      <c r="LZK981" s="342"/>
      <c r="LZL981" s="343"/>
      <c r="LZM981" s="342"/>
      <c r="LZN981" s="343"/>
      <c r="LZO981" s="342"/>
      <c r="LZP981" s="343"/>
      <c r="LZQ981" s="342"/>
      <c r="LZR981" s="343"/>
      <c r="LZS981" s="342"/>
      <c r="LZT981" s="343"/>
      <c r="LZU981" s="342"/>
      <c r="LZV981" s="343"/>
      <c r="LZW981" s="342"/>
      <c r="LZX981" s="343"/>
      <c r="LZY981" s="342"/>
      <c r="LZZ981" s="343"/>
      <c r="MAA981" s="342"/>
      <c r="MAB981" s="343"/>
      <c r="MAC981" s="342"/>
      <c r="MAD981" s="343"/>
      <c r="MAE981" s="342"/>
      <c r="MAF981" s="343"/>
      <c r="MAG981" s="342"/>
      <c r="MAH981" s="343"/>
      <c r="MAI981" s="342"/>
      <c r="MAJ981" s="343"/>
      <c r="MAK981" s="342"/>
      <c r="MAL981" s="343"/>
      <c r="MAM981" s="342"/>
      <c r="MAN981" s="343"/>
      <c r="MAO981" s="342"/>
      <c r="MAP981" s="343"/>
      <c r="MAQ981" s="342"/>
      <c r="MAR981" s="343"/>
      <c r="MAS981" s="342"/>
      <c r="MAT981" s="343"/>
      <c r="MAU981" s="342"/>
      <c r="MAV981" s="343"/>
      <c r="MAW981" s="342"/>
      <c r="MAX981" s="343"/>
      <c r="MAY981" s="342"/>
      <c r="MAZ981" s="343"/>
      <c r="MBA981" s="342"/>
      <c r="MBB981" s="343"/>
      <c r="MBC981" s="342"/>
      <c r="MBD981" s="343"/>
      <c r="MBE981" s="342"/>
      <c r="MBF981" s="343"/>
      <c r="MBG981" s="342"/>
      <c r="MBH981" s="343"/>
      <c r="MBI981" s="342"/>
      <c r="MBJ981" s="343"/>
      <c r="MBK981" s="342"/>
      <c r="MBL981" s="343"/>
      <c r="MBM981" s="342"/>
      <c r="MBN981" s="343"/>
      <c r="MBO981" s="342"/>
      <c r="MBP981" s="343"/>
      <c r="MBQ981" s="342"/>
      <c r="MBR981" s="343"/>
      <c r="MBS981" s="342"/>
      <c r="MBT981" s="343"/>
      <c r="MBU981" s="342"/>
      <c r="MBV981" s="343"/>
      <c r="MBW981" s="342"/>
      <c r="MBX981" s="343"/>
      <c r="MBY981" s="342"/>
      <c r="MBZ981" s="343"/>
      <c r="MCA981" s="342"/>
      <c r="MCB981" s="343"/>
      <c r="MCC981" s="342"/>
      <c r="MCD981" s="343"/>
      <c r="MCE981" s="342"/>
      <c r="MCF981" s="343"/>
      <c r="MCG981" s="342"/>
      <c r="MCH981" s="343"/>
      <c r="MCI981" s="342"/>
      <c r="MCJ981" s="343"/>
      <c r="MCK981" s="342"/>
      <c r="MCL981" s="343"/>
      <c r="MCM981" s="342"/>
      <c r="MCN981" s="343"/>
      <c r="MCO981" s="342"/>
      <c r="MCP981" s="343"/>
      <c r="MCQ981" s="342"/>
      <c r="MCR981" s="343"/>
      <c r="MCS981" s="342"/>
      <c r="MCT981" s="343"/>
      <c r="MCU981" s="342"/>
      <c r="MCV981" s="343"/>
      <c r="MCW981" s="342"/>
      <c r="MCX981" s="343"/>
      <c r="MCY981" s="342"/>
      <c r="MCZ981" s="343"/>
      <c r="MDA981" s="342"/>
      <c r="MDB981" s="343"/>
      <c r="MDC981" s="342"/>
      <c r="MDD981" s="343"/>
      <c r="MDE981" s="342"/>
      <c r="MDF981" s="343"/>
      <c r="MDG981" s="342"/>
      <c r="MDH981" s="343"/>
      <c r="MDI981" s="342"/>
      <c r="MDJ981" s="343"/>
      <c r="MDK981" s="342"/>
      <c r="MDL981" s="343"/>
      <c r="MDM981" s="342"/>
      <c r="MDN981" s="343"/>
      <c r="MDO981" s="342"/>
      <c r="MDP981" s="343"/>
      <c r="MDQ981" s="342"/>
      <c r="MDR981" s="343"/>
      <c r="MDS981" s="342"/>
      <c r="MDT981" s="343"/>
      <c r="MDU981" s="342"/>
      <c r="MDV981" s="343"/>
      <c r="MDW981" s="342"/>
      <c r="MDX981" s="343"/>
      <c r="MDY981" s="342"/>
      <c r="MDZ981" s="343"/>
      <c r="MEA981" s="342"/>
      <c r="MEB981" s="343"/>
      <c r="MEC981" s="342"/>
      <c r="MED981" s="343"/>
      <c r="MEE981" s="342"/>
      <c r="MEF981" s="343"/>
      <c r="MEG981" s="342"/>
      <c r="MEH981" s="343"/>
      <c r="MEI981" s="342"/>
      <c r="MEJ981" s="343"/>
      <c r="MEK981" s="342"/>
      <c r="MEL981" s="343"/>
      <c r="MEM981" s="342"/>
      <c r="MEN981" s="343"/>
      <c r="MEO981" s="342"/>
      <c r="MEP981" s="343"/>
      <c r="MEQ981" s="342"/>
      <c r="MER981" s="343"/>
      <c r="MES981" s="342"/>
      <c r="MET981" s="343"/>
      <c r="MEU981" s="342"/>
      <c r="MEV981" s="343"/>
      <c r="MEW981" s="342"/>
      <c r="MEX981" s="343"/>
      <c r="MEY981" s="342"/>
      <c r="MEZ981" s="343"/>
      <c r="MFA981" s="342"/>
      <c r="MFB981" s="343"/>
      <c r="MFC981" s="342"/>
      <c r="MFD981" s="343"/>
      <c r="MFE981" s="342"/>
      <c r="MFF981" s="343"/>
      <c r="MFG981" s="342"/>
      <c r="MFH981" s="343"/>
      <c r="MFI981" s="342"/>
      <c r="MFJ981" s="343"/>
      <c r="MFK981" s="342"/>
      <c r="MFL981" s="343"/>
      <c r="MFM981" s="342"/>
      <c r="MFN981" s="343"/>
      <c r="MFO981" s="342"/>
      <c r="MFP981" s="343"/>
      <c r="MFQ981" s="342"/>
      <c r="MFR981" s="343"/>
      <c r="MFS981" s="342"/>
      <c r="MFT981" s="343"/>
      <c r="MFU981" s="342"/>
      <c r="MFV981" s="343"/>
      <c r="MFW981" s="342"/>
      <c r="MFX981" s="343"/>
      <c r="MFY981" s="342"/>
      <c r="MFZ981" s="343"/>
      <c r="MGA981" s="342"/>
      <c r="MGB981" s="343"/>
      <c r="MGC981" s="342"/>
      <c r="MGD981" s="343"/>
      <c r="MGE981" s="342"/>
      <c r="MGF981" s="343"/>
      <c r="MGG981" s="342"/>
      <c r="MGH981" s="343"/>
      <c r="MGI981" s="342"/>
      <c r="MGJ981" s="343"/>
      <c r="MGK981" s="342"/>
      <c r="MGL981" s="343"/>
      <c r="MGM981" s="342"/>
      <c r="MGN981" s="343"/>
      <c r="MGO981" s="342"/>
      <c r="MGP981" s="343"/>
      <c r="MGQ981" s="342"/>
      <c r="MGR981" s="343"/>
      <c r="MGS981" s="342"/>
      <c r="MGT981" s="343"/>
      <c r="MGU981" s="342"/>
      <c r="MGV981" s="343"/>
      <c r="MGW981" s="342"/>
      <c r="MGX981" s="343"/>
      <c r="MGY981" s="342"/>
      <c r="MGZ981" s="343"/>
      <c r="MHA981" s="342"/>
      <c r="MHB981" s="343"/>
      <c r="MHC981" s="342"/>
      <c r="MHD981" s="343"/>
      <c r="MHE981" s="342"/>
      <c r="MHF981" s="343"/>
      <c r="MHG981" s="342"/>
      <c r="MHH981" s="343"/>
      <c r="MHI981" s="342"/>
      <c r="MHJ981" s="343"/>
      <c r="MHK981" s="342"/>
      <c r="MHL981" s="343"/>
      <c r="MHM981" s="342"/>
      <c r="MHN981" s="343"/>
      <c r="MHO981" s="342"/>
      <c r="MHP981" s="343"/>
      <c r="MHQ981" s="342"/>
      <c r="MHR981" s="343"/>
      <c r="MHS981" s="342"/>
      <c r="MHT981" s="343"/>
      <c r="MHU981" s="342"/>
      <c r="MHV981" s="343"/>
      <c r="MHW981" s="342"/>
      <c r="MHX981" s="343"/>
      <c r="MHY981" s="342"/>
      <c r="MHZ981" s="343"/>
      <c r="MIA981" s="342"/>
      <c r="MIB981" s="343"/>
      <c r="MIC981" s="342"/>
      <c r="MID981" s="343"/>
      <c r="MIE981" s="342"/>
      <c r="MIF981" s="343"/>
      <c r="MIG981" s="342"/>
      <c r="MIH981" s="343"/>
      <c r="MII981" s="342"/>
      <c r="MIJ981" s="343"/>
      <c r="MIK981" s="342"/>
      <c r="MIL981" s="343"/>
      <c r="MIM981" s="342"/>
      <c r="MIN981" s="343"/>
      <c r="MIO981" s="342"/>
      <c r="MIP981" s="343"/>
      <c r="MIQ981" s="342"/>
      <c r="MIR981" s="343"/>
      <c r="MIS981" s="342"/>
      <c r="MIT981" s="343"/>
      <c r="MIU981" s="342"/>
      <c r="MIV981" s="343"/>
      <c r="MIW981" s="342"/>
      <c r="MIX981" s="343"/>
      <c r="MIY981" s="342"/>
      <c r="MIZ981" s="343"/>
      <c r="MJA981" s="342"/>
      <c r="MJB981" s="343"/>
      <c r="MJC981" s="342"/>
      <c r="MJD981" s="343"/>
      <c r="MJE981" s="342"/>
      <c r="MJF981" s="343"/>
      <c r="MJG981" s="342"/>
      <c r="MJH981" s="343"/>
      <c r="MJI981" s="342"/>
      <c r="MJJ981" s="343"/>
      <c r="MJK981" s="342"/>
      <c r="MJL981" s="343"/>
      <c r="MJM981" s="342"/>
      <c r="MJN981" s="343"/>
      <c r="MJO981" s="342"/>
      <c r="MJP981" s="343"/>
      <c r="MJQ981" s="342"/>
      <c r="MJR981" s="343"/>
      <c r="MJS981" s="342"/>
      <c r="MJT981" s="343"/>
      <c r="MJU981" s="342"/>
      <c r="MJV981" s="343"/>
      <c r="MJW981" s="342"/>
      <c r="MJX981" s="343"/>
      <c r="MJY981" s="342"/>
      <c r="MJZ981" s="343"/>
      <c r="MKA981" s="342"/>
      <c r="MKB981" s="343"/>
      <c r="MKC981" s="342"/>
      <c r="MKD981" s="343"/>
      <c r="MKE981" s="342"/>
      <c r="MKF981" s="343"/>
      <c r="MKG981" s="342"/>
      <c r="MKH981" s="343"/>
      <c r="MKI981" s="342"/>
      <c r="MKJ981" s="343"/>
      <c r="MKK981" s="342"/>
      <c r="MKL981" s="343"/>
      <c r="MKM981" s="342"/>
      <c r="MKN981" s="343"/>
      <c r="MKO981" s="342"/>
      <c r="MKP981" s="343"/>
      <c r="MKQ981" s="342"/>
      <c r="MKR981" s="343"/>
      <c r="MKS981" s="342"/>
      <c r="MKT981" s="343"/>
      <c r="MKU981" s="342"/>
      <c r="MKV981" s="343"/>
      <c r="MKW981" s="342"/>
      <c r="MKX981" s="343"/>
      <c r="MKY981" s="342"/>
      <c r="MKZ981" s="343"/>
      <c r="MLA981" s="342"/>
      <c r="MLB981" s="343"/>
      <c r="MLC981" s="342"/>
      <c r="MLD981" s="343"/>
      <c r="MLE981" s="342"/>
      <c r="MLF981" s="343"/>
      <c r="MLG981" s="342"/>
      <c r="MLH981" s="343"/>
      <c r="MLI981" s="342"/>
      <c r="MLJ981" s="343"/>
      <c r="MLK981" s="342"/>
      <c r="MLL981" s="343"/>
      <c r="MLM981" s="342"/>
      <c r="MLN981" s="343"/>
      <c r="MLO981" s="342"/>
      <c r="MLP981" s="343"/>
      <c r="MLQ981" s="342"/>
      <c r="MLR981" s="343"/>
      <c r="MLS981" s="342"/>
      <c r="MLT981" s="343"/>
      <c r="MLU981" s="342"/>
      <c r="MLV981" s="343"/>
      <c r="MLW981" s="342"/>
      <c r="MLX981" s="343"/>
      <c r="MLY981" s="342"/>
      <c r="MLZ981" s="343"/>
      <c r="MMA981" s="342"/>
      <c r="MMB981" s="343"/>
      <c r="MMC981" s="342"/>
      <c r="MMD981" s="343"/>
      <c r="MME981" s="342"/>
      <c r="MMF981" s="343"/>
      <c r="MMG981" s="342"/>
      <c r="MMH981" s="343"/>
      <c r="MMI981" s="342"/>
      <c r="MMJ981" s="343"/>
      <c r="MMK981" s="342"/>
      <c r="MML981" s="343"/>
      <c r="MMM981" s="342"/>
      <c r="MMN981" s="343"/>
      <c r="MMO981" s="342"/>
      <c r="MMP981" s="343"/>
      <c r="MMQ981" s="342"/>
      <c r="MMR981" s="343"/>
      <c r="MMS981" s="342"/>
      <c r="MMT981" s="343"/>
      <c r="MMU981" s="342"/>
      <c r="MMV981" s="343"/>
      <c r="MMW981" s="342"/>
      <c r="MMX981" s="343"/>
      <c r="MMY981" s="342"/>
      <c r="MMZ981" s="343"/>
      <c r="MNA981" s="342"/>
      <c r="MNB981" s="343"/>
      <c r="MNC981" s="342"/>
      <c r="MND981" s="343"/>
      <c r="MNE981" s="342"/>
      <c r="MNF981" s="343"/>
      <c r="MNG981" s="342"/>
      <c r="MNH981" s="343"/>
      <c r="MNI981" s="342"/>
      <c r="MNJ981" s="343"/>
      <c r="MNK981" s="342"/>
      <c r="MNL981" s="343"/>
      <c r="MNM981" s="342"/>
      <c r="MNN981" s="343"/>
      <c r="MNO981" s="342"/>
      <c r="MNP981" s="343"/>
      <c r="MNQ981" s="342"/>
      <c r="MNR981" s="343"/>
      <c r="MNS981" s="342"/>
      <c r="MNT981" s="343"/>
      <c r="MNU981" s="342"/>
      <c r="MNV981" s="343"/>
      <c r="MNW981" s="342"/>
      <c r="MNX981" s="343"/>
      <c r="MNY981" s="342"/>
      <c r="MNZ981" s="343"/>
      <c r="MOA981" s="342"/>
      <c r="MOB981" s="343"/>
      <c r="MOC981" s="342"/>
      <c r="MOD981" s="343"/>
      <c r="MOE981" s="342"/>
      <c r="MOF981" s="343"/>
      <c r="MOG981" s="342"/>
      <c r="MOH981" s="343"/>
      <c r="MOI981" s="342"/>
      <c r="MOJ981" s="343"/>
      <c r="MOK981" s="342"/>
      <c r="MOL981" s="343"/>
      <c r="MOM981" s="342"/>
      <c r="MON981" s="343"/>
      <c r="MOO981" s="342"/>
      <c r="MOP981" s="343"/>
      <c r="MOQ981" s="342"/>
      <c r="MOR981" s="343"/>
      <c r="MOS981" s="342"/>
      <c r="MOT981" s="343"/>
      <c r="MOU981" s="342"/>
      <c r="MOV981" s="343"/>
      <c r="MOW981" s="342"/>
      <c r="MOX981" s="343"/>
      <c r="MOY981" s="342"/>
      <c r="MOZ981" s="343"/>
      <c r="MPA981" s="342"/>
      <c r="MPB981" s="343"/>
      <c r="MPC981" s="342"/>
      <c r="MPD981" s="343"/>
      <c r="MPE981" s="342"/>
      <c r="MPF981" s="343"/>
      <c r="MPG981" s="342"/>
      <c r="MPH981" s="343"/>
      <c r="MPI981" s="342"/>
      <c r="MPJ981" s="343"/>
      <c r="MPK981" s="342"/>
      <c r="MPL981" s="343"/>
      <c r="MPM981" s="342"/>
      <c r="MPN981" s="343"/>
      <c r="MPO981" s="342"/>
      <c r="MPP981" s="343"/>
      <c r="MPQ981" s="342"/>
      <c r="MPR981" s="343"/>
      <c r="MPS981" s="342"/>
      <c r="MPT981" s="343"/>
      <c r="MPU981" s="342"/>
      <c r="MPV981" s="343"/>
      <c r="MPW981" s="342"/>
      <c r="MPX981" s="343"/>
      <c r="MPY981" s="342"/>
      <c r="MPZ981" s="343"/>
      <c r="MQA981" s="342"/>
      <c r="MQB981" s="343"/>
      <c r="MQC981" s="342"/>
      <c r="MQD981" s="343"/>
      <c r="MQE981" s="342"/>
      <c r="MQF981" s="343"/>
      <c r="MQG981" s="342"/>
      <c r="MQH981" s="343"/>
      <c r="MQI981" s="342"/>
      <c r="MQJ981" s="343"/>
      <c r="MQK981" s="342"/>
      <c r="MQL981" s="343"/>
      <c r="MQM981" s="342"/>
      <c r="MQN981" s="343"/>
      <c r="MQO981" s="342"/>
      <c r="MQP981" s="343"/>
      <c r="MQQ981" s="342"/>
      <c r="MQR981" s="343"/>
      <c r="MQS981" s="342"/>
      <c r="MQT981" s="343"/>
      <c r="MQU981" s="342"/>
      <c r="MQV981" s="343"/>
      <c r="MQW981" s="342"/>
      <c r="MQX981" s="343"/>
      <c r="MQY981" s="342"/>
      <c r="MQZ981" s="343"/>
      <c r="MRA981" s="342"/>
      <c r="MRB981" s="343"/>
      <c r="MRC981" s="342"/>
      <c r="MRD981" s="343"/>
      <c r="MRE981" s="342"/>
      <c r="MRF981" s="343"/>
      <c r="MRG981" s="342"/>
      <c r="MRH981" s="343"/>
      <c r="MRI981" s="342"/>
      <c r="MRJ981" s="343"/>
      <c r="MRK981" s="342"/>
      <c r="MRL981" s="343"/>
      <c r="MRM981" s="342"/>
      <c r="MRN981" s="343"/>
      <c r="MRO981" s="342"/>
      <c r="MRP981" s="343"/>
      <c r="MRQ981" s="342"/>
      <c r="MRR981" s="343"/>
      <c r="MRS981" s="342"/>
      <c r="MRT981" s="343"/>
      <c r="MRU981" s="342"/>
      <c r="MRV981" s="343"/>
      <c r="MRW981" s="342"/>
      <c r="MRX981" s="343"/>
      <c r="MRY981" s="342"/>
      <c r="MRZ981" s="343"/>
      <c r="MSA981" s="342"/>
      <c r="MSB981" s="343"/>
      <c r="MSC981" s="342"/>
      <c r="MSD981" s="343"/>
      <c r="MSE981" s="342"/>
      <c r="MSF981" s="343"/>
      <c r="MSG981" s="342"/>
      <c r="MSH981" s="343"/>
      <c r="MSI981" s="342"/>
      <c r="MSJ981" s="343"/>
      <c r="MSK981" s="342"/>
      <c r="MSL981" s="343"/>
      <c r="MSM981" s="342"/>
      <c r="MSN981" s="343"/>
      <c r="MSO981" s="342"/>
      <c r="MSP981" s="343"/>
      <c r="MSQ981" s="342"/>
      <c r="MSR981" s="343"/>
      <c r="MSS981" s="342"/>
      <c r="MST981" s="343"/>
      <c r="MSU981" s="342"/>
      <c r="MSV981" s="343"/>
      <c r="MSW981" s="342"/>
      <c r="MSX981" s="343"/>
      <c r="MSY981" s="342"/>
      <c r="MSZ981" s="343"/>
      <c r="MTA981" s="342"/>
      <c r="MTB981" s="343"/>
      <c r="MTC981" s="342"/>
      <c r="MTD981" s="343"/>
      <c r="MTE981" s="342"/>
      <c r="MTF981" s="343"/>
      <c r="MTG981" s="342"/>
      <c r="MTH981" s="343"/>
      <c r="MTI981" s="342"/>
      <c r="MTJ981" s="343"/>
      <c r="MTK981" s="342"/>
      <c r="MTL981" s="343"/>
      <c r="MTM981" s="342"/>
      <c r="MTN981" s="343"/>
      <c r="MTO981" s="342"/>
      <c r="MTP981" s="343"/>
      <c r="MTQ981" s="342"/>
      <c r="MTR981" s="343"/>
      <c r="MTS981" s="342"/>
      <c r="MTT981" s="343"/>
      <c r="MTU981" s="342"/>
      <c r="MTV981" s="343"/>
      <c r="MTW981" s="342"/>
      <c r="MTX981" s="343"/>
      <c r="MTY981" s="342"/>
      <c r="MTZ981" s="343"/>
      <c r="MUA981" s="342"/>
      <c r="MUB981" s="343"/>
      <c r="MUC981" s="342"/>
      <c r="MUD981" s="343"/>
      <c r="MUE981" s="342"/>
      <c r="MUF981" s="343"/>
      <c r="MUG981" s="342"/>
      <c r="MUH981" s="343"/>
      <c r="MUI981" s="342"/>
      <c r="MUJ981" s="343"/>
      <c r="MUK981" s="342"/>
      <c r="MUL981" s="343"/>
      <c r="MUM981" s="342"/>
      <c r="MUN981" s="343"/>
      <c r="MUO981" s="342"/>
      <c r="MUP981" s="343"/>
      <c r="MUQ981" s="342"/>
      <c r="MUR981" s="343"/>
      <c r="MUS981" s="342"/>
      <c r="MUT981" s="343"/>
      <c r="MUU981" s="342"/>
      <c r="MUV981" s="343"/>
      <c r="MUW981" s="342"/>
      <c r="MUX981" s="343"/>
      <c r="MUY981" s="342"/>
      <c r="MUZ981" s="343"/>
      <c r="MVA981" s="342"/>
      <c r="MVB981" s="343"/>
      <c r="MVC981" s="342"/>
      <c r="MVD981" s="343"/>
      <c r="MVE981" s="342"/>
      <c r="MVF981" s="343"/>
      <c r="MVG981" s="342"/>
      <c r="MVH981" s="343"/>
      <c r="MVI981" s="342"/>
      <c r="MVJ981" s="343"/>
      <c r="MVK981" s="342"/>
      <c r="MVL981" s="343"/>
      <c r="MVM981" s="342"/>
      <c r="MVN981" s="343"/>
      <c r="MVO981" s="342"/>
      <c r="MVP981" s="343"/>
      <c r="MVQ981" s="342"/>
      <c r="MVR981" s="343"/>
      <c r="MVS981" s="342"/>
      <c r="MVT981" s="343"/>
      <c r="MVU981" s="342"/>
      <c r="MVV981" s="343"/>
      <c r="MVW981" s="342"/>
      <c r="MVX981" s="343"/>
      <c r="MVY981" s="342"/>
      <c r="MVZ981" s="343"/>
      <c r="MWA981" s="342"/>
      <c r="MWB981" s="343"/>
      <c r="MWC981" s="342"/>
      <c r="MWD981" s="343"/>
      <c r="MWE981" s="342"/>
      <c r="MWF981" s="343"/>
      <c r="MWG981" s="342"/>
      <c r="MWH981" s="343"/>
      <c r="MWI981" s="342"/>
      <c r="MWJ981" s="343"/>
      <c r="MWK981" s="342"/>
      <c r="MWL981" s="343"/>
      <c r="MWM981" s="342"/>
      <c r="MWN981" s="343"/>
      <c r="MWO981" s="342"/>
      <c r="MWP981" s="343"/>
      <c r="MWQ981" s="342"/>
      <c r="MWR981" s="343"/>
      <c r="MWS981" s="342"/>
      <c r="MWT981" s="343"/>
      <c r="MWU981" s="342"/>
      <c r="MWV981" s="343"/>
      <c r="MWW981" s="342"/>
      <c r="MWX981" s="343"/>
      <c r="MWY981" s="342"/>
      <c r="MWZ981" s="343"/>
      <c r="MXA981" s="342"/>
      <c r="MXB981" s="343"/>
      <c r="MXC981" s="342"/>
      <c r="MXD981" s="343"/>
      <c r="MXE981" s="342"/>
      <c r="MXF981" s="343"/>
      <c r="MXG981" s="342"/>
      <c r="MXH981" s="343"/>
      <c r="MXI981" s="342"/>
      <c r="MXJ981" s="343"/>
      <c r="MXK981" s="342"/>
      <c r="MXL981" s="343"/>
      <c r="MXM981" s="342"/>
      <c r="MXN981" s="343"/>
      <c r="MXO981" s="342"/>
      <c r="MXP981" s="343"/>
      <c r="MXQ981" s="342"/>
      <c r="MXR981" s="343"/>
      <c r="MXS981" s="342"/>
      <c r="MXT981" s="343"/>
      <c r="MXU981" s="342"/>
      <c r="MXV981" s="343"/>
      <c r="MXW981" s="342"/>
      <c r="MXX981" s="343"/>
      <c r="MXY981" s="342"/>
      <c r="MXZ981" s="343"/>
      <c r="MYA981" s="342"/>
      <c r="MYB981" s="343"/>
      <c r="MYC981" s="342"/>
      <c r="MYD981" s="343"/>
      <c r="MYE981" s="342"/>
      <c r="MYF981" s="343"/>
      <c r="MYG981" s="342"/>
      <c r="MYH981" s="343"/>
      <c r="MYI981" s="342"/>
      <c r="MYJ981" s="343"/>
      <c r="MYK981" s="342"/>
      <c r="MYL981" s="343"/>
      <c r="MYM981" s="342"/>
      <c r="MYN981" s="343"/>
      <c r="MYO981" s="342"/>
      <c r="MYP981" s="343"/>
      <c r="MYQ981" s="342"/>
      <c r="MYR981" s="343"/>
      <c r="MYS981" s="342"/>
      <c r="MYT981" s="343"/>
      <c r="MYU981" s="342"/>
      <c r="MYV981" s="343"/>
      <c r="MYW981" s="342"/>
      <c r="MYX981" s="343"/>
      <c r="MYY981" s="342"/>
      <c r="MYZ981" s="343"/>
      <c r="MZA981" s="342"/>
      <c r="MZB981" s="343"/>
      <c r="MZC981" s="342"/>
      <c r="MZD981" s="343"/>
      <c r="MZE981" s="342"/>
      <c r="MZF981" s="343"/>
      <c r="MZG981" s="342"/>
      <c r="MZH981" s="343"/>
      <c r="MZI981" s="342"/>
      <c r="MZJ981" s="343"/>
      <c r="MZK981" s="342"/>
      <c r="MZL981" s="343"/>
      <c r="MZM981" s="342"/>
      <c r="MZN981" s="343"/>
      <c r="MZO981" s="342"/>
      <c r="MZP981" s="343"/>
      <c r="MZQ981" s="342"/>
      <c r="MZR981" s="343"/>
      <c r="MZS981" s="342"/>
      <c r="MZT981" s="343"/>
      <c r="MZU981" s="342"/>
      <c r="MZV981" s="343"/>
      <c r="MZW981" s="342"/>
      <c r="MZX981" s="343"/>
      <c r="MZY981" s="342"/>
      <c r="MZZ981" s="343"/>
      <c r="NAA981" s="342"/>
      <c r="NAB981" s="343"/>
      <c r="NAC981" s="342"/>
      <c r="NAD981" s="343"/>
      <c r="NAE981" s="342"/>
      <c r="NAF981" s="343"/>
      <c r="NAG981" s="342"/>
      <c r="NAH981" s="343"/>
      <c r="NAI981" s="342"/>
      <c r="NAJ981" s="343"/>
      <c r="NAK981" s="342"/>
      <c r="NAL981" s="343"/>
      <c r="NAM981" s="342"/>
      <c r="NAN981" s="343"/>
      <c r="NAO981" s="342"/>
      <c r="NAP981" s="343"/>
      <c r="NAQ981" s="342"/>
      <c r="NAR981" s="343"/>
      <c r="NAS981" s="342"/>
      <c r="NAT981" s="343"/>
      <c r="NAU981" s="342"/>
      <c r="NAV981" s="343"/>
      <c r="NAW981" s="342"/>
      <c r="NAX981" s="343"/>
      <c r="NAY981" s="342"/>
      <c r="NAZ981" s="343"/>
      <c r="NBA981" s="342"/>
      <c r="NBB981" s="343"/>
      <c r="NBC981" s="342"/>
      <c r="NBD981" s="343"/>
      <c r="NBE981" s="342"/>
      <c r="NBF981" s="343"/>
      <c r="NBG981" s="342"/>
      <c r="NBH981" s="343"/>
      <c r="NBI981" s="342"/>
      <c r="NBJ981" s="343"/>
      <c r="NBK981" s="342"/>
      <c r="NBL981" s="343"/>
      <c r="NBM981" s="342"/>
      <c r="NBN981" s="343"/>
      <c r="NBO981" s="342"/>
      <c r="NBP981" s="343"/>
      <c r="NBQ981" s="342"/>
      <c r="NBR981" s="343"/>
      <c r="NBS981" s="342"/>
      <c r="NBT981" s="343"/>
      <c r="NBU981" s="342"/>
      <c r="NBV981" s="343"/>
      <c r="NBW981" s="342"/>
      <c r="NBX981" s="343"/>
      <c r="NBY981" s="342"/>
      <c r="NBZ981" s="343"/>
      <c r="NCA981" s="342"/>
      <c r="NCB981" s="343"/>
      <c r="NCC981" s="342"/>
      <c r="NCD981" s="343"/>
      <c r="NCE981" s="342"/>
      <c r="NCF981" s="343"/>
      <c r="NCG981" s="342"/>
      <c r="NCH981" s="343"/>
      <c r="NCI981" s="342"/>
      <c r="NCJ981" s="343"/>
      <c r="NCK981" s="342"/>
      <c r="NCL981" s="343"/>
      <c r="NCM981" s="342"/>
      <c r="NCN981" s="343"/>
      <c r="NCO981" s="342"/>
      <c r="NCP981" s="343"/>
      <c r="NCQ981" s="342"/>
      <c r="NCR981" s="343"/>
      <c r="NCS981" s="342"/>
      <c r="NCT981" s="343"/>
      <c r="NCU981" s="342"/>
      <c r="NCV981" s="343"/>
      <c r="NCW981" s="342"/>
      <c r="NCX981" s="343"/>
      <c r="NCY981" s="342"/>
      <c r="NCZ981" s="343"/>
      <c r="NDA981" s="342"/>
      <c r="NDB981" s="343"/>
      <c r="NDC981" s="342"/>
      <c r="NDD981" s="343"/>
      <c r="NDE981" s="342"/>
      <c r="NDF981" s="343"/>
      <c r="NDG981" s="342"/>
      <c r="NDH981" s="343"/>
      <c r="NDI981" s="342"/>
      <c r="NDJ981" s="343"/>
      <c r="NDK981" s="342"/>
      <c r="NDL981" s="343"/>
      <c r="NDM981" s="342"/>
      <c r="NDN981" s="343"/>
      <c r="NDO981" s="342"/>
      <c r="NDP981" s="343"/>
      <c r="NDQ981" s="342"/>
      <c r="NDR981" s="343"/>
      <c r="NDS981" s="342"/>
      <c r="NDT981" s="343"/>
      <c r="NDU981" s="342"/>
      <c r="NDV981" s="343"/>
      <c r="NDW981" s="342"/>
      <c r="NDX981" s="343"/>
      <c r="NDY981" s="342"/>
      <c r="NDZ981" s="343"/>
      <c r="NEA981" s="342"/>
      <c r="NEB981" s="343"/>
      <c r="NEC981" s="342"/>
      <c r="NED981" s="343"/>
      <c r="NEE981" s="342"/>
      <c r="NEF981" s="343"/>
      <c r="NEG981" s="342"/>
      <c r="NEH981" s="343"/>
      <c r="NEI981" s="342"/>
      <c r="NEJ981" s="343"/>
      <c r="NEK981" s="342"/>
      <c r="NEL981" s="343"/>
      <c r="NEM981" s="342"/>
      <c r="NEN981" s="343"/>
      <c r="NEO981" s="342"/>
      <c r="NEP981" s="343"/>
      <c r="NEQ981" s="342"/>
      <c r="NER981" s="343"/>
      <c r="NES981" s="342"/>
      <c r="NET981" s="343"/>
      <c r="NEU981" s="342"/>
      <c r="NEV981" s="343"/>
      <c r="NEW981" s="342"/>
      <c r="NEX981" s="343"/>
      <c r="NEY981" s="342"/>
      <c r="NEZ981" s="343"/>
      <c r="NFA981" s="342"/>
      <c r="NFB981" s="343"/>
      <c r="NFC981" s="342"/>
      <c r="NFD981" s="343"/>
      <c r="NFE981" s="342"/>
      <c r="NFF981" s="343"/>
      <c r="NFG981" s="342"/>
      <c r="NFH981" s="343"/>
      <c r="NFI981" s="342"/>
      <c r="NFJ981" s="343"/>
      <c r="NFK981" s="342"/>
      <c r="NFL981" s="343"/>
      <c r="NFM981" s="342"/>
      <c r="NFN981" s="343"/>
      <c r="NFO981" s="342"/>
      <c r="NFP981" s="343"/>
      <c r="NFQ981" s="342"/>
      <c r="NFR981" s="343"/>
      <c r="NFS981" s="342"/>
      <c r="NFT981" s="343"/>
      <c r="NFU981" s="342"/>
      <c r="NFV981" s="343"/>
      <c r="NFW981" s="342"/>
      <c r="NFX981" s="343"/>
      <c r="NFY981" s="342"/>
      <c r="NFZ981" s="343"/>
      <c r="NGA981" s="342"/>
      <c r="NGB981" s="343"/>
      <c r="NGC981" s="342"/>
      <c r="NGD981" s="343"/>
      <c r="NGE981" s="342"/>
      <c r="NGF981" s="343"/>
      <c r="NGG981" s="342"/>
      <c r="NGH981" s="343"/>
      <c r="NGI981" s="342"/>
      <c r="NGJ981" s="343"/>
      <c r="NGK981" s="342"/>
      <c r="NGL981" s="343"/>
      <c r="NGM981" s="342"/>
      <c r="NGN981" s="343"/>
      <c r="NGO981" s="342"/>
      <c r="NGP981" s="343"/>
      <c r="NGQ981" s="342"/>
      <c r="NGR981" s="343"/>
      <c r="NGS981" s="342"/>
      <c r="NGT981" s="343"/>
      <c r="NGU981" s="342"/>
      <c r="NGV981" s="343"/>
      <c r="NGW981" s="342"/>
      <c r="NGX981" s="343"/>
      <c r="NGY981" s="342"/>
      <c r="NGZ981" s="343"/>
      <c r="NHA981" s="342"/>
      <c r="NHB981" s="343"/>
      <c r="NHC981" s="342"/>
      <c r="NHD981" s="343"/>
      <c r="NHE981" s="342"/>
      <c r="NHF981" s="343"/>
      <c r="NHG981" s="342"/>
      <c r="NHH981" s="343"/>
      <c r="NHI981" s="342"/>
      <c r="NHJ981" s="343"/>
      <c r="NHK981" s="342"/>
      <c r="NHL981" s="343"/>
      <c r="NHM981" s="342"/>
      <c r="NHN981" s="343"/>
      <c r="NHO981" s="342"/>
      <c r="NHP981" s="343"/>
      <c r="NHQ981" s="342"/>
      <c r="NHR981" s="343"/>
      <c r="NHS981" s="342"/>
      <c r="NHT981" s="343"/>
      <c r="NHU981" s="342"/>
      <c r="NHV981" s="343"/>
      <c r="NHW981" s="342"/>
      <c r="NHX981" s="343"/>
      <c r="NHY981" s="342"/>
      <c r="NHZ981" s="343"/>
      <c r="NIA981" s="342"/>
      <c r="NIB981" s="343"/>
      <c r="NIC981" s="342"/>
      <c r="NID981" s="343"/>
      <c r="NIE981" s="342"/>
      <c r="NIF981" s="343"/>
      <c r="NIG981" s="342"/>
      <c r="NIH981" s="343"/>
      <c r="NII981" s="342"/>
      <c r="NIJ981" s="343"/>
      <c r="NIK981" s="342"/>
      <c r="NIL981" s="343"/>
      <c r="NIM981" s="342"/>
      <c r="NIN981" s="343"/>
      <c r="NIO981" s="342"/>
      <c r="NIP981" s="343"/>
      <c r="NIQ981" s="342"/>
      <c r="NIR981" s="343"/>
      <c r="NIS981" s="342"/>
      <c r="NIT981" s="343"/>
      <c r="NIU981" s="342"/>
      <c r="NIV981" s="343"/>
      <c r="NIW981" s="342"/>
      <c r="NIX981" s="343"/>
      <c r="NIY981" s="342"/>
      <c r="NIZ981" s="343"/>
      <c r="NJA981" s="342"/>
      <c r="NJB981" s="343"/>
      <c r="NJC981" s="342"/>
      <c r="NJD981" s="343"/>
      <c r="NJE981" s="342"/>
      <c r="NJF981" s="343"/>
      <c r="NJG981" s="342"/>
      <c r="NJH981" s="343"/>
      <c r="NJI981" s="342"/>
      <c r="NJJ981" s="343"/>
      <c r="NJK981" s="342"/>
      <c r="NJL981" s="343"/>
      <c r="NJM981" s="342"/>
      <c r="NJN981" s="343"/>
      <c r="NJO981" s="342"/>
      <c r="NJP981" s="343"/>
      <c r="NJQ981" s="342"/>
      <c r="NJR981" s="343"/>
      <c r="NJS981" s="342"/>
      <c r="NJT981" s="343"/>
      <c r="NJU981" s="342"/>
      <c r="NJV981" s="343"/>
      <c r="NJW981" s="342"/>
      <c r="NJX981" s="343"/>
      <c r="NJY981" s="342"/>
      <c r="NJZ981" s="343"/>
      <c r="NKA981" s="342"/>
      <c r="NKB981" s="343"/>
      <c r="NKC981" s="342"/>
      <c r="NKD981" s="343"/>
      <c r="NKE981" s="342"/>
      <c r="NKF981" s="343"/>
      <c r="NKG981" s="342"/>
      <c r="NKH981" s="343"/>
      <c r="NKI981" s="342"/>
      <c r="NKJ981" s="343"/>
      <c r="NKK981" s="342"/>
      <c r="NKL981" s="343"/>
      <c r="NKM981" s="342"/>
      <c r="NKN981" s="343"/>
      <c r="NKO981" s="342"/>
      <c r="NKP981" s="343"/>
      <c r="NKQ981" s="342"/>
      <c r="NKR981" s="343"/>
      <c r="NKS981" s="342"/>
      <c r="NKT981" s="343"/>
      <c r="NKU981" s="342"/>
      <c r="NKV981" s="343"/>
      <c r="NKW981" s="342"/>
      <c r="NKX981" s="343"/>
      <c r="NKY981" s="342"/>
      <c r="NKZ981" s="343"/>
      <c r="NLA981" s="342"/>
      <c r="NLB981" s="343"/>
      <c r="NLC981" s="342"/>
      <c r="NLD981" s="343"/>
      <c r="NLE981" s="342"/>
      <c r="NLF981" s="343"/>
      <c r="NLG981" s="342"/>
      <c r="NLH981" s="343"/>
      <c r="NLI981" s="342"/>
      <c r="NLJ981" s="343"/>
      <c r="NLK981" s="342"/>
      <c r="NLL981" s="343"/>
      <c r="NLM981" s="342"/>
      <c r="NLN981" s="343"/>
      <c r="NLO981" s="342"/>
      <c r="NLP981" s="343"/>
      <c r="NLQ981" s="342"/>
      <c r="NLR981" s="343"/>
      <c r="NLS981" s="342"/>
      <c r="NLT981" s="343"/>
      <c r="NLU981" s="342"/>
      <c r="NLV981" s="343"/>
      <c r="NLW981" s="342"/>
      <c r="NLX981" s="343"/>
      <c r="NLY981" s="342"/>
      <c r="NLZ981" s="343"/>
      <c r="NMA981" s="342"/>
      <c r="NMB981" s="343"/>
      <c r="NMC981" s="342"/>
      <c r="NMD981" s="343"/>
      <c r="NME981" s="342"/>
      <c r="NMF981" s="343"/>
      <c r="NMG981" s="342"/>
      <c r="NMH981" s="343"/>
      <c r="NMI981" s="342"/>
      <c r="NMJ981" s="343"/>
      <c r="NMK981" s="342"/>
      <c r="NML981" s="343"/>
      <c r="NMM981" s="342"/>
      <c r="NMN981" s="343"/>
      <c r="NMO981" s="342"/>
      <c r="NMP981" s="343"/>
      <c r="NMQ981" s="342"/>
      <c r="NMR981" s="343"/>
      <c r="NMS981" s="342"/>
      <c r="NMT981" s="343"/>
      <c r="NMU981" s="342"/>
      <c r="NMV981" s="343"/>
      <c r="NMW981" s="342"/>
      <c r="NMX981" s="343"/>
      <c r="NMY981" s="342"/>
      <c r="NMZ981" s="343"/>
      <c r="NNA981" s="342"/>
      <c r="NNB981" s="343"/>
      <c r="NNC981" s="342"/>
      <c r="NND981" s="343"/>
      <c r="NNE981" s="342"/>
      <c r="NNF981" s="343"/>
      <c r="NNG981" s="342"/>
      <c r="NNH981" s="343"/>
      <c r="NNI981" s="342"/>
      <c r="NNJ981" s="343"/>
      <c r="NNK981" s="342"/>
      <c r="NNL981" s="343"/>
      <c r="NNM981" s="342"/>
      <c r="NNN981" s="343"/>
      <c r="NNO981" s="342"/>
      <c r="NNP981" s="343"/>
      <c r="NNQ981" s="342"/>
      <c r="NNR981" s="343"/>
      <c r="NNS981" s="342"/>
      <c r="NNT981" s="343"/>
      <c r="NNU981" s="342"/>
      <c r="NNV981" s="343"/>
      <c r="NNW981" s="342"/>
      <c r="NNX981" s="343"/>
      <c r="NNY981" s="342"/>
      <c r="NNZ981" s="343"/>
      <c r="NOA981" s="342"/>
      <c r="NOB981" s="343"/>
      <c r="NOC981" s="342"/>
      <c r="NOD981" s="343"/>
      <c r="NOE981" s="342"/>
      <c r="NOF981" s="343"/>
      <c r="NOG981" s="342"/>
      <c r="NOH981" s="343"/>
      <c r="NOI981" s="342"/>
      <c r="NOJ981" s="343"/>
      <c r="NOK981" s="342"/>
      <c r="NOL981" s="343"/>
      <c r="NOM981" s="342"/>
      <c r="NON981" s="343"/>
      <c r="NOO981" s="342"/>
      <c r="NOP981" s="343"/>
      <c r="NOQ981" s="342"/>
      <c r="NOR981" s="343"/>
      <c r="NOS981" s="342"/>
      <c r="NOT981" s="343"/>
      <c r="NOU981" s="342"/>
      <c r="NOV981" s="343"/>
      <c r="NOW981" s="342"/>
      <c r="NOX981" s="343"/>
      <c r="NOY981" s="342"/>
      <c r="NOZ981" s="343"/>
      <c r="NPA981" s="342"/>
      <c r="NPB981" s="343"/>
      <c r="NPC981" s="342"/>
      <c r="NPD981" s="343"/>
      <c r="NPE981" s="342"/>
      <c r="NPF981" s="343"/>
      <c r="NPG981" s="342"/>
      <c r="NPH981" s="343"/>
      <c r="NPI981" s="342"/>
      <c r="NPJ981" s="343"/>
      <c r="NPK981" s="342"/>
      <c r="NPL981" s="343"/>
      <c r="NPM981" s="342"/>
      <c r="NPN981" s="343"/>
      <c r="NPO981" s="342"/>
      <c r="NPP981" s="343"/>
      <c r="NPQ981" s="342"/>
      <c r="NPR981" s="343"/>
      <c r="NPS981" s="342"/>
      <c r="NPT981" s="343"/>
      <c r="NPU981" s="342"/>
      <c r="NPV981" s="343"/>
      <c r="NPW981" s="342"/>
      <c r="NPX981" s="343"/>
      <c r="NPY981" s="342"/>
      <c r="NPZ981" s="343"/>
      <c r="NQA981" s="342"/>
      <c r="NQB981" s="343"/>
      <c r="NQC981" s="342"/>
      <c r="NQD981" s="343"/>
      <c r="NQE981" s="342"/>
      <c r="NQF981" s="343"/>
      <c r="NQG981" s="342"/>
      <c r="NQH981" s="343"/>
      <c r="NQI981" s="342"/>
      <c r="NQJ981" s="343"/>
      <c r="NQK981" s="342"/>
      <c r="NQL981" s="343"/>
      <c r="NQM981" s="342"/>
      <c r="NQN981" s="343"/>
      <c r="NQO981" s="342"/>
      <c r="NQP981" s="343"/>
      <c r="NQQ981" s="342"/>
      <c r="NQR981" s="343"/>
      <c r="NQS981" s="342"/>
      <c r="NQT981" s="343"/>
      <c r="NQU981" s="342"/>
      <c r="NQV981" s="343"/>
      <c r="NQW981" s="342"/>
      <c r="NQX981" s="343"/>
      <c r="NQY981" s="342"/>
      <c r="NQZ981" s="343"/>
      <c r="NRA981" s="342"/>
      <c r="NRB981" s="343"/>
      <c r="NRC981" s="342"/>
      <c r="NRD981" s="343"/>
      <c r="NRE981" s="342"/>
      <c r="NRF981" s="343"/>
      <c r="NRG981" s="342"/>
      <c r="NRH981" s="343"/>
      <c r="NRI981" s="342"/>
      <c r="NRJ981" s="343"/>
      <c r="NRK981" s="342"/>
      <c r="NRL981" s="343"/>
      <c r="NRM981" s="342"/>
      <c r="NRN981" s="343"/>
      <c r="NRO981" s="342"/>
      <c r="NRP981" s="343"/>
      <c r="NRQ981" s="342"/>
      <c r="NRR981" s="343"/>
      <c r="NRS981" s="342"/>
      <c r="NRT981" s="343"/>
      <c r="NRU981" s="342"/>
      <c r="NRV981" s="343"/>
      <c r="NRW981" s="342"/>
      <c r="NRX981" s="343"/>
      <c r="NRY981" s="342"/>
      <c r="NRZ981" s="343"/>
      <c r="NSA981" s="342"/>
      <c r="NSB981" s="343"/>
      <c r="NSC981" s="342"/>
      <c r="NSD981" s="343"/>
      <c r="NSE981" s="342"/>
      <c r="NSF981" s="343"/>
      <c r="NSG981" s="342"/>
      <c r="NSH981" s="343"/>
      <c r="NSI981" s="342"/>
      <c r="NSJ981" s="343"/>
      <c r="NSK981" s="342"/>
      <c r="NSL981" s="343"/>
      <c r="NSM981" s="342"/>
      <c r="NSN981" s="343"/>
      <c r="NSO981" s="342"/>
      <c r="NSP981" s="343"/>
      <c r="NSQ981" s="342"/>
      <c r="NSR981" s="343"/>
      <c r="NSS981" s="342"/>
      <c r="NST981" s="343"/>
      <c r="NSU981" s="342"/>
      <c r="NSV981" s="343"/>
      <c r="NSW981" s="342"/>
      <c r="NSX981" s="343"/>
      <c r="NSY981" s="342"/>
      <c r="NSZ981" s="343"/>
      <c r="NTA981" s="342"/>
      <c r="NTB981" s="343"/>
      <c r="NTC981" s="342"/>
      <c r="NTD981" s="343"/>
      <c r="NTE981" s="342"/>
      <c r="NTF981" s="343"/>
      <c r="NTG981" s="342"/>
      <c r="NTH981" s="343"/>
      <c r="NTI981" s="342"/>
      <c r="NTJ981" s="343"/>
      <c r="NTK981" s="342"/>
      <c r="NTL981" s="343"/>
      <c r="NTM981" s="342"/>
      <c r="NTN981" s="343"/>
      <c r="NTO981" s="342"/>
      <c r="NTP981" s="343"/>
      <c r="NTQ981" s="342"/>
      <c r="NTR981" s="343"/>
      <c r="NTS981" s="342"/>
      <c r="NTT981" s="343"/>
      <c r="NTU981" s="342"/>
      <c r="NTV981" s="343"/>
      <c r="NTW981" s="342"/>
      <c r="NTX981" s="343"/>
      <c r="NTY981" s="342"/>
      <c r="NTZ981" s="343"/>
      <c r="NUA981" s="342"/>
      <c r="NUB981" s="343"/>
      <c r="NUC981" s="342"/>
      <c r="NUD981" s="343"/>
      <c r="NUE981" s="342"/>
      <c r="NUF981" s="343"/>
      <c r="NUG981" s="342"/>
      <c r="NUH981" s="343"/>
      <c r="NUI981" s="342"/>
      <c r="NUJ981" s="343"/>
      <c r="NUK981" s="342"/>
      <c r="NUL981" s="343"/>
      <c r="NUM981" s="342"/>
      <c r="NUN981" s="343"/>
      <c r="NUO981" s="342"/>
      <c r="NUP981" s="343"/>
      <c r="NUQ981" s="342"/>
      <c r="NUR981" s="343"/>
      <c r="NUS981" s="342"/>
      <c r="NUT981" s="343"/>
      <c r="NUU981" s="342"/>
      <c r="NUV981" s="343"/>
      <c r="NUW981" s="342"/>
      <c r="NUX981" s="343"/>
      <c r="NUY981" s="342"/>
      <c r="NUZ981" s="343"/>
      <c r="NVA981" s="342"/>
      <c r="NVB981" s="343"/>
      <c r="NVC981" s="342"/>
      <c r="NVD981" s="343"/>
      <c r="NVE981" s="342"/>
      <c r="NVF981" s="343"/>
      <c r="NVG981" s="342"/>
      <c r="NVH981" s="343"/>
      <c r="NVI981" s="342"/>
      <c r="NVJ981" s="343"/>
      <c r="NVK981" s="342"/>
      <c r="NVL981" s="343"/>
      <c r="NVM981" s="342"/>
      <c r="NVN981" s="343"/>
      <c r="NVO981" s="342"/>
      <c r="NVP981" s="343"/>
      <c r="NVQ981" s="342"/>
      <c r="NVR981" s="343"/>
      <c r="NVS981" s="342"/>
      <c r="NVT981" s="343"/>
      <c r="NVU981" s="342"/>
      <c r="NVV981" s="343"/>
      <c r="NVW981" s="342"/>
      <c r="NVX981" s="343"/>
      <c r="NVY981" s="342"/>
      <c r="NVZ981" s="343"/>
      <c r="NWA981" s="342"/>
      <c r="NWB981" s="343"/>
      <c r="NWC981" s="342"/>
      <c r="NWD981" s="343"/>
      <c r="NWE981" s="342"/>
      <c r="NWF981" s="343"/>
      <c r="NWG981" s="342"/>
      <c r="NWH981" s="343"/>
      <c r="NWI981" s="342"/>
      <c r="NWJ981" s="343"/>
      <c r="NWK981" s="342"/>
      <c r="NWL981" s="343"/>
      <c r="NWM981" s="342"/>
      <c r="NWN981" s="343"/>
      <c r="NWO981" s="342"/>
      <c r="NWP981" s="343"/>
      <c r="NWQ981" s="342"/>
      <c r="NWR981" s="343"/>
      <c r="NWS981" s="342"/>
      <c r="NWT981" s="343"/>
      <c r="NWU981" s="342"/>
      <c r="NWV981" s="343"/>
      <c r="NWW981" s="342"/>
      <c r="NWX981" s="343"/>
      <c r="NWY981" s="342"/>
      <c r="NWZ981" s="343"/>
      <c r="NXA981" s="342"/>
      <c r="NXB981" s="343"/>
      <c r="NXC981" s="342"/>
      <c r="NXD981" s="343"/>
      <c r="NXE981" s="342"/>
      <c r="NXF981" s="343"/>
      <c r="NXG981" s="342"/>
      <c r="NXH981" s="343"/>
      <c r="NXI981" s="342"/>
      <c r="NXJ981" s="343"/>
      <c r="NXK981" s="342"/>
      <c r="NXL981" s="343"/>
      <c r="NXM981" s="342"/>
      <c r="NXN981" s="343"/>
      <c r="NXO981" s="342"/>
      <c r="NXP981" s="343"/>
      <c r="NXQ981" s="342"/>
      <c r="NXR981" s="343"/>
      <c r="NXS981" s="342"/>
      <c r="NXT981" s="343"/>
      <c r="NXU981" s="342"/>
      <c r="NXV981" s="343"/>
      <c r="NXW981" s="342"/>
      <c r="NXX981" s="343"/>
      <c r="NXY981" s="342"/>
      <c r="NXZ981" s="343"/>
      <c r="NYA981" s="342"/>
      <c r="NYB981" s="343"/>
      <c r="NYC981" s="342"/>
      <c r="NYD981" s="343"/>
      <c r="NYE981" s="342"/>
      <c r="NYF981" s="343"/>
      <c r="NYG981" s="342"/>
      <c r="NYH981" s="343"/>
      <c r="NYI981" s="342"/>
      <c r="NYJ981" s="343"/>
      <c r="NYK981" s="342"/>
      <c r="NYL981" s="343"/>
      <c r="NYM981" s="342"/>
      <c r="NYN981" s="343"/>
      <c r="NYO981" s="342"/>
      <c r="NYP981" s="343"/>
      <c r="NYQ981" s="342"/>
      <c r="NYR981" s="343"/>
      <c r="NYS981" s="342"/>
      <c r="NYT981" s="343"/>
      <c r="NYU981" s="342"/>
      <c r="NYV981" s="343"/>
      <c r="NYW981" s="342"/>
      <c r="NYX981" s="343"/>
      <c r="NYY981" s="342"/>
      <c r="NYZ981" s="343"/>
      <c r="NZA981" s="342"/>
      <c r="NZB981" s="343"/>
      <c r="NZC981" s="342"/>
      <c r="NZD981" s="343"/>
      <c r="NZE981" s="342"/>
      <c r="NZF981" s="343"/>
      <c r="NZG981" s="342"/>
      <c r="NZH981" s="343"/>
      <c r="NZI981" s="342"/>
      <c r="NZJ981" s="343"/>
      <c r="NZK981" s="342"/>
      <c r="NZL981" s="343"/>
      <c r="NZM981" s="342"/>
      <c r="NZN981" s="343"/>
      <c r="NZO981" s="342"/>
      <c r="NZP981" s="343"/>
      <c r="NZQ981" s="342"/>
      <c r="NZR981" s="343"/>
      <c r="NZS981" s="342"/>
      <c r="NZT981" s="343"/>
      <c r="NZU981" s="342"/>
      <c r="NZV981" s="343"/>
      <c r="NZW981" s="342"/>
      <c r="NZX981" s="343"/>
      <c r="NZY981" s="342"/>
      <c r="NZZ981" s="343"/>
      <c r="OAA981" s="342"/>
      <c r="OAB981" s="343"/>
      <c r="OAC981" s="342"/>
      <c r="OAD981" s="343"/>
      <c r="OAE981" s="342"/>
      <c r="OAF981" s="343"/>
      <c r="OAG981" s="342"/>
      <c r="OAH981" s="343"/>
      <c r="OAI981" s="342"/>
      <c r="OAJ981" s="343"/>
      <c r="OAK981" s="342"/>
      <c r="OAL981" s="343"/>
      <c r="OAM981" s="342"/>
      <c r="OAN981" s="343"/>
      <c r="OAO981" s="342"/>
      <c r="OAP981" s="343"/>
      <c r="OAQ981" s="342"/>
      <c r="OAR981" s="343"/>
      <c r="OAS981" s="342"/>
      <c r="OAT981" s="343"/>
      <c r="OAU981" s="342"/>
      <c r="OAV981" s="343"/>
      <c r="OAW981" s="342"/>
      <c r="OAX981" s="343"/>
      <c r="OAY981" s="342"/>
      <c r="OAZ981" s="343"/>
      <c r="OBA981" s="342"/>
      <c r="OBB981" s="343"/>
      <c r="OBC981" s="342"/>
      <c r="OBD981" s="343"/>
      <c r="OBE981" s="342"/>
      <c r="OBF981" s="343"/>
      <c r="OBG981" s="342"/>
      <c r="OBH981" s="343"/>
      <c r="OBI981" s="342"/>
      <c r="OBJ981" s="343"/>
      <c r="OBK981" s="342"/>
      <c r="OBL981" s="343"/>
      <c r="OBM981" s="342"/>
      <c r="OBN981" s="343"/>
      <c r="OBO981" s="342"/>
      <c r="OBP981" s="343"/>
      <c r="OBQ981" s="342"/>
      <c r="OBR981" s="343"/>
      <c r="OBS981" s="342"/>
      <c r="OBT981" s="343"/>
      <c r="OBU981" s="342"/>
      <c r="OBV981" s="343"/>
      <c r="OBW981" s="342"/>
      <c r="OBX981" s="343"/>
      <c r="OBY981" s="342"/>
      <c r="OBZ981" s="343"/>
      <c r="OCA981" s="342"/>
      <c r="OCB981" s="343"/>
      <c r="OCC981" s="342"/>
      <c r="OCD981" s="343"/>
      <c r="OCE981" s="342"/>
      <c r="OCF981" s="343"/>
      <c r="OCG981" s="342"/>
      <c r="OCH981" s="343"/>
      <c r="OCI981" s="342"/>
      <c r="OCJ981" s="343"/>
      <c r="OCK981" s="342"/>
      <c r="OCL981" s="343"/>
      <c r="OCM981" s="342"/>
      <c r="OCN981" s="343"/>
      <c r="OCO981" s="342"/>
      <c r="OCP981" s="343"/>
      <c r="OCQ981" s="342"/>
      <c r="OCR981" s="343"/>
      <c r="OCS981" s="342"/>
      <c r="OCT981" s="343"/>
      <c r="OCU981" s="342"/>
      <c r="OCV981" s="343"/>
      <c r="OCW981" s="342"/>
      <c r="OCX981" s="343"/>
      <c r="OCY981" s="342"/>
      <c r="OCZ981" s="343"/>
      <c r="ODA981" s="342"/>
      <c r="ODB981" s="343"/>
      <c r="ODC981" s="342"/>
      <c r="ODD981" s="343"/>
      <c r="ODE981" s="342"/>
      <c r="ODF981" s="343"/>
      <c r="ODG981" s="342"/>
      <c r="ODH981" s="343"/>
      <c r="ODI981" s="342"/>
      <c r="ODJ981" s="343"/>
      <c r="ODK981" s="342"/>
      <c r="ODL981" s="343"/>
      <c r="ODM981" s="342"/>
      <c r="ODN981" s="343"/>
      <c r="ODO981" s="342"/>
      <c r="ODP981" s="343"/>
      <c r="ODQ981" s="342"/>
      <c r="ODR981" s="343"/>
      <c r="ODS981" s="342"/>
      <c r="ODT981" s="343"/>
      <c r="ODU981" s="342"/>
      <c r="ODV981" s="343"/>
      <c r="ODW981" s="342"/>
      <c r="ODX981" s="343"/>
      <c r="ODY981" s="342"/>
      <c r="ODZ981" s="343"/>
      <c r="OEA981" s="342"/>
      <c r="OEB981" s="343"/>
      <c r="OEC981" s="342"/>
      <c r="OED981" s="343"/>
      <c r="OEE981" s="342"/>
      <c r="OEF981" s="343"/>
      <c r="OEG981" s="342"/>
      <c r="OEH981" s="343"/>
      <c r="OEI981" s="342"/>
      <c r="OEJ981" s="343"/>
      <c r="OEK981" s="342"/>
      <c r="OEL981" s="343"/>
      <c r="OEM981" s="342"/>
      <c r="OEN981" s="343"/>
      <c r="OEO981" s="342"/>
      <c r="OEP981" s="343"/>
      <c r="OEQ981" s="342"/>
      <c r="OER981" s="343"/>
      <c r="OES981" s="342"/>
      <c r="OET981" s="343"/>
      <c r="OEU981" s="342"/>
      <c r="OEV981" s="343"/>
      <c r="OEW981" s="342"/>
      <c r="OEX981" s="343"/>
      <c r="OEY981" s="342"/>
      <c r="OEZ981" s="343"/>
      <c r="OFA981" s="342"/>
      <c r="OFB981" s="343"/>
      <c r="OFC981" s="342"/>
      <c r="OFD981" s="343"/>
      <c r="OFE981" s="342"/>
      <c r="OFF981" s="343"/>
      <c r="OFG981" s="342"/>
      <c r="OFH981" s="343"/>
      <c r="OFI981" s="342"/>
      <c r="OFJ981" s="343"/>
      <c r="OFK981" s="342"/>
      <c r="OFL981" s="343"/>
      <c r="OFM981" s="342"/>
      <c r="OFN981" s="343"/>
      <c r="OFO981" s="342"/>
      <c r="OFP981" s="343"/>
      <c r="OFQ981" s="342"/>
      <c r="OFR981" s="343"/>
      <c r="OFS981" s="342"/>
      <c r="OFT981" s="343"/>
      <c r="OFU981" s="342"/>
      <c r="OFV981" s="343"/>
      <c r="OFW981" s="342"/>
      <c r="OFX981" s="343"/>
      <c r="OFY981" s="342"/>
      <c r="OFZ981" s="343"/>
      <c r="OGA981" s="342"/>
      <c r="OGB981" s="343"/>
      <c r="OGC981" s="342"/>
      <c r="OGD981" s="343"/>
      <c r="OGE981" s="342"/>
      <c r="OGF981" s="343"/>
      <c r="OGG981" s="342"/>
      <c r="OGH981" s="343"/>
      <c r="OGI981" s="342"/>
      <c r="OGJ981" s="343"/>
      <c r="OGK981" s="342"/>
      <c r="OGL981" s="343"/>
      <c r="OGM981" s="342"/>
      <c r="OGN981" s="343"/>
      <c r="OGO981" s="342"/>
      <c r="OGP981" s="343"/>
      <c r="OGQ981" s="342"/>
      <c r="OGR981" s="343"/>
      <c r="OGS981" s="342"/>
      <c r="OGT981" s="343"/>
      <c r="OGU981" s="342"/>
      <c r="OGV981" s="343"/>
      <c r="OGW981" s="342"/>
      <c r="OGX981" s="343"/>
      <c r="OGY981" s="342"/>
      <c r="OGZ981" s="343"/>
      <c r="OHA981" s="342"/>
      <c r="OHB981" s="343"/>
      <c r="OHC981" s="342"/>
      <c r="OHD981" s="343"/>
      <c r="OHE981" s="342"/>
      <c r="OHF981" s="343"/>
      <c r="OHG981" s="342"/>
      <c r="OHH981" s="343"/>
      <c r="OHI981" s="342"/>
      <c r="OHJ981" s="343"/>
      <c r="OHK981" s="342"/>
      <c r="OHL981" s="343"/>
      <c r="OHM981" s="342"/>
      <c r="OHN981" s="343"/>
      <c r="OHO981" s="342"/>
      <c r="OHP981" s="343"/>
      <c r="OHQ981" s="342"/>
      <c r="OHR981" s="343"/>
      <c r="OHS981" s="342"/>
      <c r="OHT981" s="343"/>
      <c r="OHU981" s="342"/>
      <c r="OHV981" s="343"/>
      <c r="OHW981" s="342"/>
      <c r="OHX981" s="343"/>
      <c r="OHY981" s="342"/>
      <c r="OHZ981" s="343"/>
      <c r="OIA981" s="342"/>
      <c r="OIB981" s="343"/>
      <c r="OIC981" s="342"/>
      <c r="OID981" s="343"/>
      <c r="OIE981" s="342"/>
      <c r="OIF981" s="343"/>
      <c r="OIG981" s="342"/>
      <c r="OIH981" s="343"/>
      <c r="OII981" s="342"/>
      <c r="OIJ981" s="343"/>
      <c r="OIK981" s="342"/>
      <c r="OIL981" s="343"/>
      <c r="OIM981" s="342"/>
      <c r="OIN981" s="343"/>
      <c r="OIO981" s="342"/>
      <c r="OIP981" s="343"/>
      <c r="OIQ981" s="342"/>
      <c r="OIR981" s="343"/>
      <c r="OIS981" s="342"/>
      <c r="OIT981" s="343"/>
      <c r="OIU981" s="342"/>
      <c r="OIV981" s="343"/>
      <c r="OIW981" s="342"/>
      <c r="OIX981" s="343"/>
      <c r="OIY981" s="342"/>
      <c r="OIZ981" s="343"/>
      <c r="OJA981" s="342"/>
      <c r="OJB981" s="343"/>
      <c r="OJC981" s="342"/>
      <c r="OJD981" s="343"/>
      <c r="OJE981" s="342"/>
      <c r="OJF981" s="343"/>
      <c r="OJG981" s="342"/>
      <c r="OJH981" s="343"/>
      <c r="OJI981" s="342"/>
      <c r="OJJ981" s="343"/>
      <c r="OJK981" s="342"/>
      <c r="OJL981" s="343"/>
      <c r="OJM981" s="342"/>
      <c r="OJN981" s="343"/>
      <c r="OJO981" s="342"/>
      <c r="OJP981" s="343"/>
      <c r="OJQ981" s="342"/>
      <c r="OJR981" s="343"/>
      <c r="OJS981" s="342"/>
      <c r="OJT981" s="343"/>
      <c r="OJU981" s="342"/>
      <c r="OJV981" s="343"/>
      <c r="OJW981" s="342"/>
      <c r="OJX981" s="343"/>
      <c r="OJY981" s="342"/>
      <c r="OJZ981" s="343"/>
      <c r="OKA981" s="342"/>
      <c r="OKB981" s="343"/>
      <c r="OKC981" s="342"/>
      <c r="OKD981" s="343"/>
      <c r="OKE981" s="342"/>
      <c r="OKF981" s="343"/>
      <c r="OKG981" s="342"/>
      <c r="OKH981" s="343"/>
      <c r="OKI981" s="342"/>
      <c r="OKJ981" s="343"/>
      <c r="OKK981" s="342"/>
      <c r="OKL981" s="343"/>
      <c r="OKM981" s="342"/>
      <c r="OKN981" s="343"/>
      <c r="OKO981" s="342"/>
      <c r="OKP981" s="343"/>
      <c r="OKQ981" s="342"/>
      <c r="OKR981" s="343"/>
      <c r="OKS981" s="342"/>
      <c r="OKT981" s="343"/>
      <c r="OKU981" s="342"/>
      <c r="OKV981" s="343"/>
      <c r="OKW981" s="342"/>
      <c r="OKX981" s="343"/>
      <c r="OKY981" s="342"/>
      <c r="OKZ981" s="343"/>
      <c r="OLA981" s="342"/>
      <c r="OLB981" s="343"/>
      <c r="OLC981" s="342"/>
      <c r="OLD981" s="343"/>
      <c r="OLE981" s="342"/>
      <c r="OLF981" s="343"/>
      <c r="OLG981" s="342"/>
      <c r="OLH981" s="343"/>
      <c r="OLI981" s="342"/>
      <c r="OLJ981" s="343"/>
      <c r="OLK981" s="342"/>
      <c r="OLL981" s="343"/>
      <c r="OLM981" s="342"/>
      <c r="OLN981" s="343"/>
      <c r="OLO981" s="342"/>
      <c r="OLP981" s="343"/>
      <c r="OLQ981" s="342"/>
      <c r="OLR981" s="343"/>
      <c r="OLS981" s="342"/>
      <c r="OLT981" s="343"/>
      <c r="OLU981" s="342"/>
      <c r="OLV981" s="343"/>
      <c r="OLW981" s="342"/>
      <c r="OLX981" s="343"/>
      <c r="OLY981" s="342"/>
      <c r="OLZ981" s="343"/>
      <c r="OMA981" s="342"/>
      <c r="OMB981" s="343"/>
      <c r="OMC981" s="342"/>
      <c r="OMD981" s="343"/>
      <c r="OME981" s="342"/>
      <c r="OMF981" s="343"/>
      <c r="OMG981" s="342"/>
      <c r="OMH981" s="343"/>
      <c r="OMI981" s="342"/>
      <c r="OMJ981" s="343"/>
      <c r="OMK981" s="342"/>
      <c r="OML981" s="343"/>
      <c r="OMM981" s="342"/>
      <c r="OMN981" s="343"/>
      <c r="OMO981" s="342"/>
      <c r="OMP981" s="343"/>
      <c r="OMQ981" s="342"/>
      <c r="OMR981" s="343"/>
      <c r="OMS981" s="342"/>
      <c r="OMT981" s="343"/>
      <c r="OMU981" s="342"/>
      <c r="OMV981" s="343"/>
      <c r="OMW981" s="342"/>
      <c r="OMX981" s="343"/>
      <c r="OMY981" s="342"/>
      <c r="OMZ981" s="343"/>
      <c r="ONA981" s="342"/>
      <c r="ONB981" s="343"/>
      <c r="ONC981" s="342"/>
      <c r="OND981" s="343"/>
      <c r="ONE981" s="342"/>
      <c r="ONF981" s="343"/>
      <c r="ONG981" s="342"/>
      <c r="ONH981" s="343"/>
      <c r="ONI981" s="342"/>
      <c r="ONJ981" s="343"/>
      <c r="ONK981" s="342"/>
      <c r="ONL981" s="343"/>
      <c r="ONM981" s="342"/>
      <c r="ONN981" s="343"/>
      <c r="ONO981" s="342"/>
      <c r="ONP981" s="343"/>
      <c r="ONQ981" s="342"/>
      <c r="ONR981" s="343"/>
      <c r="ONS981" s="342"/>
      <c r="ONT981" s="343"/>
      <c r="ONU981" s="342"/>
      <c r="ONV981" s="343"/>
      <c r="ONW981" s="342"/>
      <c r="ONX981" s="343"/>
      <c r="ONY981" s="342"/>
      <c r="ONZ981" s="343"/>
      <c r="OOA981" s="342"/>
      <c r="OOB981" s="343"/>
      <c r="OOC981" s="342"/>
      <c r="OOD981" s="343"/>
      <c r="OOE981" s="342"/>
      <c r="OOF981" s="343"/>
      <c r="OOG981" s="342"/>
      <c r="OOH981" s="343"/>
      <c r="OOI981" s="342"/>
      <c r="OOJ981" s="343"/>
      <c r="OOK981" s="342"/>
      <c r="OOL981" s="343"/>
      <c r="OOM981" s="342"/>
      <c r="OON981" s="343"/>
      <c r="OOO981" s="342"/>
      <c r="OOP981" s="343"/>
      <c r="OOQ981" s="342"/>
      <c r="OOR981" s="343"/>
      <c r="OOS981" s="342"/>
      <c r="OOT981" s="343"/>
      <c r="OOU981" s="342"/>
      <c r="OOV981" s="343"/>
      <c r="OOW981" s="342"/>
      <c r="OOX981" s="343"/>
      <c r="OOY981" s="342"/>
      <c r="OOZ981" s="343"/>
      <c r="OPA981" s="342"/>
      <c r="OPB981" s="343"/>
      <c r="OPC981" s="342"/>
      <c r="OPD981" s="343"/>
      <c r="OPE981" s="342"/>
      <c r="OPF981" s="343"/>
      <c r="OPG981" s="342"/>
      <c r="OPH981" s="343"/>
      <c r="OPI981" s="342"/>
      <c r="OPJ981" s="343"/>
      <c r="OPK981" s="342"/>
      <c r="OPL981" s="343"/>
      <c r="OPM981" s="342"/>
      <c r="OPN981" s="343"/>
      <c r="OPO981" s="342"/>
      <c r="OPP981" s="343"/>
      <c r="OPQ981" s="342"/>
      <c r="OPR981" s="343"/>
      <c r="OPS981" s="342"/>
      <c r="OPT981" s="343"/>
      <c r="OPU981" s="342"/>
      <c r="OPV981" s="343"/>
      <c r="OPW981" s="342"/>
      <c r="OPX981" s="343"/>
      <c r="OPY981" s="342"/>
      <c r="OPZ981" s="343"/>
      <c r="OQA981" s="342"/>
      <c r="OQB981" s="343"/>
      <c r="OQC981" s="342"/>
      <c r="OQD981" s="343"/>
      <c r="OQE981" s="342"/>
      <c r="OQF981" s="343"/>
      <c r="OQG981" s="342"/>
      <c r="OQH981" s="343"/>
      <c r="OQI981" s="342"/>
      <c r="OQJ981" s="343"/>
      <c r="OQK981" s="342"/>
      <c r="OQL981" s="343"/>
      <c r="OQM981" s="342"/>
      <c r="OQN981" s="343"/>
      <c r="OQO981" s="342"/>
      <c r="OQP981" s="343"/>
      <c r="OQQ981" s="342"/>
      <c r="OQR981" s="343"/>
      <c r="OQS981" s="342"/>
      <c r="OQT981" s="343"/>
      <c r="OQU981" s="342"/>
      <c r="OQV981" s="343"/>
      <c r="OQW981" s="342"/>
      <c r="OQX981" s="343"/>
      <c r="OQY981" s="342"/>
      <c r="OQZ981" s="343"/>
      <c r="ORA981" s="342"/>
      <c r="ORB981" s="343"/>
      <c r="ORC981" s="342"/>
      <c r="ORD981" s="343"/>
      <c r="ORE981" s="342"/>
      <c r="ORF981" s="343"/>
      <c r="ORG981" s="342"/>
      <c r="ORH981" s="343"/>
      <c r="ORI981" s="342"/>
      <c r="ORJ981" s="343"/>
      <c r="ORK981" s="342"/>
      <c r="ORL981" s="343"/>
      <c r="ORM981" s="342"/>
      <c r="ORN981" s="343"/>
      <c r="ORO981" s="342"/>
      <c r="ORP981" s="343"/>
      <c r="ORQ981" s="342"/>
      <c r="ORR981" s="343"/>
      <c r="ORS981" s="342"/>
      <c r="ORT981" s="343"/>
      <c r="ORU981" s="342"/>
      <c r="ORV981" s="343"/>
      <c r="ORW981" s="342"/>
      <c r="ORX981" s="343"/>
      <c r="ORY981" s="342"/>
      <c r="ORZ981" s="343"/>
      <c r="OSA981" s="342"/>
      <c r="OSB981" s="343"/>
      <c r="OSC981" s="342"/>
      <c r="OSD981" s="343"/>
      <c r="OSE981" s="342"/>
      <c r="OSF981" s="343"/>
      <c r="OSG981" s="342"/>
      <c r="OSH981" s="343"/>
      <c r="OSI981" s="342"/>
      <c r="OSJ981" s="343"/>
      <c r="OSK981" s="342"/>
      <c r="OSL981" s="343"/>
      <c r="OSM981" s="342"/>
      <c r="OSN981" s="343"/>
      <c r="OSO981" s="342"/>
      <c r="OSP981" s="343"/>
      <c r="OSQ981" s="342"/>
      <c r="OSR981" s="343"/>
      <c r="OSS981" s="342"/>
      <c r="OST981" s="343"/>
      <c r="OSU981" s="342"/>
      <c r="OSV981" s="343"/>
      <c r="OSW981" s="342"/>
      <c r="OSX981" s="343"/>
      <c r="OSY981" s="342"/>
      <c r="OSZ981" s="343"/>
      <c r="OTA981" s="342"/>
      <c r="OTB981" s="343"/>
      <c r="OTC981" s="342"/>
      <c r="OTD981" s="343"/>
      <c r="OTE981" s="342"/>
      <c r="OTF981" s="343"/>
      <c r="OTG981" s="342"/>
      <c r="OTH981" s="343"/>
      <c r="OTI981" s="342"/>
      <c r="OTJ981" s="343"/>
      <c r="OTK981" s="342"/>
      <c r="OTL981" s="343"/>
      <c r="OTM981" s="342"/>
      <c r="OTN981" s="343"/>
      <c r="OTO981" s="342"/>
      <c r="OTP981" s="343"/>
      <c r="OTQ981" s="342"/>
      <c r="OTR981" s="343"/>
      <c r="OTS981" s="342"/>
      <c r="OTT981" s="343"/>
      <c r="OTU981" s="342"/>
      <c r="OTV981" s="343"/>
      <c r="OTW981" s="342"/>
      <c r="OTX981" s="343"/>
      <c r="OTY981" s="342"/>
      <c r="OTZ981" s="343"/>
      <c r="OUA981" s="342"/>
      <c r="OUB981" s="343"/>
      <c r="OUC981" s="342"/>
      <c r="OUD981" s="343"/>
      <c r="OUE981" s="342"/>
      <c r="OUF981" s="343"/>
      <c r="OUG981" s="342"/>
      <c r="OUH981" s="343"/>
      <c r="OUI981" s="342"/>
      <c r="OUJ981" s="343"/>
      <c r="OUK981" s="342"/>
      <c r="OUL981" s="343"/>
      <c r="OUM981" s="342"/>
      <c r="OUN981" s="343"/>
      <c r="OUO981" s="342"/>
      <c r="OUP981" s="343"/>
      <c r="OUQ981" s="342"/>
      <c r="OUR981" s="343"/>
      <c r="OUS981" s="342"/>
      <c r="OUT981" s="343"/>
      <c r="OUU981" s="342"/>
      <c r="OUV981" s="343"/>
      <c r="OUW981" s="342"/>
      <c r="OUX981" s="343"/>
      <c r="OUY981" s="342"/>
      <c r="OUZ981" s="343"/>
      <c r="OVA981" s="342"/>
      <c r="OVB981" s="343"/>
      <c r="OVC981" s="342"/>
      <c r="OVD981" s="343"/>
      <c r="OVE981" s="342"/>
      <c r="OVF981" s="343"/>
      <c r="OVG981" s="342"/>
      <c r="OVH981" s="343"/>
      <c r="OVI981" s="342"/>
      <c r="OVJ981" s="343"/>
      <c r="OVK981" s="342"/>
      <c r="OVL981" s="343"/>
      <c r="OVM981" s="342"/>
      <c r="OVN981" s="343"/>
      <c r="OVO981" s="342"/>
      <c r="OVP981" s="343"/>
      <c r="OVQ981" s="342"/>
      <c r="OVR981" s="343"/>
      <c r="OVS981" s="342"/>
      <c r="OVT981" s="343"/>
      <c r="OVU981" s="342"/>
      <c r="OVV981" s="343"/>
      <c r="OVW981" s="342"/>
      <c r="OVX981" s="343"/>
      <c r="OVY981" s="342"/>
      <c r="OVZ981" s="343"/>
      <c r="OWA981" s="342"/>
      <c r="OWB981" s="343"/>
      <c r="OWC981" s="342"/>
      <c r="OWD981" s="343"/>
      <c r="OWE981" s="342"/>
      <c r="OWF981" s="343"/>
      <c r="OWG981" s="342"/>
      <c r="OWH981" s="343"/>
      <c r="OWI981" s="342"/>
      <c r="OWJ981" s="343"/>
      <c r="OWK981" s="342"/>
      <c r="OWL981" s="343"/>
      <c r="OWM981" s="342"/>
      <c r="OWN981" s="343"/>
      <c r="OWO981" s="342"/>
      <c r="OWP981" s="343"/>
      <c r="OWQ981" s="342"/>
      <c r="OWR981" s="343"/>
      <c r="OWS981" s="342"/>
      <c r="OWT981" s="343"/>
      <c r="OWU981" s="342"/>
      <c r="OWV981" s="343"/>
      <c r="OWW981" s="342"/>
      <c r="OWX981" s="343"/>
      <c r="OWY981" s="342"/>
      <c r="OWZ981" s="343"/>
      <c r="OXA981" s="342"/>
      <c r="OXB981" s="343"/>
      <c r="OXC981" s="342"/>
      <c r="OXD981" s="343"/>
      <c r="OXE981" s="342"/>
      <c r="OXF981" s="343"/>
      <c r="OXG981" s="342"/>
      <c r="OXH981" s="343"/>
      <c r="OXI981" s="342"/>
      <c r="OXJ981" s="343"/>
      <c r="OXK981" s="342"/>
      <c r="OXL981" s="343"/>
      <c r="OXM981" s="342"/>
      <c r="OXN981" s="343"/>
      <c r="OXO981" s="342"/>
      <c r="OXP981" s="343"/>
      <c r="OXQ981" s="342"/>
      <c r="OXR981" s="343"/>
      <c r="OXS981" s="342"/>
      <c r="OXT981" s="343"/>
      <c r="OXU981" s="342"/>
      <c r="OXV981" s="343"/>
      <c r="OXW981" s="342"/>
      <c r="OXX981" s="343"/>
      <c r="OXY981" s="342"/>
      <c r="OXZ981" s="343"/>
      <c r="OYA981" s="342"/>
      <c r="OYB981" s="343"/>
      <c r="OYC981" s="342"/>
      <c r="OYD981" s="343"/>
      <c r="OYE981" s="342"/>
      <c r="OYF981" s="343"/>
      <c r="OYG981" s="342"/>
      <c r="OYH981" s="343"/>
      <c r="OYI981" s="342"/>
      <c r="OYJ981" s="343"/>
      <c r="OYK981" s="342"/>
      <c r="OYL981" s="343"/>
      <c r="OYM981" s="342"/>
      <c r="OYN981" s="343"/>
      <c r="OYO981" s="342"/>
      <c r="OYP981" s="343"/>
      <c r="OYQ981" s="342"/>
      <c r="OYR981" s="343"/>
      <c r="OYS981" s="342"/>
      <c r="OYT981" s="343"/>
      <c r="OYU981" s="342"/>
      <c r="OYV981" s="343"/>
      <c r="OYW981" s="342"/>
      <c r="OYX981" s="343"/>
      <c r="OYY981" s="342"/>
      <c r="OYZ981" s="343"/>
      <c r="OZA981" s="342"/>
      <c r="OZB981" s="343"/>
      <c r="OZC981" s="342"/>
      <c r="OZD981" s="343"/>
      <c r="OZE981" s="342"/>
      <c r="OZF981" s="343"/>
      <c r="OZG981" s="342"/>
      <c r="OZH981" s="343"/>
      <c r="OZI981" s="342"/>
      <c r="OZJ981" s="343"/>
      <c r="OZK981" s="342"/>
      <c r="OZL981" s="343"/>
      <c r="OZM981" s="342"/>
      <c r="OZN981" s="343"/>
      <c r="OZO981" s="342"/>
      <c r="OZP981" s="343"/>
      <c r="OZQ981" s="342"/>
      <c r="OZR981" s="343"/>
      <c r="OZS981" s="342"/>
      <c r="OZT981" s="343"/>
      <c r="OZU981" s="342"/>
      <c r="OZV981" s="343"/>
      <c r="OZW981" s="342"/>
      <c r="OZX981" s="343"/>
      <c r="OZY981" s="342"/>
      <c r="OZZ981" s="343"/>
      <c r="PAA981" s="342"/>
      <c r="PAB981" s="343"/>
      <c r="PAC981" s="342"/>
      <c r="PAD981" s="343"/>
      <c r="PAE981" s="342"/>
      <c r="PAF981" s="343"/>
      <c r="PAG981" s="342"/>
      <c r="PAH981" s="343"/>
      <c r="PAI981" s="342"/>
      <c r="PAJ981" s="343"/>
      <c r="PAK981" s="342"/>
      <c r="PAL981" s="343"/>
      <c r="PAM981" s="342"/>
      <c r="PAN981" s="343"/>
      <c r="PAO981" s="342"/>
      <c r="PAP981" s="343"/>
      <c r="PAQ981" s="342"/>
      <c r="PAR981" s="343"/>
      <c r="PAS981" s="342"/>
      <c r="PAT981" s="343"/>
      <c r="PAU981" s="342"/>
      <c r="PAV981" s="343"/>
      <c r="PAW981" s="342"/>
      <c r="PAX981" s="343"/>
      <c r="PAY981" s="342"/>
      <c r="PAZ981" s="343"/>
      <c r="PBA981" s="342"/>
      <c r="PBB981" s="343"/>
      <c r="PBC981" s="342"/>
      <c r="PBD981" s="343"/>
      <c r="PBE981" s="342"/>
      <c r="PBF981" s="343"/>
      <c r="PBG981" s="342"/>
      <c r="PBH981" s="343"/>
      <c r="PBI981" s="342"/>
      <c r="PBJ981" s="343"/>
      <c r="PBK981" s="342"/>
      <c r="PBL981" s="343"/>
      <c r="PBM981" s="342"/>
      <c r="PBN981" s="343"/>
      <c r="PBO981" s="342"/>
      <c r="PBP981" s="343"/>
      <c r="PBQ981" s="342"/>
      <c r="PBR981" s="343"/>
      <c r="PBS981" s="342"/>
      <c r="PBT981" s="343"/>
      <c r="PBU981" s="342"/>
      <c r="PBV981" s="343"/>
      <c r="PBW981" s="342"/>
      <c r="PBX981" s="343"/>
      <c r="PBY981" s="342"/>
      <c r="PBZ981" s="343"/>
      <c r="PCA981" s="342"/>
      <c r="PCB981" s="343"/>
      <c r="PCC981" s="342"/>
      <c r="PCD981" s="343"/>
      <c r="PCE981" s="342"/>
      <c r="PCF981" s="343"/>
      <c r="PCG981" s="342"/>
      <c r="PCH981" s="343"/>
      <c r="PCI981" s="342"/>
      <c r="PCJ981" s="343"/>
      <c r="PCK981" s="342"/>
      <c r="PCL981" s="343"/>
      <c r="PCM981" s="342"/>
      <c r="PCN981" s="343"/>
      <c r="PCO981" s="342"/>
      <c r="PCP981" s="343"/>
      <c r="PCQ981" s="342"/>
      <c r="PCR981" s="343"/>
      <c r="PCS981" s="342"/>
      <c r="PCT981" s="343"/>
      <c r="PCU981" s="342"/>
      <c r="PCV981" s="343"/>
      <c r="PCW981" s="342"/>
      <c r="PCX981" s="343"/>
      <c r="PCY981" s="342"/>
      <c r="PCZ981" s="343"/>
      <c r="PDA981" s="342"/>
      <c r="PDB981" s="343"/>
      <c r="PDC981" s="342"/>
      <c r="PDD981" s="343"/>
      <c r="PDE981" s="342"/>
      <c r="PDF981" s="343"/>
      <c r="PDG981" s="342"/>
      <c r="PDH981" s="343"/>
      <c r="PDI981" s="342"/>
      <c r="PDJ981" s="343"/>
      <c r="PDK981" s="342"/>
      <c r="PDL981" s="343"/>
      <c r="PDM981" s="342"/>
      <c r="PDN981" s="343"/>
      <c r="PDO981" s="342"/>
      <c r="PDP981" s="343"/>
      <c r="PDQ981" s="342"/>
      <c r="PDR981" s="343"/>
      <c r="PDS981" s="342"/>
      <c r="PDT981" s="343"/>
      <c r="PDU981" s="342"/>
      <c r="PDV981" s="343"/>
      <c r="PDW981" s="342"/>
      <c r="PDX981" s="343"/>
      <c r="PDY981" s="342"/>
      <c r="PDZ981" s="343"/>
      <c r="PEA981" s="342"/>
      <c r="PEB981" s="343"/>
      <c r="PEC981" s="342"/>
      <c r="PED981" s="343"/>
      <c r="PEE981" s="342"/>
      <c r="PEF981" s="343"/>
      <c r="PEG981" s="342"/>
      <c r="PEH981" s="343"/>
      <c r="PEI981" s="342"/>
      <c r="PEJ981" s="343"/>
      <c r="PEK981" s="342"/>
      <c r="PEL981" s="343"/>
      <c r="PEM981" s="342"/>
      <c r="PEN981" s="343"/>
      <c r="PEO981" s="342"/>
      <c r="PEP981" s="343"/>
      <c r="PEQ981" s="342"/>
      <c r="PER981" s="343"/>
      <c r="PES981" s="342"/>
      <c r="PET981" s="343"/>
      <c r="PEU981" s="342"/>
      <c r="PEV981" s="343"/>
      <c r="PEW981" s="342"/>
      <c r="PEX981" s="343"/>
      <c r="PEY981" s="342"/>
      <c r="PEZ981" s="343"/>
      <c r="PFA981" s="342"/>
      <c r="PFB981" s="343"/>
      <c r="PFC981" s="342"/>
      <c r="PFD981" s="343"/>
      <c r="PFE981" s="342"/>
      <c r="PFF981" s="343"/>
      <c r="PFG981" s="342"/>
      <c r="PFH981" s="343"/>
      <c r="PFI981" s="342"/>
      <c r="PFJ981" s="343"/>
      <c r="PFK981" s="342"/>
      <c r="PFL981" s="343"/>
      <c r="PFM981" s="342"/>
      <c r="PFN981" s="343"/>
      <c r="PFO981" s="342"/>
      <c r="PFP981" s="343"/>
      <c r="PFQ981" s="342"/>
      <c r="PFR981" s="343"/>
      <c r="PFS981" s="342"/>
      <c r="PFT981" s="343"/>
      <c r="PFU981" s="342"/>
      <c r="PFV981" s="343"/>
      <c r="PFW981" s="342"/>
      <c r="PFX981" s="343"/>
      <c r="PFY981" s="342"/>
      <c r="PFZ981" s="343"/>
      <c r="PGA981" s="342"/>
      <c r="PGB981" s="343"/>
      <c r="PGC981" s="342"/>
      <c r="PGD981" s="343"/>
      <c r="PGE981" s="342"/>
      <c r="PGF981" s="343"/>
      <c r="PGG981" s="342"/>
      <c r="PGH981" s="343"/>
      <c r="PGI981" s="342"/>
      <c r="PGJ981" s="343"/>
      <c r="PGK981" s="342"/>
      <c r="PGL981" s="343"/>
      <c r="PGM981" s="342"/>
      <c r="PGN981" s="343"/>
      <c r="PGO981" s="342"/>
      <c r="PGP981" s="343"/>
      <c r="PGQ981" s="342"/>
      <c r="PGR981" s="343"/>
      <c r="PGS981" s="342"/>
      <c r="PGT981" s="343"/>
      <c r="PGU981" s="342"/>
      <c r="PGV981" s="343"/>
      <c r="PGW981" s="342"/>
      <c r="PGX981" s="343"/>
      <c r="PGY981" s="342"/>
      <c r="PGZ981" s="343"/>
      <c r="PHA981" s="342"/>
      <c r="PHB981" s="343"/>
      <c r="PHC981" s="342"/>
      <c r="PHD981" s="343"/>
      <c r="PHE981" s="342"/>
      <c r="PHF981" s="343"/>
      <c r="PHG981" s="342"/>
      <c r="PHH981" s="343"/>
      <c r="PHI981" s="342"/>
      <c r="PHJ981" s="343"/>
      <c r="PHK981" s="342"/>
      <c r="PHL981" s="343"/>
      <c r="PHM981" s="342"/>
      <c r="PHN981" s="343"/>
      <c r="PHO981" s="342"/>
      <c r="PHP981" s="343"/>
      <c r="PHQ981" s="342"/>
      <c r="PHR981" s="343"/>
      <c r="PHS981" s="342"/>
      <c r="PHT981" s="343"/>
      <c r="PHU981" s="342"/>
      <c r="PHV981" s="343"/>
      <c r="PHW981" s="342"/>
      <c r="PHX981" s="343"/>
      <c r="PHY981" s="342"/>
      <c r="PHZ981" s="343"/>
      <c r="PIA981" s="342"/>
      <c r="PIB981" s="343"/>
      <c r="PIC981" s="342"/>
      <c r="PID981" s="343"/>
      <c r="PIE981" s="342"/>
      <c r="PIF981" s="343"/>
      <c r="PIG981" s="342"/>
      <c r="PIH981" s="343"/>
      <c r="PII981" s="342"/>
      <c r="PIJ981" s="343"/>
      <c r="PIK981" s="342"/>
      <c r="PIL981" s="343"/>
      <c r="PIM981" s="342"/>
      <c r="PIN981" s="343"/>
      <c r="PIO981" s="342"/>
      <c r="PIP981" s="343"/>
      <c r="PIQ981" s="342"/>
      <c r="PIR981" s="343"/>
      <c r="PIS981" s="342"/>
      <c r="PIT981" s="343"/>
      <c r="PIU981" s="342"/>
      <c r="PIV981" s="343"/>
      <c r="PIW981" s="342"/>
      <c r="PIX981" s="343"/>
      <c r="PIY981" s="342"/>
      <c r="PIZ981" s="343"/>
      <c r="PJA981" s="342"/>
      <c r="PJB981" s="343"/>
      <c r="PJC981" s="342"/>
      <c r="PJD981" s="343"/>
      <c r="PJE981" s="342"/>
      <c r="PJF981" s="343"/>
      <c r="PJG981" s="342"/>
      <c r="PJH981" s="343"/>
      <c r="PJI981" s="342"/>
      <c r="PJJ981" s="343"/>
      <c r="PJK981" s="342"/>
      <c r="PJL981" s="343"/>
      <c r="PJM981" s="342"/>
      <c r="PJN981" s="343"/>
      <c r="PJO981" s="342"/>
      <c r="PJP981" s="343"/>
      <c r="PJQ981" s="342"/>
      <c r="PJR981" s="343"/>
      <c r="PJS981" s="342"/>
      <c r="PJT981" s="343"/>
      <c r="PJU981" s="342"/>
      <c r="PJV981" s="343"/>
      <c r="PJW981" s="342"/>
      <c r="PJX981" s="343"/>
      <c r="PJY981" s="342"/>
      <c r="PJZ981" s="343"/>
      <c r="PKA981" s="342"/>
      <c r="PKB981" s="343"/>
      <c r="PKC981" s="342"/>
      <c r="PKD981" s="343"/>
      <c r="PKE981" s="342"/>
      <c r="PKF981" s="343"/>
      <c r="PKG981" s="342"/>
      <c r="PKH981" s="343"/>
      <c r="PKI981" s="342"/>
      <c r="PKJ981" s="343"/>
      <c r="PKK981" s="342"/>
      <c r="PKL981" s="343"/>
      <c r="PKM981" s="342"/>
      <c r="PKN981" s="343"/>
      <c r="PKO981" s="342"/>
      <c r="PKP981" s="343"/>
      <c r="PKQ981" s="342"/>
      <c r="PKR981" s="343"/>
      <c r="PKS981" s="342"/>
      <c r="PKT981" s="343"/>
      <c r="PKU981" s="342"/>
      <c r="PKV981" s="343"/>
      <c r="PKW981" s="342"/>
      <c r="PKX981" s="343"/>
      <c r="PKY981" s="342"/>
      <c r="PKZ981" s="343"/>
      <c r="PLA981" s="342"/>
      <c r="PLB981" s="343"/>
      <c r="PLC981" s="342"/>
      <c r="PLD981" s="343"/>
      <c r="PLE981" s="342"/>
      <c r="PLF981" s="343"/>
      <c r="PLG981" s="342"/>
      <c r="PLH981" s="343"/>
      <c r="PLI981" s="342"/>
      <c r="PLJ981" s="343"/>
      <c r="PLK981" s="342"/>
      <c r="PLL981" s="343"/>
      <c r="PLM981" s="342"/>
      <c r="PLN981" s="343"/>
      <c r="PLO981" s="342"/>
      <c r="PLP981" s="343"/>
      <c r="PLQ981" s="342"/>
      <c r="PLR981" s="343"/>
      <c r="PLS981" s="342"/>
      <c r="PLT981" s="343"/>
      <c r="PLU981" s="342"/>
      <c r="PLV981" s="343"/>
      <c r="PLW981" s="342"/>
      <c r="PLX981" s="343"/>
      <c r="PLY981" s="342"/>
      <c r="PLZ981" s="343"/>
      <c r="PMA981" s="342"/>
      <c r="PMB981" s="343"/>
      <c r="PMC981" s="342"/>
      <c r="PMD981" s="343"/>
      <c r="PME981" s="342"/>
      <c r="PMF981" s="343"/>
      <c r="PMG981" s="342"/>
      <c r="PMH981" s="343"/>
      <c r="PMI981" s="342"/>
      <c r="PMJ981" s="343"/>
      <c r="PMK981" s="342"/>
      <c r="PML981" s="343"/>
      <c r="PMM981" s="342"/>
      <c r="PMN981" s="343"/>
      <c r="PMO981" s="342"/>
      <c r="PMP981" s="343"/>
      <c r="PMQ981" s="342"/>
      <c r="PMR981" s="343"/>
      <c r="PMS981" s="342"/>
      <c r="PMT981" s="343"/>
      <c r="PMU981" s="342"/>
      <c r="PMV981" s="343"/>
      <c r="PMW981" s="342"/>
      <c r="PMX981" s="343"/>
      <c r="PMY981" s="342"/>
      <c r="PMZ981" s="343"/>
      <c r="PNA981" s="342"/>
      <c r="PNB981" s="343"/>
      <c r="PNC981" s="342"/>
      <c r="PND981" s="343"/>
      <c r="PNE981" s="342"/>
      <c r="PNF981" s="343"/>
      <c r="PNG981" s="342"/>
      <c r="PNH981" s="343"/>
      <c r="PNI981" s="342"/>
      <c r="PNJ981" s="343"/>
      <c r="PNK981" s="342"/>
      <c r="PNL981" s="343"/>
      <c r="PNM981" s="342"/>
      <c r="PNN981" s="343"/>
      <c r="PNO981" s="342"/>
      <c r="PNP981" s="343"/>
      <c r="PNQ981" s="342"/>
      <c r="PNR981" s="343"/>
      <c r="PNS981" s="342"/>
      <c r="PNT981" s="343"/>
      <c r="PNU981" s="342"/>
      <c r="PNV981" s="343"/>
      <c r="PNW981" s="342"/>
      <c r="PNX981" s="343"/>
      <c r="PNY981" s="342"/>
      <c r="PNZ981" s="343"/>
      <c r="POA981" s="342"/>
      <c r="POB981" s="343"/>
      <c r="POC981" s="342"/>
      <c r="POD981" s="343"/>
      <c r="POE981" s="342"/>
      <c r="POF981" s="343"/>
      <c r="POG981" s="342"/>
      <c r="POH981" s="343"/>
      <c r="POI981" s="342"/>
      <c r="POJ981" s="343"/>
      <c r="POK981" s="342"/>
      <c r="POL981" s="343"/>
      <c r="POM981" s="342"/>
      <c r="PON981" s="343"/>
      <c r="POO981" s="342"/>
      <c r="POP981" s="343"/>
      <c r="POQ981" s="342"/>
      <c r="POR981" s="343"/>
      <c r="POS981" s="342"/>
      <c r="POT981" s="343"/>
      <c r="POU981" s="342"/>
      <c r="POV981" s="343"/>
      <c r="POW981" s="342"/>
      <c r="POX981" s="343"/>
      <c r="POY981" s="342"/>
      <c r="POZ981" s="343"/>
      <c r="PPA981" s="342"/>
      <c r="PPB981" s="343"/>
      <c r="PPC981" s="342"/>
      <c r="PPD981" s="343"/>
      <c r="PPE981" s="342"/>
      <c r="PPF981" s="343"/>
      <c r="PPG981" s="342"/>
      <c r="PPH981" s="343"/>
      <c r="PPI981" s="342"/>
      <c r="PPJ981" s="343"/>
      <c r="PPK981" s="342"/>
      <c r="PPL981" s="343"/>
      <c r="PPM981" s="342"/>
      <c r="PPN981" s="343"/>
      <c r="PPO981" s="342"/>
      <c r="PPP981" s="343"/>
      <c r="PPQ981" s="342"/>
      <c r="PPR981" s="343"/>
      <c r="PPS981" s="342"/>
      <c r="PPT981" s="343"/>
      <c r="PPU981" s="342"/>
      <c r="PPV981" s="343"/>
      <c r="PPW981" s="342"/>
      <c r="PPX981" s="343"/>
      <c r="PPY981" s="342"/>
      <c r="PPZ981" s="343"/>
      <c r="PQA981" s="342"/>
      <c r="PQB981" s="343"/>
      <c r="PQC981" s="342"/>
      <c r="PQD981" s="343"/>
      <c r="PQE981" s="342"/>
      <c r="PQF981" s="343"/>
      <c r="PQG981" s="342"/>
      <c r="PQH981" s="343"/>
      <c r="PQI981" s="342"/>
      <c r="PQJ981" s="343"/>
      <c r="PQK981" s="342"/>
      <c r="PQL981" s="343"/>
      <c r="PQM981" s="342"/>
      <c r="PQN981" s="343"/>
      <c r="PQO981" s="342"/>
      <c r="PQP981" s="343"/>
      <c r="PQQ981" s="342"/>
      <c r="PQR981" s="343"/>
      <c r="PQS981" s="342"/>
      <c r="PQT981" s="343"/>
      <c r="PQU981" s="342"/>
      <c r="PQV981" s="343"/>
      <c r="PQW981" s="342"/>
      <c r="PQX981" s="343"/>
      <c r="PQY981" s="342"/>
      <c r="PQZ981" s="343"/>
      <c r="PRA981" s="342"/>
      <c r="PRB981" s="343"/>
      <c r="PRC981" s="342"/>
      <c r="PRD981" s="343"/>
      <c r="PRE981" s="342"/>
      <c r="PRF981" s="343"/>
      <c r="PRG981" s="342"/>
      <c r="PRH981" s="343"/>
      <c r="PRI981" s="342"/>
      <c r="PRJ981" s="343"/>
      <c r="PRK981" s="342"/>
      <c r="PRL981" s="343"/>
      <c r="PRM981" s="342"/>
      <c r="PRN981" s="343"/>
      <c r="PRO981" s="342"/>
      <c r="PRP981" s="343"/>
      <c r="PRQ981" s="342"/>
      <c r="PRR981" s="343"/>
      <c r="PRS981" s="342"/>
      <c r="PRT981" s="343"/>
      <c r="PRU981" s="342"/>
      <c r="PRV981" s="343"/>
      <c r="PRW981" s="342"/>
      <c r="PRX981" s="343"/>
      <c r="PRY981" s="342"/>
      <c r="PRZ981" s="343"/>
      <c r="PSA981" s="342"/>
      <c r="PSB981" s="343"/>
      <c r="PSC981" s="342"/>
      <c r="PSD981" s="343"/>
      <c r="PSE981" s="342"/>
      <c r="PSF981" s="343"/>
      <c r="PSG981" s="342"/>
      <c r="PSH981" s="343"/>
      <c r="PSI981" s="342"/>
      <c r="PSJ981" s="343"/>
      <c r="PSK981" s="342"/>
      <c r="PSL981" s="343"/>
      <c r="PSM981" s="342"/>
      <c r="PSN981" s="343"/>
      <c r="PSO981" s="342"/>
      <c r="PSP981" s="343"/>
      <c r="PSQ981" s="342"/>
      <c r="PSR981" s="343"/>
      <c r="PSS981" s="342"/>
      <c r="PST981" s="343"/>
      <c r="PSU981" s="342"/>
      <c r="PSV981" s="343"/>
      <c r="PSW981" s="342"/>
      <c r="PSX981" s="343"/>
      <c r="PSY981" s="342"/>
      <c r="PSZ981" s="343"/>
      <c r="PTA981" s="342"/>
      <c r="PTB981" s="343"/>
      <c r="PTC981" s="342"/>
      <c r="PTD981" s="343"/>
      <c r="PTE981" s="342"/>
      <c r="PTF981" s="343"/>
      <c r="PTG981" s="342"/>
      <c r="PTH981" s="343"/>
      <c r="PTI981" s="342"/>
      <c r="PTJ981" s="343"/>
      <c r="PTK981" s="342"/>
      <c r="PTL981" s="343"/>
      <c r="PTM981" s="342"/>
      <c r="PTN981" s="343"/>
      <c r="PTO981" s="342"/>
      <c r="PTP981" s="343"/>
      <c r="PTQ981" s="342"/>
      <c r="PTR981" s="343"/>
      <c r="PTS981" s="342"/>
      <c r="PTT981" s="343"/>
      <c r="PTU981" s="342"/>
      <c r="PTV981" s="343"/>
      <c r="PTW981" s="342"/>
      <c r="PTX981" s="343"/>
      <c r="PTY981" s="342"/>
      <c r="PTZ981" s="343"/>
      <c r="PUA981" s="342"/>
      <c r="PUB981" s="343"/>
      <c r="PUC981" s="342"/>
      <c r="PUD981" s="343"/>
      <c r="PUE981" s="342"/>
      <c r="PUF981" s="343"/>
      <c r="PUG981" s="342"/>
      <c r="PUH981" s="343"/>
      <c r="PUI981" s="342"/>
      <c r="PUJ981" s="343"/>
      <c r="PUK981" s="342"/>
      <c r="PUL981" s="343"/>
      <c r="PUM981" s="342"/>
      <c r="PUN981" s="343"/>
      <c r="PUO981" s="342"/>
      <c r="PUP981" s="343"/>
      <c r="PUQ981" s="342"/>
      <c r="PUR981" s="343"/>
      <c r="PUS981" s="342"/>
      <c r="PUT981" s="343"/>
      <c r="PUU981" s="342"/>
      <c r="PUV981" s="343"/>
      <c r="PUW981" s="342"/>
      <c r="PUX981" s="343"/>
      <c r="PUY981" s="342"/>
      <c r="PUZ981" s="343"/>
      <c r="PVA981" s="342"/>
      <c r="PVB981" s="343"/>
      <c r="PVC981" s="342"/>
      <c r="PVD981" s="343"/>
      <c r="PVE981" s="342"/>
      <c r="PVF981" s="343"/>
      <c r="PVG981" s="342"/>
      <c r="PVH981" s="343"/>
      <c r="PVI981" s="342"/>
      <c r="PVJ981" s="343"/>
      <c r="PVK981" s="342"/>
      <c r="PVL981" s="343"/>
      <c r="PVM981" s="342"/>
      <c r="PVN981" s="343"/>
      <c r="PVO981" s="342"/>
      <c r="PVP981" s="343"/>
      <c r="PVQ981" s="342"/>
      <c r="PVR981" s="343"/>
      <c r="PVS981" s="342"/>
      <c r="PVT981" s="343"/>
      <c r="PVU981" s="342"/>
      <c r="PVV981" s="343"/>
      <c r="PVW981" s="342"/>
      <c r="PVX981" s="343"/>
      <c r="PVY981" s="342"/>
      <c r="PVZ981" s="343"/>
      <c r="PWA981" s="342"/>
      <c r="PWB981" s="343"/>
      <c r="PWC981" s="342"/>
      <c r="PWD981" s="343"/>
      <c r="PWE981" s="342"/>
      <c r="PWF981" s="343"/>
      <c r="PWG981" s="342"/>
      <c r="PWH981" s="343"/>
      <c r="PWI981" s="342"/>
      <c r="PWJ981" s="343"/>
      <c r="PWK981" s="342"/>
      <c r="PWL981" s="343"/>
      <c r="PWM981" s="342"/>
      <c r="PWN981" s="343"/>
      <c r="PWO981" s="342"/>
      <c r="PWP981" s="343"/>
      <c r="PWQ981" s="342"/>
      <c r="PWR981" s="343"/>
      <c r="PWS981" s="342"/>
      <c r="PWT981" s="343"/>
      <c r="PWU981" s="342"/>
      <c r="PWV981" s="343"/>
      <c r="PWW981" s="342"/>
      <c r="PWX981" s="343"/>
      <c r="PWY981" s="342"/>
      <c r="PWZ981" s="343"/>
      <c r="PXA981" s="342"/>
      <c r="PXB981" s="343"/>
      <c r="PXC981" s="342"/>
      <c r="PXD981" s="343"/>
      <c r="PXE981" s="342"/>
      <c r="PXF981" s="343"/>
      <c r="PXG981" s="342"/>
      <c r="PXH981" s="343"/>
      <c r="PXI981" s="342"/>
      <c r="PXJ981" s="343"/>
      <c r="PXK981" s="342"/>
      <c r="PXL981" s="343"/>
      <c r="PXM981" s="342"/>
      <c r="PXN981" s="343"/>
      <c r="PXO981" s="342"/>
      <c r="PXP981" s="343"/>
      <c r="PXQ981" s="342"/>
      <c r="PXR981" s="343"/>
      <c r="PXS981" s="342"/>
      <c r="PXT981" s="343"/>
      <c r="PXU981" s="342"/>
      <c r="PXV981" s="343"/>
      <c r="PXW981" s="342"/>
      <c r="PXX981" s="343"/>
      <c r="PXY981" s="342"/>
      <c r="PXZ981" s="343"/>
      <c r="PYA981" s="342"/>
      <c r="PYB981" s="343"/>
      <c r="PYC981" s="342"/>
      <c r="PYD981" s="343"/>
      <c r="PYE981" s="342"/>
      <c r="PYF981" s="343"/>
      <c r="PYG981" s="342"/>
      <c r="PYH981" s="343"/>
      <c r="PYI981" s="342"/>
      <c r="PYJ981" s="343"/>
      <c r="PYK981" s="342"/>
      <c r="PYL981" s="343"/>
      <c r="PYM981" s="342"/>
      <c r="PYN981" s="343"/>
      <c r="PYO981" s="342"/>
      <c r="PYP981" s="343"/>
      <c r="PYQ981" s="342"/>
      <c r="PYR981" s="343"/>
      <c r="PYS981" s="342"/>
      <c r="PYT981" s="343"/>
      <c r="PYU981" s="342"/>
      <c r="PYV981" s="343"/>
      <c r="PYW981" s="342"/>
      <c r="PYX981" s="343"/>
      <c r="PYY981" s="342"/>
      <c r="PYZ981" s="343"/>
      <c r="PZA981" s="342"/>
      <c r="PZB981" s="343"/>
      <c r="PZC981" s="342"/>
      <c r="PZD981" s="343"/>
      <c r="PZE981" s="342"/>
      <c r="PZF981" s="343"/>
      <c r="PZG981" s="342"/>
      <c r="PZH981" s="343"/>
      <c r="PZI981" s="342"/>
      <c r="PZJ981" s="343"/>
      <c r="PZK981" s="342"/>
      <c r="PZL981" s="343"/>
      <c r="PZM981" s="342"/>
      <c r="PZN981" s="343"/>
      <c r="PZO981" s="342"/>
      <c r="PZP981" s="343"/>
      <c r="PZQ981" s="342"/>
      <c r="PZR981" s="343"/>
      <c r="PZS981" s="342"/>
      <c r="PZT981" s="343"/>
      <c r="PZU981" s="342"/>
      <c r="PZV981" s="343"/>
      <c r="PZW981" s="342"/>
      <c r="PZX981" s="343"/>
      <c r="PZY981" s="342"/>
      <c r="PZZ981" s="343"/>
      <c r="QAA981" s="342"/>
      <c r="QAB981" s="343"/>
      <c r="QAC981" s="342"/>
      <c r="QAD981" s="343"/>
      <c r="QAE981" s="342"/>
      <c r="QAF981" s="343"/>
      <c r="QAG981" s="342"/>
      <c r="QAH981" s="343"/>
      <c r="QAI981" s="342"/>
      <c r="QAJ981" s="343"/>
      <c r="QAK981" s="342"/>
      <c r="QAL981" s="343"/>
      <c r="QAM981" s="342"/>
      <c r="QAN981" s="343"/>
      <c r="QAO981" s="342"/>
      <c r="QAP981" s="343"/>
      <c r="QAQ981" s="342"/>
      <c r="QAR981" s="343"/>
      <c r="QAS981" s="342"/>
      <c r="QAT981" s="343"/>
      <c r="QAU981" s="342"/>
      <c r="QAV981" s="343"/>
      <c r="QAW981" s="342"/>
      <c r="QAX981" s="343"/>
      <c r="QAY981" s="342"/>
      <c r="QAZ981" s="343"/>
      <c r="QBA981" s="342"/>
      <c r="QBB981" s="343"/>
      <c r="QBC981" s="342"/>
      <c r="QBD981" s="343"/>
      <c r="QBE981" s="342"/>
      <c r="QBF981" s="343"/>
      <c r="QBG981" s="342"/>
      <c r="QBH981" s="343"/>
      <c r="QBI981" s="342"/>
      <c r="QBJ981" s="343"/>
      <c r="QBK981" s="342"/>
      <c r="QBL981" s="343"/>
      <c r="QBM981" s="342"/>
      <c r="QBN981" s="343"/>
      <c r="QBO981" s="342"/>
      <c r="QBP981" s="343"/>
      <c r="QBQ981" s="342"/>
      <c r="QBR981" s="343"/>
      <c r="QBS981" s="342"/>
      <c r="QBT981" s="343"/>
      <c r="QBU981" s="342"/>
      <c r="QBV981" s="343"/>
      <c r="QBW981" s="342"/>
      <c r="QBX981" s="343"/>
      <c r="QBY981" s="342"/>
      <c r="QBZ981" s="343"/>
      <c r="QCA981" s="342"/>
      <c r="QCB981" s="343"/>
      <c r="QCC981" s="342"/>
      <c r="QCD981" s="343"/>
      <c r="QCE981" s="342"/>
      <c r="QCF981" s="343"/>
      <c r="QCG981" s="342"/>
      <c r="QCH981" s="343"/>
      <c r="QCI981" s="342"/>
      <c r="QCJ981" s="343"/>
      <c r="QCK981" s="342"/>
      <c r="QCL981" s="343"/>
      <c r="QCM981" s="342"/>
      <c r="QCN981" s="343"/>
      <c r="QCO981" s="342"/>
      <c r="QCP981" s="343"/>
      <c r="QCQ981" s="342"/>
      <c r="QCR981" s="343"/>
      <c r="QCS981" s="342"/>
      <c r="QCT981" s="343"/>
      <c r="QCU981" s="342"/>
      <c r="QCV981" s="343"/>
      <c r="QCW981" s="342"/>
      <c r="QCX981" s="343"/>
      <c r="QCY981" s="342"/>
      <c r="QCZ981" s="343"/>
      <c r="QDA981" s="342"/>
      <c r="QDB981" s="343"/>
      <c r="QDC981" s="342"/>
      <c r="QDD981" s="343"/>
      <c r="QDE981" s="342"/>
      <c r="QDF981" s="343"/>
      <c r="QDG981" s="342"/>
      <c r="QDH981" s="343"/>
      <c r="QDI981" s="342"/>
      <c r="QDJ981" s="343"/>
      <c r="QDK981" s="342"/>
      <c r="QDL981" s="343"/>
      <c r="QDM981" s="342"/>
      <c r="QDN981" s="343"/>
      <c r="QDO981" s="342"/>
      <c r="QDP981" s="343"/>
      <c r="QDQ981" s="342"/>
      <c r="QDR981" s="343"/>
      <c r="QDS981" s="342"/>
      <c r="QDT981" s="343"/>
      <c r="QDU981" s="342"/>
      <c r="QDV981" s="343"/>
      <c r="QDW981" s="342"/>
      <c r="QDX981" s="343"/>
      <c r="QDY981" s="342"/>
      <c r="QDZ981" s="343"/>
      <c r="QEA981" s="342"/>
      <c r="QEB981" s="343"/>
      <c r="QEC981" s="342"/>
      <c r="QED981" s="343"/>
      <c r="QEE981" s="342"/>
      <c r="QEF981" s="343"/>
      <c r="QEG981" s="342"/>
      <c r="QEH981" s="343"/>
      <c r="QEI981" s="342"/>
      <c r="QEJ981" s="343"/>
      <c r="QEK981" s="342"/>
      <c r="QEL981" s="343"/>
      <c r="QEM981" s="342"/>
      <c r="QEN981" s="343"/>
      <c r="QEO981" s="342"/>
      <c r="QEP981" s="343"/>
      <c r="QEQ981" s="342"/>
      <c r="QER981" s="343"/>
      <c r="QES981" s="342"/>
      <c r="QET981" s="343"/>
      <c r="QEU981" s="342"/>
      <c r="QEV981" s="343"/>
      <c r="QEW981" s="342"/>
      <c r="QEX981" s="343"/>
      <c r="QEY981" s="342"/>
      <c r="QEZ981" s="343"/>
      <c r="QFA981" s="342"/>
      <c r="QFB981" s="343"/>
      <c r="QFC981" s="342"/>
      <c r="QFD981" s="343"/>
      <c r="QFE981" s="342"/>
      <c r="QFF981" s="343"/>
      <c r="QFG981" s="342"/>
      <c r="QFH981" s="343"/>
      <c r="QFI981" s="342"/>
      <c r="QFJ981" s="343"/>
      <c r="QFK981" s="342"/>
      <c r="QFL981" s="343"/>
      <c r="QFM981" s="342"/>
      <c r="QFN981" s="343"/>
      <c r="QFO981" s="342"/>
      <c r="QFP981" s="343"/>
      <c r="QFQ981" s="342"/>
      <c r="QFR981" s="343"/>
      <c r="QFS981" s="342"/>
      <c r="QFT981" s="343"/>
      <c r="QFU981" s="342"/>
      <c r="QFV981" s="343"/>
      <c r="QFW981" s="342"/>
      <c r="QFX981" s="343"/>
      <c r="QFY981" s="342"/>
      <c r="QFZ981" s="343"/>
      <c r="QGA981" s="342"/>
      <c r="QGB981" s="343"/>
      <c r="QGC981" s="342"/>
      <c r="QGD981" s="343"/>
      <c r="QGE981" s="342"/>
      <c r="QGF981" s="343"/>
      <c r="QGG981" s="342"/>
      <c r="QGH981" s="343"/>
      <c r="QGI981" s="342"/>
      <c r="QGJ981" s="343"/>
      <c r="QGK981" s="342"/>
      <c r="QGL981" s="343"/>
      <c r="QGM981" s="342"/>
      <c r="QGN981" s="343"/>
      <c r="QGO981" s="342"/>
      <c r="QGP981" s="343"/>
      <c r="QGQ981" s="342"/>
      <c r="QGR981" s="343"/>
      <c r="QGS981" s="342"/>
      <c r="QGT981" s="343"/>
      <c r="QGU981" s="342"/>
      <c r="QGV981" s="343"/>
      <c r="QGW981" s="342"/>
      <c r="QGX981" s="343"/>
      <c r="QGY981" s="342"/>
      <c r="QGZ981" s="343"/>
      <c r="QHA981" s="342"/>
      <c r="QHB981" s="343"/>
      <c r="QHC981" s="342"/>
      <c r="QHD981" s="343"/>
      <c r="QHE981" s="342"/>
      <c r="QHF981" s="343"/>
      <c r="QHG981" s="342"/>
      <c r="QHH981" s="343"/>
      <c r="QHI981" s="342"/>
      <c r="QHJ981" s="343"/>
      <c r="QHK981" s="342"/>
      <c r="QHL981" s="343"/>
      <c r="QHM981" s="342"/>
      <c r="QHN981" s="343"/>
      <c r="QHO981" s="342"/>
      <c r="QHP981" s="343"/>
      <c r="QHQ981" s="342"/>
      <c r="QHR981" s="343"/>
      <c r="QHS981" s="342"/>
      <c r="QHT981" s="343"/>
      <c r="QHU981" s="342"/>
      <c r="QHV981" s="343"/>
      <c r="QHW981" s="342"/>
      <c r="QHX981" s="343"/>
      <c r="QHY981" s="342"/>
      <c r="QHZ981" s="343"/>
      <c r="QIA981" s="342"/>
      <c r="QIB981" s="343"/>
      <c r="QIC981" s="342"/>
      <c r="QID981" s="343"/>
      <c r="QIE981" s="342"/>
      <c r="QIF981" s="343"/>
      <c r="QIG981" s="342"/>
      <c r="QIH981" s="343"/>
      <c r="QII981" s="342"/>
      <c r="QIJ981" s="343"/>
      <c r="QIK981" s="342"/>
      <c r="QIL981" s="343"/>
      <c r="QIM981" s="342"/>
      <c r="QIN981" s="343"/>
      <c r="QIO981" s="342"/>
      <c r="QIP981" s="343"/>
      <c r="QIQ981" s="342"/>
      <c r="QIR981" s="343"/>
      <c r="QIS981" s="342"/>
      <c r="QIT981" s="343"/>
      <c r="QIU981" s="342"/>
      <c r="QIV981" s="343"/>
      <c r="QIW981" s="342"/>
      <c r="QIX981" s="343"/>
      <c r="QIY981" s="342"/>
      <c r="QIZ981" s="343"/>
      <c r="QJA981" s="342"/>
      <c r="QJB981" s="343"/>
      <c r="QJC981" s="342"/>
      <c r="QJD981" s="343"/>
      <c r="QJE981" s="342"/>
      <c r="QJF981" s="343"/>
      <c r="QJG981" s="342"/>
      <c r="QJH981" s="343"/>
      <c r="QJI981" s="342"/>
      <c r="QJJ981" s="343"/>
      <c r="QJK981" s="342"/>
      <c r="QJL981" s="343"/>
      <c r="QJM981" s="342"/>
      <c r="QJN981" s="343"/>
      <c r="QJO981" s="342"/>
      <c r="QJP981" s="343"/>
      <c r="QJQ981" s="342"/>
      <c r="QJR981" s="343"/>
      <c r="QJS981" s="342"/>
      <c r="QJT981" s="343"/>
      <c r="QJU981" s="342"/>
      <c r="QJV981" s="343"/>
      <c r="QJW981" s="342"/>
      <c r="QJX981" s="343"/>
      <c r="QJY981" s="342"/>
      <c r="QJZ981" s="343"/>
      <c r="QKA981" s="342"/>
      <c r="QKB981" s="343"/>
      <c r="QKC981" s="342"/>
      <c r="QKD981" s="343"/>
      <c r="QKE981" s="342"/>
      <c r="QKF981" s="343"/>
      <c r="QKG981" s="342"/>
      <c r="QKH981" s="343"/>
      <c r="QKI981" s="342"/>
      <c r="QKJ981" s="343"/>
      <c r="QKK981" s="342"/>
      <c r="QKL981" s="343"/>
      <c r="QKM981" s="342"/>
      <c r="QKN981" s="343"/>
      <c r="QKO981" s="342"/>
      <c r="QKP981" s="343"/>
      <c r="QKQ981" s="342"/>
      <c r="QKR981" s="343"/>
      <c r="QKS981" s="342"/>
      <c r="QKT981" s="343"/>
      <c r="QKU981" s="342"/>
      <c r="QKV981" s="343"/>
      <c r="QKW981" s="342"/>
      <c r="QKX981" s="343"/>
      <c r="QKY981" s="342"/>
      <c r="QKZ981" s="343"/>
      <c r="QLA981" s="342"/>
      <c r="QLB981" s="343"/>
      <c r="QLC981" s="342"/>
      <c r="QLD981" s="343"/>
      <c r="QLE981" s="342"/>
      <c r="QLF981" s="343"/>
      <c r="QLG981" s="342"/>
      <c r="QLH981" s="343"/>
      <c r="QLI981" s="342"/>
      <c r="QLJ981" s="343"/>
      <c r="QLK981" s="342"/>
      <c r="QLL981" s="343"/>
      <c r="QLM981" s="342"/>
      <c r="QLN981" s="343"/>
      <c r="QLO981" s="342"/>
      <c r="QLP981" s="343"/>
      <c r="QLQ981" s="342"/>
      <c r="QLR981" s="343"/>
      <c r="QLS981" s="342"/>
      <c r="QLT981" s="343"/>
      <c r="QLU981" s="342"/>
      <c r="QLV981" s="343"/>
      <c r="QLW981" s="342"/>
      <c r="QLX981" s="343"/>
      <c r="QLY981" s="342"/>
      <c r="QLZ981" s="343"/>
      <c r="QMA981" s="342"/>
      <c r="QMB981" s="343"/>
      <c r="QMC981" s="342"/>
      <c r="QMD981" s="343"/>
      <c r="QME981" s="342"/>
      <c r="QMF981" s="343"/>
      <c r="QMG981" s="342"/>
      <c r="QMH981" s="343"/>
      <c r="QMI981" s="342"/>
      <c r="QMJ981" s="343"/>
      <c r="QMK981" s="342"/>
      <c r="QML981" s="343"/>
      <c r="QMM981" s="342"/>
      <c r="QMN981" s="343"/>
      <c r="QMO981" s="342"/>
      <c r="QMP981" s="343"/>
      <c r="QMQ981" s="342"/>
      <c r="QMR981" s="343"/>
      <c r="QMS981" s="342"/>
      <c r="QMT981" s="343"/>
      <c r="QMU981" s="342"/>
      <c r="QMV981" s="343"/>
      <c r="QMW981" s="342"/>
      <c r="QMX981" s="343"/>
      <c r="QMY981" s="342"/>
      <c r="QMZ981" s="343"/>
      <c r="QNA981" s="342"/>
      <c r="QNB981" s="343"/>
      <c r="QNC981" s="342"/>
      <c r="QND981" s="343"/>
      <c r="QNE981" s="342"/>
      <c r="QNF981" s="343"/>
      <c r="QNG981" s="342"/>
      <c r="QNH981" s="343"/>
      <c r="QNI981" s="342"/>
      <c r="QNJ981" s="343"/>
      <c r="QNK981" s="342"/>
      <c r="QNL981" s="343"/>
      <c r="QNM981" s="342"/>
      <c r="QNN981" s="343"/>
      <c r="QNO981" s="342"/>
      <c r="QNP981" s="343"/>
      <c r="QNQ981" s="342"/>
      <c r="QNR981" s="343"/>
      <c r="QNS981" s="342"/>
      <c r="QNT981" s="343"/>
      <c r="QNU981" s="342"/>
      <c r="QNV981" s="343"/>
      <c r="QNW981" s="342"/>
      <c r="QNX981" s="343"/>
      <c r="QNY981" s="342"/>
      <c r="QNZ981" s="343"/>
      <c r="QOA981" s="342"/>
      <c r="QOB981" s="343"/>
      <c r="QOC981" s="342"/>
      <c r="QOD981" s="343"/>
      <c r="QOE981" s="342"/>
      <c r="QOF981" s="343"/>
      <c r="QOG981" s="342"/>
      <c r="QOH981" s="343"/>
      <c r="QOI981" s="342"/>
      <c r="QOJ981" s="343"/>
      <c r="QOK981" s="342"/>
      <c r="QOL981" s="343"/>
      <c r="QOM981" s="342"/>
      <c r="QON981" s="343"/>
      <c r="QOO981" s="342"/>
      <c r="QOP981" s="343"/>
      <c r="QOQ981" s="342"/>
      <c r="QOR981" s="343"/>
      <c r="QOS981" s="342"/>
      <c r="QOT981" s="343"/>
      <c r="QOU981" s="342"/>
      <c r="QOV981" s="343"/>
      <c r="QOW981" s="342"/>
      <c r="QOX981" s="343"/>
      <c r="QOY981" s="342"/>
      <c r="QOZ981" s="343"/>
      <c r="QPA981" s="342"/>
      <c r="QPB981" s="343"/>
      <c r="QPC981" s="342"/>
      <c r="QPD981" s="343"/>
      <c r="QPE981" s="342"/>
      <c r="QPF981" s="343"/>
      <c r="QPG981" s="342"/>
      <c r="QPH981" s="343"/>
      <c r="QPI981" s="342"/>
      <c r="QPJ981" s="343"/>
      <c r="QPK981" s="342"/>
      <c r="QPL981" s="343"/>
      <c r="QPM981" s="342"/>
      <c r="QPN981" s="343"/>
      <c r="QPO981" s="342"/>
      <c r="QPP981" s="343"/>
      <c r="QPQ981" s="342"/>
      <c r="QPR981" s="343"/>
      <c r="QPS981" s="342"/>
      <c r="QPT981" s="343"/>
      <c r="QPU981" s="342"/>
      <c r="QPV981" s="343"/>
      <c r="QPW981" s="342"/>
      <c r="QPX981" s="343"/>
      <c r="QPY981" s="342"/>
      <c r="QPZ981" s="343"/>
      <c r="QQA981" s="342"/>
      <c r="QQB981" s="343"/>
      <c r="QQC981" s="342"/>
      <c r="QQD981" s="343"/>
      <c r="QQE981" s="342"/>
      <c r="QQF981" s="343"/>
      <c r="QQG981" s="342"/>
      <c r="QQH981" s="343"/>
      <c r="QQI981" s="342"/>
      <c r="QQJ981" s="343"/>
      <c r="QQK981" s="342"/>
      <c r="QQL981" s="343"/>
      <c r="QQM981" s="342"/>
      <c r="QQN981" s="343"/>
      <c r="QQO981" s="342"/>
      <c r="QQP981" s="343"/>
      <c r="QQQ981" s="342"/>
      <c r="QQR981" s="343"/>
      <c r="QQS981" s="342"/>
      <c r="QQT981" s="343"/>
      <c r="QQU981" s="342"/>
      <c r="QQV981" s="343"/>
      <c r="QQW981" s="342"/>
      <c r="QQX981" s="343"/>
      <c r="QQY981" s="342"/>
      <c r="QQZ981" s="343"/>
      <c r="QRA981" s="342"/>
      <c r="QRB981" s="343"/>
      <c r="QRC981" s="342"/>
      <c r="QRD981" s="343"/>
      <c r="QRE981" s="342"/>
      <c r="QRF981" s="343"/>
      <c r="QRG981" s="342"/>
      <c r="QRH981" s="343"/>
      <c r="QRI981" s="342"/>
      <c r="QRJ981" s="343"/>
      <c r="QRK981" s="342"/>
      <c r="QRL981" s="343"/>
      <c r="QRM981" s="342"/>
      <c r="QRN981" s="343"/>
      <c r="QRO981" s="342"/>
      <c r="QRP981" s="343"/>
      <c r="QRQ981" s="342"/>
      <c r="QRR981" s="343"/>
      <c r="QRS981" s="342"/>
      <c r="QRT981" s="343"/>
      <c r="QRU981" s="342"/>
      <c r="QRV981" s="343"/>
      <c r="QRW981" s="342"/>
      <c r="QRX981" s="343"/>
      <c r="QRY981" s="342"/>
      <c r="QRZ981" s="343"/>
      <c r="QSA981" s="342"/>
      <c r="QSB981" s="343"/>
      <c r="QSC981" s="342"/>
      <c r="QSD981" s="343"/>
      <c r="QSE981" s="342"/>
      <c r="QSF981" s="343"/>
      <c r="QSG981" s="342"/>
      <c r="QSH981" s="343"/>
      <c r="QSI981" s="342"/>
      <c r="QSJ981" s="343"/>
      <c r="QSK981" s="342"/>
      <c r="QSL981" s="343"/>
      <c r="QSM981" s="342"/>
      <c r="QSN981" s="343"/>
      <c r="QSO981" s="342"/>
      <c r="QSP981" s="343"/>
      <c r="QSQ981" s="342"/>
      <c r="QSR981" s="343"/>
      <c r="QSS981" s="342"/>
      <c r="QST981" s="343"/>
      <c r="QSU981" s="342"/>
      <c r="QSV981" s="343"/>
      <c r="QSW981" s="342"/>
      <c r="QSX981" s="343"/>
      <c r="QSY981" s="342"/>
      <c r="QSZ981" s="343"/>
      <c r="QTA981" s="342"/>
      <c r="QTB981" s="343"/>
      <c r="QTC981" s="342"/>
      <c r="QTD981" s="343"/>
      <c r="QTE981" s="342"/>
      <c r="QTF981" s="343"/>
      <c r="QTG981" s="342"/>
      <c r="QTH981" s="343"/>
      <c r="QTI981" s="342"/>
      <c r="QTJ981" s="343"/>
      <c r="QTK981" s="342"/>
      <c r="QTL981" s="343"/>
      <c r="QTM981" s="342"/>
      <c r="QTN981" s="343"/>
      <c r="QTO981" s="342"/>
      <c r="QTP981" s="343"/>
      <c r="QTQ981" s="342"/>
      <c r="QTR981" s="343"/>
      <c r="QTS981" s="342"/>
      <c r="QTT981" s="343"/>
      <c r="QTU981" s="342"/>
      <c r="QTV981" s="343"/>
      <c r="QTW981" s="342"/>
      <c r="QTX981" s="343"/>
      <c r="QTY981" s="342"/>
      <c r="QTZ981" s="343"/>
      <c r="QUA981" s="342"/>
      <c r="QUB981" s="343"/>
      <c r="QUC981" s="342"/>
      <c r="QUD981" s="343"/>
      <c r="QUE981" s="342"/>
      <c r="QUF981" s="343"/>
      <c r="QUG981" s="342"/>
      <c r="QUH981" s="343"/>
      <c r="QUI981" s="342"/>
      <c r="QUJ981" s="343"/>
      <c r="QUK981" s="342"/>
      <c r="QUL981" s="343"/>
      <c r="QUM981" s="342"/>
      <c r="QUN981" s="343"/>
      <c r="QUO981" s="342"/>
      <c r="QUP981" s="343"/>
      <c r="QUQ981" s="342"/>
      <c r="QUR981" s="343"/>
      <c r="QUS981" s="342"/>
      <c r="QUT981" s="343"/>
      <c r="QUU981" s="342"/>
      <c r="QUV981" s="343"/>
      <c r="QUW981" s="342"/>
      <c r="QUX981" s="343"/>
      <c r="QUY981" s="342"/>
      <c r="QUZ981" s="343"/>
      <c r="QVA981" s="342"/>
      <c r="QVB981" s="343"/>
      <c r="QVC981" s="342"/>
      <c r="QVD981" s="343"/>
      <c r="QVE981" s="342"/>
      <c r="QVF981" s="343"/>
      <c r="QVG981" s="342"/>
      <c r="QVH981" s="343"/>
      <c r="QVI981" s="342"/>
      <c r="QVJ981" s="343"/>
      <c r="QVK981" s="342"/>
      <c r="QVL981" s="343"/>
      <c r="QVM981" s="342"/>
      <c r="QVN981" s="343"/>
      <c r="QVO981" s="342"/>
      <c r="QVP981" s="343"/>
      <c r="QVQ981" s="342"/>
      <c r="QVR981" s="343"/>
      <c r="QVS981" s="342"/>
      <c r="QVT981" s="343"/>
      <c r="QVU981" s="342"/>
      <c r="QVV981" s="343"/>
      <c r="QVW981" s="342"/>
      <c r="QVX981" s="343"/>
      <c r="QVY981" s="342"/>
      <c r="QVZ981" s="343"/>
      <c r="QWA981" s="342"/>
      <c r="QWB981" s="343"/>
      <c r="QWC981" s="342"/>
      <c r="QWD981" s="343"/>
      <c r="QWE981" s="342"/>
      <c r="QWF981" s="343"/>
      <c r="QWG981" s="342"/>
      <c r="QWH981" s="343"/>
      <c r="QWI981" s="342"/>
      <c r="QWJ981" s="343"/>
      <c r="QWK981" s="342"/>
      <c r="QWL981" s="343"/>
      <c r="QWM981" s="342"/>
      <c r="QWN981" s="343"/>
      <c r="QWO981" s="342"/>
      <c r="QWP981" s="343"/>
      <c r="QWQ981" s="342"/>
      <c r="QWR981" s="343"/>
      <c r="QWS981" s="342"/>
      <c r="QWT981" s="343"/>
      <c r="QWU981" s="342"/>
      <c r="QWV981" s="343"/>
      <c r="QWW981" s="342"/>
      <c r="QWX981" s="343"/>
      <c r="QWY981" s="342"/>
      <c r="QWZ981" s="343"/>
      <c r="QXA981" s="342"/>
      <c r="QXB981" s="343"/>
      <c r="QXC981" s="342"/>
      <c r="QXD981" s="343"/>
      <c r="QXE981" s="342"/>
      <c r="QXF981" s="343"/>
      <c r="QXG981" s="342"/>
      <c r="QXH981" s="343"/>
      <c r="QXI981" s="342"/>
      <c r="QXJ981" s="343"/>
      <c r="QXK981" s="342"/>
      <c r="QXL981" s="343"/>
      <c r="QXM981" s="342"/>
      <c r="QXN981" s="343"/>
      <c r="QXO981" s="342"/>
      <c r="QXP981" s="343"/>
      <c r="QXQ981" s="342"/>
      <c r="QXR981" s="343"/>
      <c r="QXS981" s="342"/>
      <c r="QXT981" s="343"/>
      <c r="QXU981" s="342"/>
      <c r="QXV981" s="343"/>
      <c r="QXW981" s="342"/>
      <c r="QXX981" s="343"/>
      <c r="QXY981" s="342"/>
      <c r="QXZ981" s="343"/>
      <c r="QYA981" s="342"/>
      <c r="QYB981" s="343"/>
      <c r="QYC981" s="342"/>
      <c r="QYD981" s="343"/>
      <c r="QYE981" s="342"/>
      <c r="QYF981" s="343"/>
      <c r="QYG981" s="342"/>
      <c r="QYH981" s="343"/>
      <c r="QYI981" s="342"/>
      <c r="QYJ981" s="343"/>
      <c r="QYK981" s="342"/>
      <c r="QYL981" s="343"/>
      <c r="QYM981" s="342"/>
      <c r="QYN981" s="343"/>
      <c r="QYO981" s="342"/>
      <c r="QYP981" s="343"/>
      <c r="QYQ981" s="342"/>
      <c r="QYR981" s="343"/>
      <c r="QYS981" s="342"/>
      <c r="QYT981" s="343"/>
      <c r="QYU981" s="342"/>
      <c r="QYV981" s="343"/>
      <c r="QYW981" s="342"/>
      <c r="QYX981" s="343"/>
      <c r="QYY981" s="342"/>
      <c r="QYZ981" s="343"/>
      <c r="QZA981" s="342"/>
      <c r="QZB981" s="343"/>
      <c r="QZC981" s="342"/>
      <c r="QZD981" s="343"/>
      <c r="QZE981" s="342"/>
      <c r="QZF981" s="343"/>
      <c r="QZG981" s="342"/>
      <c r="QZH981" s="343"/>
      <c r="QZI981" s="342"/>
      <c r="QZJ981" s="343"/>
      <c r="QZK981" s="342"/>
      <c r="QZL981" s="343"/>
      <c r="QZM981" s="342"/>
      <c r="QZN981" s="343"/>
      <c r="QZO981" s="342"/>
      <c r="QZP981" s="343"/>
      <c r="QZQ981" s="342"/>
      <c r="QZR981" s="343"/>
      <c r="QZS981" s="342"/>
      <c r="QZT981" s="343"/>
      <c r="QZU981" s="342"/>
      <c r="QZV981" s="343"/>
      <c r="QZW981" s="342"/>
      <c r="QZX981" s="343"/>
      <c r="QZY981" s="342"/>
      <c r="QZZ981" s="343"/>
      <c r="RAA981" s="342"/>
      <c r="RAB981" s="343"/>
      <c r="RAC981" s="342"/>
      <c r="RAD981" s="343"/>
      <c r="RAE981" s="342"/>
      <c r="RAF981" s="343"/>
      <c r="RAG981" s="342"/>
      <c r="RAH981" s="343"/>
      <c r="RAI981" s="342"/>
      <c r="RAJ981" s="343"/>
      <c r="RAK981" s="342"/>
      <c r="RAL981" s="343"/>
      <c r="RAM981" s="342"/>
      <c r="RAN981" s="343"/>
      <c r="RAO981" s="342"/>
      <c r="RAP981" s="343"/>
      <c r="RAQ981" s="342"/>
      <c r="RAR981" s="343"/>
      <c r="RAS981" s="342"/>
      <c r="RAT981" s="343"/>
      <c r="RAU981" s="342"/>
      <c r="RAV981" s="343"/>
      <c r="RAW981" s="342"/>
      <c r="RAX981" s="343"/>
      <c r="RAY981" s="342"/>
      <c r="RAZ981" s="343"/>
      <c r="RBA981" s="342"/>
      <c r="RBB981" s="343"/>
      <c r="RBC981" s="342"/>
      <c r="RBD981" s="343"/>
      <c r="RBE981" s="342"/>
      <c r="RBF981" s="343"/>
      <c r="RBG981" s="342"/>
      <c r="RBH981" s="343"/>
      <c r="RBI981" s="342"/>
      <c r="RBJ981" s="343"/>
      <c r="RBK981" s="342"/>
      <c r="RBL981" s="343"/>
      <c r="RBM981" s="342"/>
      <c r="RBN981" s="343"/>
      <c r="RBO981" s="342"/>
      <c r="RBP981" s="343"/>
      <c r="RBQ981" s="342"/>
      <c r="RBR981" s="343"/>
      <c r="RBS981" s="342"/>
      <c r="RBT981" s="343"/>
      <c r="RBU981" s="342"/>
      <c r="RBV981" s="343"/>
      <c r="RBW981" s="342"/>
      <c r="RBX981" s="343"/>
      <c r="RBY981" s="342"/>
      <c r="RBZ981" s="343"/>
      <c r="RCA981" s="342"/>
      <c r="RCB981" s="343"/>
      <c r="RCC981" s="342"/>
      <c r="RCD981" s="343"/>
      <c r="RCE981" s="342"/>
      <c r="RCF981" s="343"/>
      <c r="RCG981" s="342"/>
      <c r="RCH981" s="343"/>
      <c r="RCI981" s="342"/>
      <c r="RCJ981" s="343"/>
      <c r="RCK981" s="342"/>
      <c r="RCL981" s="343"/>
      <c r="RCM981" s="342"/>
      <c r="RCN981" s="343"/>
      <c r="RCO981" s="342"/>
      <c r="RCP981" s="343"/>
      <c r="RCQ981" s="342"/>
      <c r="RCR981" s="343"/>
      <c r="RCS981" s="342"/>
      <c r="RCT981" s="343"/>
      <c r="RCU981" s="342"/>
      <c r="RCV981" s="343"/>
      <c r="RCW981" s="342"/>
      <c r="RCX981" s="343"/>
      <c r="RCY981" s="342"/>
      <c r="RCZ981" s="343"/>
      <c r="RDA981" s="342"/>
      <c r="RDB981" s="343"/>
      <c r="RDC981" s="342"/>
      <c r="RDD981" s="343"/>
      <c r="RDE981" s="342"/>
      <c r="RDF981" s="343"/>
      <c r="RDG981" s="342"/>
      <c r="RDH981" s="343"/>
      <c r="RDI981" s="342"/>
      <c r="RDJ981" s="343"/>
      <c r="RDK981" s="342"/>
      <c r="RDL981" s="343"/>
      <c r="RDM981" s="342"/>
      <c r="RDN981" s="343"/>
      <c r="RDO981" s="342"/>
      <c r="RDP981" s="343"/>
      <c r="RDQ981" s="342"/>
      <c r="RDR981" s="343"/>
      <c r="RDS981" s="342"/>
      <c r="RDT981" s="343"/>
      <c r="RDU981" s="342"/>
      <c r="RDV981" s="343"/>
      <c r="RDW981" s="342"/>
      <c r="RDX981" s="343"/>
      <c r="RDY981" s="342"/>
      <c r="RDZ981" s="343"/>
      <c r="REA981" s="342"/>
      <c r="REB981" s="343"/>
      <c r="REC981" s="342"/>
      <c r="RED981" s="343"/>
      <c r="REE981" s="342"/>
      <c r="REF981" s="343"/>
      <c r="REG981" s="342"/>
      <c r="REH981" s="343"/>
      <c r="REI981" s="342"/>
      <c r="REJ981" s="343"/>
      <c r="REK981" s="342"/>
      <c r="REL981" s="343"/>
      <c r="REM981" s="342"/>
      <c r="REN981" s="343"/>
      <c r="REO981" s="342"/>
      <c r="REP981" s="343"/>
      <c r="REQ981" s="342"/>
      <c r="RER981" s="343"/>
      <c r="RES981" s="342"/>
      <c r="RET981" s="343"/>
      <c r="REU981" s="342"/>
      <c r="REV981" s="343"/>
      <c r="REW981" s="342"/>
      <c r="REX981" s="343"/>
      <c r="REY981" s="342"/>
      <c r="REZ981" s="343"/>
      <c r="RFA981" s="342"/>
      <c r="RFB981" s="343"/>
      <c r="RFC981" s="342"/>
      <c r="RFD981" s="343"/>
      <c r="RFE981" s="342"/>
      <c r="RFF981" s="343"/>
      <c r="RFG981" s="342"/>
      <c r="RFH981" s="343"/>
      <c r="RFI981" s="342"/>
      <c r="RFJ981" s="343"/>
      <c r="RFK981" s="342"/>
      <c r="RFL981" s="343"/>
      <c r="RFM981" s="342"/>
      <c r="RFN981" s="343"/>
      <c r="RFO981" s="342"/>
      <c r="RFP981" s="343"/>
      <c r="RFQ981" s="342"/>
      <c r="RFR981" s="343"/>
      <c r="RFS981" s="342"/>
      <c r="RFT981" s="343"/>
      <c r="RFU981" s="342"/>
      <c r="RFV981" s="343"/>
      <c r="RFW981" s="342"/>
      <c r="RFX981" s="343"/>
      <c r="RFY981" s="342"/>
      <c r="RFZ981" s="343"/>
      <c r="RGA981" s="342"/>
      <c r="RGB981" s="343"/>
      <c r="RGC981" s="342"/>
      <c r="RGD981" s="343"/>
      <c r="RGE981" s="342"/>
      <c r="RGF981" s="343"/>
      <c r="RGG981" s="342"/>
      <c r="RGH981" s="343"/>
      <c r="RGI981" s="342"/>
      <c r="RGJ981" s="343"/>
      <c r="RGK981" s="342"/>
      <c r="RGL981" s="343"/>
      <c r="RGM981" s="342"/>
      <c r="RGN981" s="343"/>
      <c r="RGO981" s="342"/>
      <c r="RGP981" s="343"/>
      <c r="RGQ981" s="342"/>
      <c r="RGR981" s="343"/>
      <c r="RGS981" s="342"/>
      <c r="RGT981" s="343"/>
      <c r="RGU981" s="342"/>
      <c r="RGV981" s="343"/>
      <c r="RGW981" s="342"/>
      <c r="RGX981" s="343"/>
      <c r="RGY981" s="342"/>
      <c r="RGZ981" s="343"/>
      <c r="RHA981" s="342"/>
      <c r="RHB981" s="343"/>
      <c r="RHC981" s="342"/>
      <c r="RHD981" s="343"/>
      <c r="RHE981" s="342"/>
      <c r="RHF981" s="343"/>
      <c r="RHG981" s="342"/>
      <c r="RHH981" s="343"/>
      <c r="RHI981" s="342"/>
      <c r="RHJ981" s="343"/>
      <c r="RHK981" s="342"/>
      <c r="RHL981" s="343"/>
      <c r="RHM981" s="342"/>
      <c r="RHN981" s="343"/>
      <c r="RHO981" s="342"/>
      <c r="RHP981" s="343"/>
      <c r="RHQ981" s="342"/>
      <c r="RHR981" s="343"/>
      <c r="RHS981" s="342"/>
      <c r="RHT981" s="343"/>
      <c r="RHU981" s="342"/>
      <c r="RHV981" s="343"/>
      <c r="RHW981" s="342"/>
      <c r="RHX981" s="343"/>
      <c r="RHY981" s="342"/>
      <c r="RHZ981" s="343"/>
      <c r="RIA981" s="342"/>
      <c r="RIB981" s="343"/>
      <c r="RIC981" s="342"/>
      <c r="RID981" s="343"/>
      <c r="RIE981" s="342"/>
      <c r="RIF981" s="343"/>
      <c r="RIG981" s="342"/>
      <c r="RIH981" s="343"/>
      <c r="RII981" s="342"/>
      <c r="RIJ981" s="343"/>
      <c r="RIK981" s="342"/>
      <c r="RIL981" s="343"/>
      <c r="RIM981" s="342"/>
      <c r="RIN981" s="343"/>
      <c r="RIO981" s="342"/>
      <c r="RIP981" s="343"/>
      <c r="RIQ981" s="342"/>
      <c r="RIR981" s="343"/>
      <c r="RIS981" s="342"/>
      <c r="RIT981" s="343"/>
      <c r="RIU981" s="342"/>
      <c r="RIV981" s="343"/>
      <c r="RIW981" s="342"/>
      <c r="RIX981" s="343"/>
      <c r="RIY981" s="342"/>
      <c r="RIZ981" s="343"/>
      <c r="RJA981" s="342"/>
      <c r="RJB981" s="343"/>
      <c r="RJC981" s="342"/>
      <c r="RJD981" s="343"/>
      <c r="RJE981" s="342"/>
      <c r="RJF981" s="343"/>
      <c r="RJG981" s="342"/>
      <c r="RJH981" s="343"/>
      <c r="RJI981" s="342"/>
      <c r="RJJ981" s="343"/>
      <c r="RJK981" s="342"/>
      <c r="RJL981" s="343"/>
      <c r="RJM981" s="342"/>
      <c r="RJN981" s="343"/>
      <c r="RJO981" s="342"/>
      <c r="RJP981" s="343"/>
      <c r="RJQ981" s="342"/>
      <c r="RJR981" s="343"/>
      <c r="RJS981" s="342"/>
      <c r="RJT981" s="343"/>
      <c r="RJU981" s="342"/>
      <c r="RJV981" s="343"/>
      <c r="RJW981" s="342"/>
      <c r="RJX981" s="343"/>
      <c r="RJY981" s="342"/>
      <c r="RJZ981" s="343"/>
      <c r="RKA981" s="342"/>
      <c r="RKB981" s="343"/>
      <c r="RKC981" s="342"/>
      <c r="RKD981" s="343"/>
      <c r="RKE981" s="342"/>
      <c r="RKF981" s="343"/>
      <c r="RKG981" s="342"/>
      <c r="RKH981" s="343"/>
      <c r="RKI981" s="342"/>
      <c r="RKJ981" s="343"/>
      <c r="RKK981" s="342"/>
      <c r="RKL981" s="343"/>
      <c r="RKM981" s="342"/>
      <c r="RKN981" s="343"/>
      <c r="RKO981" s="342"/>
      <c r="RKP981" s="343"/>
      <c r="RKQ981" s="342"/>
      <c r="RKR981" s="343"/>
      <c r="RKS981" s="342"/>
      <c r="RKT981" s="343"/>
      <c r="RKU981" s="342"/>
      <c r="RKV981" s="343"/>
      <c r="RKW981" s="342"/>
      <c r="RKX981" s="343"/>
      <c r="RKY981" s="342"/>
      <c r="RKZ981" s="343"/>
      <c r="RLA981" s="342"/>
      <c r="RLB981" s="343"/>
      <c r="RLC981" s="342"/>
      <c r="RLD981" s="343"/>
      <c r="RLE981" s="342"/>
      <c r="RLF981" s="343"/>
      <c r="RLG981" s="342"/>
      <c r="RLH981" s="343"/>
      <c r="RLI981" s="342"/>
      <c r="RLJ981" s="343"/>
      <c r="RLK981" s="342"/>
      <c r="RLL981" s="343"/>
      <c r="RLM981" s="342"/>
      <c r="RLN981" s="343"/>
      <c r="RLO981" s="342"/>
      <c r="RLP981" s="343"/>
      <c r="RLQ981" s="342"/>
      <c r="RLR981" s="343"/>
      <c r="RLS981" s="342"/>
      <c r="RLT981" s="343"/>
      <c r="RLU981" s="342"/>
      <c r="RLV981" s="343"/>
      <c r="RLW981" s="342"/>
      <c r="RLX981" s="343"/>
      <c r="RLY981" s="342"/>
      <c r="RLZ981" s="343"/>
      <c r="RMA981" s="342"/>
      <c r="RMB981" s="343"/>
      <c r="RMC981" s="342"/>
      <c r="RMD981" s="343"/>
      <c r="RME981" s="342"/>
      <c r="RMF981" s="343"/>
      <c r="RMG981" s="342"/>
      <c r="RMH981" s="343"/>
      <c r="RMI981" s="342"/>
      <c r="RMJ981" s="343"/>
      <c r="RMK981" s="342"/>
      <c r="RML981" s="343"/>
      <c r="RMM981" s="342"/>
      <c r="RMN981" s="343"/>
      <c r="RMO981" s="342"/>
      <c r="RMP981" s="343"/>
      <c r="RMQ981" s="342"/>
      <c r="RMR981" s="343"/>
      <c r="RMS981" s="342"/>
      <c r="RMT981" s="343"/>
      <c r="RMU981" s="342"/>
      <c r="RMV981" s="343"/>
      <c r="RMW981" s="342"/>
      <c r="RMX981" s="343"/>
      <c r="RMY981" s="342"/>
      <c r="RMZ981" s="343"/>
      <c r="RNA981" s="342"/>
      <c r="RNB981" s="343"/>
      <c r="RNC981" s="342"/>
      <c r="RND981" s="343"/>
      <c r="RNE981" s="342"/>
      <c r="RNF981" s="343"/>
      <c r="RNG981" s="342"/>
      <c r="RNH981" s="343"/>
      <c r="RNI981" s="342"/>
      <c r="RNJ981" s="343"/>
      <c r="RNK981" s="342"/>
      <c r="RNL981" s="343"/>
      <c r="RNM981" s="342"/>
      <c r="RNN981" s="343"/>
      <c r="RNO981" s="342"/>
      <c r="RNP981" s="343"/>
      <c r="RNQ981" s="342"/>
      <c r="RNR981" s="343"/>
      <c r="RNS981" s="342"/>
      <c r="RNT981" s="343"/>
      <c r="RNU981" s="342"/>
      <c r="RNV981" s="343"/>
      <c r="RNW981" s="342"/>
      <c r="RNX981" s="343"/>
      <c r="RNY981" s="342"/>
      <c r="RNZ981" s="343"/>
      <c r="ROA981" s="342"/>
      <c r="ROB981" s="343"/>
      <c r="ROC981" s="342"/>
      <c r="ROD981" s="343"/>
      <c r="ROE981" s="342"/>
      <c r="ROF981" s="343"/>
      <c r="ROG981" s="342"/>
      <c r="ROH981" s="343"/>
      <c r="ROI981" s="342"/>
      <c r="ROJ981" s="343"/>
      <c r="ROK981" s="342"/>
      <c r="ROL981" s="343"/>
      <c r="ROM981" s="342"/>
      <c r="RON981" s="343"/>
      <c r="ROO981" s="342"/>
      <c r="ROP981" s="343"/>
      <c r="ROQ981" s="342"/>
      <c r="ROR981" s="343"/>
      <c r="ROS981" s="342"/>
      <c r="ROT981" s="343"/>
      <c r="ROU981" s="342"/>
      <c r="ROV981" s="343"/>
      <c r="ROW981" s="342"/>
      <c r="ROX981" s="343"/>
      <c r="ROY981" s="342"/>
      <c r="ROZ981" s="343"/>
      <c r="RPA981" s="342"/>
      <c r="RPB981" s="343"/>
      <c r="RPC981" s="342"/>
      <c r="RPD981" s="343"/>
      <c r="RPE981" s="342"/>
      <c r="RPF981" s="343"/>
      <c r="RPG981" s="342"/>
      <c r="RPH981" s="343"/>
      <c r="RPI981" s="342"/>
      <c r="RPJ981" s="343"/>
      <c r="RPK981" s="342"/>
      <c r="RPL981" s="343"/>
      <c r="RPM981" s="342"/>
      <c r="RPN981" s="343"/>
      <c r="RPO981" s="342"/>
      <c r="RPP981" s="343"/>
      <c r="RPQ981" s="342"/>
      <c r="RPR981" s="343"/>
      <c r="RPS981" s="342"/>
      <c r="RPT981" s="343"/>
      <c r="RPU981" s="342"/>
      <c r="RPV981" s="343"/>
      <c r="RPW981" s="342"/>
      <c r="RPX981" s="343"/>
      <c r="RPY981" s="342"/>
      <c r="RPZ981" s="343"/>
      <c r="RQA981" s="342"/>
      <c r="RQB981" s="343"/>
      <c r="RQC981" s="342"/>
      <c r="RQD981" s="343"/>
      <c r="RQE981" s="342"/>
      <c r="RQF981" s="343"/>
      <c r="RQG981" s="342"/>
      <c r="RQH981" s="343"/>
      <c r="RQI981" s="342"/>
      <c r="RQJ981" s="343"/>
      <c r="RQK981" s="342"/>
      <c r="RQL981" s="343"/>
      <c r="RQM981" s="342"/>
      <c r="RQN981" s="343"/>
      <c r="RQO981" s="342"/>
      <c r="RQP981" s="343"/>
      <c r="RQQ981" s="342"/>
      <c r="RQR981" s="343"/>
      <c r="RQS981" s="342"/>
      <c r="RQT981" s="343"/>
      <c r="RQU981" s="342"/>
      <c r="RQV981" s="343"/>
      <c r="RQW981" s="342"/>
      <c r="RQX981" s="343"/>
      <c r="RQY981" s="342"/>
      <c r="RQZ981" s="343"/>
      <c r="RRA981" s="342"/>
      <c r="RRB981" s="343"/>
      <c r="RRC981" s="342"/>
      <c r="RRD981" s="343"/>
      <c r="RRE981" s="342"/>
      <c r="RRF981" s="343"/>
      <c r="RRG981" s="342"/>
      <c r="RRH981" s="343"/>
      <c r="RRI981" s="342"/>
      <c r="RRJ981" s="343"/>
      <c r="RRK981" s="342"/>
      <c r="RRL981" s="343"/>
      <c r="RRM981" s="342"/>
      <c r="RRN981" s="343"/>
      <c r="RRO981" s="342"/>
      <c r="RRP981" s="343"/>
      <c r="RRQ981" s="342"/>
      <c r="RRR981" s="343"/>
      <c r="RRS981" s="342"/>
      <c r="RRT981" s="343"/>
      <c r="RRU981" s="342"/>
      <c r="RRV981" s="343"/>
      <c r="RRW981" s="342"/>
      <c r="RRX981" s="343"/>
      <c r="RRY981" s="342"/>
      <c r="RRZ981" s="343"/>
      <c r="RSA981" s="342"/>
      <c r="RSB981" s="343"/>
      <c r="RSC981" s="342"/>
      <c r="RSD981" s="343"/>
      <c r="RSE981" s="342"/>
      <c r="RSF981" s="343"/>
      <c r="RSG981" s="342"/>
      <c r="RSH981" s="343"/>
      <c r="RSI981" s="342"/>
      <c r="RSJ981" s="343"/>
      <c r="RSK981" s="342"/>
      <c r="RSL981" s="343"/>
      <c r="RSM981" s="342"/>
      <c r="RSN981" s="343"/>
      <c r="RSO981" s="342"/>
      <c r="RSP981" s="343"/>
      <c r="RSQ981" s="342"/>
      <c r="RSR981" s="343"/>
      <c r="RSS981" s="342"/>
      <c r="RST981" s="343"/>
      <c r="RSU981" s="342"/>
      <c r="RSV981" s="343"/>
      <c r="RSW981" s="342"/>
      <c r="RSX981" s="343"/>
      <c r="RSY981" s="342"/>
      <c r="RSZ981" s="343"/>
      <c r="RTA981" s="342"/>
      <c r="RTB981" s="343"/>
      <c r="RTC981" s="342"/>
      <c r="RTD981" s="343"/>
      <c r="RTE981" s="342"/>
      <c r="RTF981" s="343"/>
      <c r="RTG981" s="342"/>
      <c r="RTH981" s="343"/>
      <c r="RTI981" s="342"/>
      <c r="RTJ981" s="343"/>
      <c r="RTK981" s="342"/>
      <c r="RTL981" s="343"/>
      <c r="RTM981" s="342"/>
      <c r="RTN981" s="343"/>
      <c r="RTO981" s="342"/>
      <c r="RTP981" s="343"/>
      <c r="RTQ981" s="342"/>
      <c r="RTR981" s="343"/>
      <c r="RTS981" s="342"/>
      <c r="RTT981" s="343"/>
      <c r="RTU981" s="342"/>
      <c r="RTV981" s="343"/>
      <c r="RTW981" s="342"/>
      <c r="RTX981" s="343"/>
      <c r="RTY981" s="342"/>
      <c r="RTZ981" s="343"/>
      <c r="RUA981" s="342"/>
      <c r="RUB981" s="343"/>
      <c r="RUC981" s="342"/>
      <c r="RUD981" s="343"/>
      <c r="RUE981" s="342"/>
      <c r="RUF981" s="343"/>
      <c r="RUG981" s="342"/>
      <c r="RUH981" s="343"/>
      <c r="RUI981" s="342"/>
      <c r="RUJ981" s="343"/>
      <c r="RUK981" s="342"/>
      <c r="RUL981" s="343"/>
      <c r="RUM981" s="342"/>
      <c r="RUN981" s="343"/>
      <c r="RUO981" s="342"/>
      <c r="RUP981" s="343"/>
      <c r="RUQ981" s="342"/>
      <c r="RUR981" s="343"/>
      <c r="RUS981" s="342"/>
      <c r="RUT981" s="343"/>
      <c r="RUU981" s="342"/>
      <c r="RUV981" s="343"/>
      <c r="RUW981" s="342"/>
      <c r="RUX981" s="343"/>
      <c r="RUY981" s="342"/>
      <c r="RUZ981" s="343"/>
      <c r="RVA981" s="342"/>
      <c r="RVB981" s="343"/>
      <c r="RVC981" s="342"/>
      <c r="RVD981" s="343"/>
      <c r="RVE981" s="342"/>
      <c r="RVF981" s="343"/>
      <c r="RVG981" s="342"/>
      <c r="RVH981" s="343"/>
      <c r="RVI981" s="342"/>
      <c r="RVJ981" s="343"/>
      <c r="RVK981" s="342"/>
      <c r="RVL981" s="343"/>
      <c r="RVM981" s="342"/>
      <c r="RVN981" s="343"/>
      <c r="RVO981" s="342"/>
      <c r="RVP981" s="343"/>
      <c r="RVQ981" s="342"/>
      <c r="RVR981" s="343"/>
      <c r="RVS981" s="342"/>
      <c r="RVT981" s="343"/>
      <c r="RVU981" s="342"/>
      <c r="RVV981" s="343"/>
      <c r="RVW981" s="342"/>
      <c r="RVX981" s="343"/>
      <c r="RVY981" s="342"/>
      <c r="RVZ981" s="343"/>
      <c r="RWA981" s="342"/>
      <c r="RWB981" s="343"/>
      <c r="RWC981" s="342"/>
      <c r="RWD981" s="343"/>
      <c r="RWE981" s="342"/>
      <c r="RWF981" s="343"/>
      <c r="RWG981" s="342"/>
      <c r="RWH981" s="343"/>
      <c r="RWI981" s="342"/>
      <c r="RWJ981" s="343"/>
      <c r="RWK981" s="342"/>
      <c r="RWL981" s="343"/>
      <c r="RWM981" s="342"/>
      <c r="RWN981" s="343"/>
      <c r="RWO981" s="342"/>
      <c r="RWP981" s="343"/>
      <c r="RWQ981" s="342"/>
      <c r="RWR981" s="343"/>
      <c r="RWS981" s="342"/>
      <c r="RWT981" s="343"/>
      <c r="RWU981" s="342"/>
      <c r="RWV981" s="343"/>
      <c r="RWW981" s="342"/>
      <c r="RWX981" s="343"/>
      <c r="RWY981" s="342"/>
      <c r="RWZ981" s="343"/>
      <c r="RXA981" s="342"/>
      <c r="RXB981" s="343"/>
      <c r="RXC981" s="342"/>
      <c r="RXD981" s="343"/>
      <c r="RXE981" s="342"/>
      <c r="RXF981" s="343"/>
      <c r="RXG981" s="342"/>
      <c r="RXH981" s="343"/>
      <c r="RXI981" s="342"/>
      <c r="RXJ981" s="343"/>
      <c r="RXK981" s="342"/>
      <c r="RXL981" s="343"/>
      <c r="RXM981" s="342"/>
      <c r="RXN981" s="343"/>
      <c r="RXO981" s="342"/>
      <c r="RXP981" s="343"/>
      <c r="RXQ981" s="342"/>
      <c r="RXR981" s="343"/>
      <c r="RXS981" s="342"/>
      <c r="RXT981" s="343"/>
      <c r="RXU981" s="342"/>
      <c r="RXV981" s="343"/>
      <c r="RXW981" s="342"/>
      <c r="RXX981" s="343"/>
      <c r="RXY981" s="342"/>
      <c r="RXZ981" s="343"/>
      <c r="RYA981" s="342"/>
      <c r="RYB981" s="343"/>
      <c r="RYC981" s="342"/>
      <c r="RYD981" s="343"/>
      <c r="RYE981" s="342"/>
      <c r="RYF981" s="343"/>
      <c r="RYG981" s="342"/>
      <c r="RYH981" s="343"/>
      <c r="RYI981" s="342"/>
      <c r="RYJ981" s="343"/>
      <c r="RYK981" s="342"/>
      <c r="RYL981" s="343"/>
      <c r="RYM981" s="342"/>
      <c r="RYN981" s="343"/>
      <c r="RYO981" s="342"/>
      <c r="RYP981" s="343"/>
      <c r="RYQ981" s="342"/>
      <c r="RYR981" s="343"/>
      <c r="RYS981" s="342"/>
      <c r="RYT981" s="343"/>
      <c r="RYU981" s="342"/>
      <c r="RYV981" s="343"/>
      <c r="RYW981" s="342"/>
      <c r="RYX981" s="343"/>
      <c r="RYY981" s="342"/>
      <c r="RYZ981" s="343"/>
      <c r="RZA981" s="342"/>
      <c r="RZB981" s="343"/>
      <c r="RZC981" s="342"/>
      <c r="RZD981" s="343"/>
      <c r="RZE981" s="342"/>
      <c r="RZF981" s="343"/>
      <c r="RZG981" s="342"/>
      <c r="RZH981" s="343"/>
      <c r="RZI981" s="342"/>
      <c r="RZJ981" s="343"/>
      <c r="RZK981" s="342"/>
      <c r="RZL981" s="343"/>
      <c r="RZM981" s="342"/>
      <c r="RZN981" s="343"/>
      <c r="RZO981" s="342"/>
      <c r="RZP981" s="343"/>
      <c r="RZQ981" s="342"/>
      <c r="RZR981" s="343"/>
      <c r="RZS981" s="342"/>
      <c r="RZT981" s="343"/>
      <c r="RZU981" s="342"/>
      <c r="RZV981" s="343"/>
      <c r="RZW981" s="342"/>
      <c r="RZX981" s="343"/>
      <c r="RZY981" s="342"/>
      <c r="RZZ981" s="343"/>
      <c r="SAA981" s="342"/>
      <c r="SAB981" s="343"/>
      <c r="SAC981" s="342"/>
      <c r="SAD981" s="343"/>
      <c r="SAE981" s="342"/>
      <c r="SAF981" s="343"/>
      <c r="SAG981" s="342"/>
      <c r="SAH981" s="343"/>
      <c r="SAI981" s="342"/>
      <c r="SAJ981" s="343"/>
      <c r="SAK981" s="342"/>
      <c r="SAL981" s="343"/>
      <c r="SAM981" s="342"/>
      <c r="SAN981" s="343"/>
      <c r="SAO981" s="342"/>
      <c r="SAP981" s="343"/>
      <c r="SAQ981" s="342"/>
      <c r="SAR981" s="343"/>
      <c r="SAS981" s="342"/>
      <c r="SAT981" s="343"/>
      <c r="SAU981" s="342"/>
      <c r="SAV981" s="343"/>
      <c r="SAW981" s="342"/>
      <c r="SAX981" s="343"/>
      <c r="SAY981" s="342"/>
      <c r="SAZ981" s="343"/>
      <c r="SBA981" s="342"/>
      <c r="SBB981" s="343"/>
      <c r="SBC981" s="342"/>
      <c r="SBD981" s="343"/>
      <c r="SBE981" s="342"/>
      <c r="SBF981" s="343"/>
      <c r="SBG981" s="342"/>
      <c r="SBH981" s="343"/>
      <c r="SBI981" s="342"/>
      <c r="SBJ981" s="343"/>
      <c r="SBK981" s="342"/>
      <c r="SBL981" s="343"/>
      <c r="SBM981" s="342"/>
      <c r="SBN981" s="343"/>
      <c r="SBO981" s="342"/>
      <c r="SBP981" s="343"/>
      <c r="SBQ981" s="342"/>
      <c r="SBR981" s="343"/>
      <c r="SBS981" s="342"/>
      <c r="SBT981" s="343"/>
      <c r="SBU981" s="342"/>
      <c r="SBV981" s="343"/>
      <c r="SBW981" s="342"/>
      <c r="SBX981" s="343"/>
      <c r="SBY981" s="342"/>
      <c r="SBZ981" s="343"/>
      <c r="SCA981" s="342"/>
      <c r="SCB981" s="343"/>
      <c r="SCC981" s="342"/>
      <c r="SCD981" s="343"/>
      <c r="SCE981" s="342"/>
      <c r="SCF981" s="343"/>
      <c r="SCG981" s="342"/>
      <c r="SCH981" s="343"/>
      <c r="SCI981" s="342"/>
      <c r="SCJ981" s="343"/>
      <c r="SCK981" s="342"/>
      <c r="SCL981" s="343"/>
      <c r="SCM981" s="342"/>
      <c r="SCN981" s="343"/>
      <c r="SCO981" s="342"/>
      <c r="SCP981" s="343"/>
      <c r="SCQ981" s="342"/>
      <c r="SCR981" s="343"/>
      <c r="SCS981" s="342"/>
      <c r="SCT981" s="343"/>
      <c r="SCU981" s="342"/>
      <c r="SCV981" s="343"/>
      <c r="SCW981" s="342"/>
      <c r="SCX981" s="343"/>
      <c r="SCY981" s="342"/>
      <c r="SCZ981" s="343"/>
      <c r="SDA981" s="342"/>
      <c r="SDB981" s="343"/>
      <c r="SDC981" s="342"/>
      <c r="SDD981" s="343"/>
      <c r="SDE981" s="342"/>
      <c r="SDF981" s="343"/>
      <c r="SDG981" s="342"/>
      <c r="SDH981" s="343"/>
      <c r="SDI981" s="342"/>
      <c r="SDJ981" s="343"/>
      <c r="SDK981" s="342"/>
      <c r="SDL981" s="343"/>
      <c r="SDM981" s="342"/>
      <c r="SDN981" s="343"/>
      <c r="SDO981" s="342"/>
      <c r="SDP981" s="343"/>
      <c r="SDQ981" s="342"/>
      <c r="SDR981" s="343"/>
      <c r="SDS981" s="342"/>
      <c r="SDT981" s="343"/>
      <c r="SDU981" s="342"/>
      <c r="SDV981" s="343"/>
      <c r="SDW981" s="342"/>
      <c r="SDX981" s="343"/>
      <c r="SDY981" s="342"/>
      <c r="SDZ981" s="343"/>
      <c r="SEA981" s="342"/>
      <c r="SEB981" s="343"/>
      <c r="SEC981" s="342"/>
      <c r="SED981" s="343"/>
      <c r="SEE981" s="342"/>
      <c r="SEF981" s="343"/>
      <c r="SEG981" s="342"/>
      <c r="SEH981" s="343"/>
      <c r="SEI981" s="342"/>
      <c r="SEJ981" s="343"/>
      <c r="SEK981" s="342"/>
      <c r="SEL981" s="343"/>
      <c r="SEM981" s="342"/>
      <c r="SEN981" s="343"/>
      <c r="SEO981" s="342"/>
      <c r="SEP981" s="343"/>
      <c r="SEQ981" s="342"/>
      <c r="SER981" s="343"/>
      <c r="SES981" s="342"/>
      <c r="SET981" s="343"/>
      <c r="SEU981" s="342"/>
      <c r="SEV981" s="343"/>
      <c r="SEW981" s="342"/>
      <c r="SEX981" s="343"/>
      <c r="SEY981" s="342"/>
      <c r="SEZ981" s="343"/>
      <c r="SFA981" s="342"/>
      <c r="SFB981" s="343"/>
      <c r="SFC981" s="342"/>
      <c r="SFD981" s="343"/>
      <c r="SFE981" s="342"/>
      <c r="SFF981" s="343"/>
      <c r="SFG981" s="342"/>
      <c r="SFH981" s="343"/>
      <c r="SFI981" s="342"/>
      <c r="SFJ981" s="343"/>
      <c r="SFK981" s="342"/>
      <c r="SFL981" s="343"/>
      <c r="SFM981" s="342"/>
      <c r="SFN981" s="343"/>
      <c r="SFO981" s="342"/>
      <c r="SFP981" s="343"/>
      <c r="SFQ981" s="342"/>
      <c r="SFR981" s="343"/>
      <c r="SFS981" s="342"/>
      <c r="SFT981" s="343"/>
      <c r="SFU981" s="342"/>
      <c r="SFV981" s="343"/>
      <c r="SFW981" s="342"/>
      <c r="SFX981" s="343"/>
      <c r="SFY981" s="342"/>
      <c r="SFZ981" s="343"/>
      <c r="SGA981" s="342"/>
      <c r="SGB981" s="343"/>
      <c r="SGC981" s="342"/>
      <c r="SGD981" s="343"/>
      <c r="SGE981" s="342"/>
      <c r="SGF981" s="343"/>
      <c r="SGG981" s="342"/>
      <c r="SGH981" s="343"/>
      <c r="SGI981" s="342"/>
      <c r="SGJ981" s="343"/>
      <c r="SGK981" s="342"/>
      <c r="SGL981" s="343"/>
      <c r="SGM981" s="342"/>
      <c r="SGN981" s="343"/>
      <c r="SGO981" s="342"/>
      <c r="SGP981" s="343"/>
      <c r="SGQ981" s="342"/>
      <c r="SGR981" s="343"/>
      <c r="SGS981" s="342"/>
      <c r="SGT981" s="343"/>
      <c r="SGU981" s="342"/>
      <c r="SGV981" s="343"/>
      <c r="SGW981" s="342"/>
      <c r="SGX981" s="343"/>
      <c r="SGY981" s="342"/>
      <c r="SGZ981" s="343"/>
      <c r="SHA981" s="342"/>
      <c r="SHB981" s="343"/>
      <c r="SHC981" s="342"/>
      <c r="SHD981" s="343"/>
      <c r="SHE981" s="342"/>
      <c r="SHF981" s="343"/>
      <c r="SHG981" s="342"/>
      <c r="SHH981" s="343"/>
      <c r="SHI981" s="342"/>
      <c r="SHJ981" s="343"/>
      <c r="SHK981" s="342"/>
      <c r="SHL981" s="343"/>
      <c r="SHM981" s="342"/>
      <c r="SHN981" s="343"/>
      <c r="SHO981" s="342"/>
      <c r="SHP981" s="343"/>
      <c r="SHQ981" s="342"/>
      <c r="SHR981" s="343"/>
      <c r="SHS981" s="342"/>
      <c r="SHT981" s="343"/>
      <c r="SHU981" s="342"/>
      <c r="SHV981" s="343"/>
      <c r="SHW981" s="342"/>
      <c r="SHX981" s="343"/>
      <c r="SHY981" s="342"/>
      <c r="SHZ981" s="343"/>
      <c r="SIA981" s="342"/>
      <c r="SIB981" s="343"/>
      <c r="SIC981" s="342"/>
      <c r="SID981" s="343"/>
      <c r="SIE981" s="342"/>
      <c r="SIF981" s="343"/>
      <c r="SIG981" s="342"/>
      <c r="SIH981" s="343"/>
      <c r="SII981" s="342"/>
      <c r="SIJ981" s="343"/>
      <c r="SIK981" s="342"/>
      <c r="SIL981" s="343"/>
      <c r="SIM981" s="342"/>
      <c r="SIN981" s="343"/>
      <c r="SIO981" s="342"/>
      <c r="SIP981" s="343"/>
      <c r="SIQ981" s="342"/>
      <c r="SIR981" s="343"/>
      <c r="SIS981" s="342"/>
      <c r="SIT981" s="343"/>
      <c r="SIU981" s="342"/>
      <c r="SIV981" s="343"/>
      <c r="SIW981" s="342"/>
      <c r="SIX981" s="343"/>
      <c r="SIY981" s="342"/>
      <c r="SIZ981" s="343"/>
      <c r="SJA981" s="342"/>
      <c r="SJB981" s="343"/>
      <c r="SJC981" s="342"/>
      <c r="SJD981" s="343"/>
      <c r="SJE981" s="342"/>
      <c r="SJF981" s="343"/>
      <c r="SJG981" s="342"/>
      <c r="SJH981" s="343"/>
      <c r="SJI981" s="342"/>
      <c r="SJJ981" s="343"/>
      <c r="SJK981" s="342"/>
      <c r="SJL981" s="343"/>
      <c r="SJM981" s="342"/>
      <c r="SJN981" s="343"/>
      <c r="SJO981" s="342"/>
      <c r="SJP981" s="343"/>
      <c r="SJQ981" s="342"/>
      <c r="SJR981" s="343"/>
      <c r="SJS981" s="342"/>
      <c r="SJT981" s="343"/>
      <c r="SJU981" s="342"/>
      <c r="SJV981" s="343"/>
      <c r="SJW981" s="342"/>
      <c r="SJX981" s="343"/>
      <c r="SJY981" s="342"/>
      <c r="SJZ981" s="343"/>
      <c r="SKA981" s="342"/>
      <c r="SKB981" s="343"/>
      <c r="SKC981" s="342"/>
      <c r="SKD981" s="343"/>
      <c r="SKE981" s="342"/>
      <c r="SKF981" s="343"/>
      <c r="SKG981" s="342"/>
      <c r="SKH981" s="343"/>
      <c r="SKI981" s="342"/>
      <c r="SKJ981" s="343"/>
      <c r="SKK981" s="342"/>
      <c r="SKL981" s="343"/>
      <c r="SKM981" s="342"/>
      <c r="SKN981" s="343"/>
      <c r="SKO981" s="342"/>
      <c r="SKP981" s="343"/>
      <c r="SKQ981" s="342"/>
      <c r="SKR981" s="343"/>
      <c r="SKS981" s="342"/>
      <c r="SKT981" s="343"/>
      <c r="SKU981" s="342"/>
      <c r="SKV981" s="343"/>
      <c r="SKW981" s="342"/>
      <c r="SKX981" s="343"/>
      <c r="SKY981" s="342"/>
      <c r="SKZ981" s="343"/>
      <c r="SLA981" s="342"/>
      <c r="SLB981" s="343"/>
      <c r="SLC981" s="342"/>
      <c r="SLD981" s="343"/>
      <c r="SLE981" s="342"/>
      <c r="SLF981" s="343"/>
      <c r="SLG981" s="342"/>
      <c r="SLH981" s="343"/>
      <c r="SLI981" s="342"/>
      <c r="SLJ981" s="343"/>
      <c r="SLK981" s="342"/>
      <c r="SLL981" s="343"/>
      <c r="SLM981" s="342"/>
      <c r="SLN981" s="343"/>
      <c r="SLO981" s="342"/>
      <c r="SLP981" s="343"/>
      <c r="SLQ981" s="342"/>
      <c r="SLR981" s="343"/>
      <c r="SLS981" s="342"/>
      <c r="SLT981" s="343"/>
      <c r="SLU981" s="342"/>
      <c r="SLV981" s="343"/>
      <c r="SLW981" s="342"/>
      <c r="SLX981" s="343"/>
      <c r="SLY981" s="342"/>
      <c r="SLZ981" s="343"/>
      <c r="SMA981" s="342"/>
      <c r="SMB981" s="343"/>
      <c r="SMC981" s="342"/>
      <c r="SMD981" s="343"/>
      <c r="SME981" s="342"/>
      <c r="SMF981" s="343"/>
      <c r="SMG981" s="342"/>
      <c r="SMH981" s="343"/>
      <c r="SMI981" s="342"/>
      <c r="SMJ981" s="343"/>
      <c r="SMK981" s="342"/>
      <c r="SML981" s="343"/>
      <c r="SMM981" s="342"/>
      <c r="SMN981" s="343"/>
      <c r="SMO981" s="342"/>
      <c r="SMP981" s="343"/>
      <c r="SMQ981" s="342"/>
      <c r="SMR981" s="343"/>
      <c r="SMS981" s="342"/>
      <c r="SMT981" s="343"/>
      <c r="SMU981" s="342"/>
      <c r="SMV981" s="343"/>
      <c r="SMW981" s="342"/>
      <c r="SMX981" s="343"/>
      <c r="SMY981" s="342"/>
      <c r="SMZ981" s="343"/>
      <c r="SNA981" s="342"/>
      <c r="SNB981" s="343"/>
      <c r="SNC981" s="342"/>
      <c r="SND981" s="343"/>
      <c r="SNE981" s="342"/>
      <c r="SNF981" s="343"/>
      <c r="SNG981" s="342"/>
      <c r="SNH981" s="343"/>
      <c r="SNI981" s="342"/>
      <c r="SNJ981" s="343"/>
      <c r="SNK981" s="342"/>
      <c r="SNL981" s="343"/>
      <c r="SNM981" s="342"/>
      <c r="SNN981" s="343"/>
      <c r="SNO981" s="342"/>
      <c r="SNP981" s="343"/>
      <c r="SNQ981" s="342"/>
      <c r="SNR981" s="343"/>
      <c r="SNS981" s="342"/>
      <c r="SNT981" s="343"/>
      <c r="SNU981" s="342"/>
      <c r="SNV981" s="343"/>
      <c r="SNW981" s="342"/>
      <c r="SNX981" s="343"/>
      <c r="SNY981" s="342"/>
      <c r="SNZ981" s="343"/>
      <c r="SOA981" s="342"/>
      <c r="SOB981" s="343"/>
      <c r="SOC981" s="342"/>
      <c r="SOD981" s="343"/>
      <c r="SOE981" s="342"/>
      <c r="SOF981" s="343"/>
      <c r="SOG981" s="342"/>
      <c r="SOH981" s="343"/>
      <c r="SOI981" s="342"/>
      <c r="SOJ981" s="343"/>
      <c r="SOK981" s="342"/>
      <c r="SOL981" s="343"/>
      <c r="SOM981" s="342"/>
      <c r="SON981" s="343"/>
      <c r="SOO981" s="342"/>
      <c r="SOP981" s="343"/>
      <c r="SOQ981" s="342"/>
      <c r="SOR981" s="343"/>
      <c r="SOS981" s="342"/>
      <c r="SOT981" s="343"/>
      <c r="SOU981" s="342"/>
      <c r="SOV981" s="343"/>
      <c r="SOW981" s="342"/>
      <c r="SOX981" s="343"/>
      <c r="SOY981" s="342"/>
      <c r="SOZ981" s="343"/>
      <c r="SPA981" s="342"/>
      <c r="SPB981" s="343"/>
      <c r="SPC981" s="342"/>
      <c r="SPD981" s="343"/>
      <c r="SPE981" s="342"/>
      <c r="SPF981" s="343"/>
      <c r="SPG981" s="342"/>
      <c r="SPH981" s="343"/>
      <c r="SPI981" s="342"/>
      <c r="SPJ981" s="343"/>
      <c r="SPK981" s="342"/>
      <c r="SPL981" s="343"/>
      <c r="SPM981" s="342"/>
      <c r="SPN981" s="343"/>
      <c r="SPO981" s="342"/>
      <c r="SPP981" s="343"/>
      <c r="SPQ981" s="342"/>
      <c r="SPR981" s="343"/>
      <c r="SPS981" s="342"/>
      <c r="SPT981" s="343"/>
      <c r="SPU981" s="342"/>
      <c r="SPV981" s="343"/>
      <c r="SPW981" s="342"/>
      <c r="SPX981" s="343"/>
      <c r="SPY981" s="342"/>
      <c r="SPZ981" s="343"/>
      <c r="SQA981" s="342"/>
      <c r="SQB981" s="343"/>
      <c r="SQC981" s="342"/>
      <c r="SQD981" s="343"/>
      <c r="SQE981" s="342"/>
      <c r="SQF981" s="343"/>
      <c r="SQG981" s="342"/>
      <c r="SQH981" s="343"/>
      <c r="SQI981" s="342"/>
      <c r="SQJ981" s="343"/>
      <c r="SQK981" s="342"/>
      <c r="SQL981" s="343"/>
      <c r="SQM981" s="342"/>
      <c r="SQN981" s="343"/>
      <c r="SQO981" s="342"/>
      <c r="SQP981" s="343"/>
      <c r="SQQ981" s="342"/>
      <c r="SQR981" s="343"/>
      <c r="SQS981" s="342"/>
      <c r="SQT981" s="343"/>
      <c r="SQU981" s="342"/>
      <c r="SQV981" s="343"/>
      <c r="SQW981" s="342"/>
      <c r="SQX981" s="343"/>
      <c r="SQY981" s="342"/>
      <c r="SQZ981" s="343"/>
      <c r="SRA981" s="342"/>
      <c r="SRB981" s="343"/>
      <c r="SRC981" s="342"/>
      <c r="SRD981" s="343"/>
      <c r="SRE981" s="342"/>
      <c r="SRF981" s="343"/>
      <c r="SRG981" s="342"/>
      <c r="SRH981" s="343"/>
      <c r="SRI981" s="342"/>
      <c r="SRJ981" s="343"/>
      <c r="SRK981" s="342"/>
      <c r="SRL981" s="343"/>
      <c r="SRM981" s="342"/>
      <c r="SRN981" s="343"/>
      <c r="SRO981" s="342"/>
      <c r="SRP981" s="343"/>
      <c r="SRQ981" s="342"/>
      <c r="SRR981" s="343"/>
      <c r="SRS981" s="342"/>
      <c r="SRT981" s="343"/>
      <c r="SRU981" s="342"/>
      <c r="SRV981" s="343"/>
      <c r="SRW981" s="342"/>
      <c r="SRX981" s="343"/>
      <c r="SRY981" s="342"/>
      <c r="SRZ981" s="343"/>
      <c r="SSA981" s="342"/>
      <c r="SSB981" s="343"/>
      <c r="SSC981" s="342"/>
      <c r="SSD981" s="343"/>
      <c r="SSE981" s="342"/>
      <c r="SSF981" s="343"/>
      <c r="SSG981" s="342"/>
      <c r="SSH981" s="343"/>
      <c r="SSI981" s="342"/>
      <c r="SSJ981" s="343"/>
      <c r="SSK981" s="342"/>
      <c r="SSL981" s="343"/>
      <c r="SSM981" s="342"/>
      <c r="SSN981" s="343"/>
      <c r="SSO981" s="342"/>
      <c r="SSP981" s="343"/>
      <c r="SSQ981" s="342"/>
      <c r="SSR981" s="343"/>
      <c r="SSS981" s="342"/>
      <c r="SST981" s="343"/>
      <c r="SSU981" s="342"/>
      <c r="SSV981" s="343"/>
      <c r="SSW981" s="342"/>
      <c r="SSX981" s="343"/>
      <c r="SSY981" s="342"/>
      <c r="SSZ981" s="343"/>
      <c r="STA981" s="342"/>
      <c r="STB981" s="343"/>
      <c r="STC981" s="342"/>
      <c r="STD981" s="343"/>
      <c r="STE981" s="342"/>
      <c r="STF981" s="343"/>
      <c r="STG981" s="342"/>
      <c r="STH981" s="343"/>
      <c r="STI981" s="342"/>
      <c r="STJ981" s="343"/>
      <c r="STK981" s="342"/>
      <c r="STL981" s="343"/>
      <c r="STM981" s="342"/>
      <c r="STN981" s="343"/>
      <c r="STO981" s="342"/>
      <c r="STP981" s="343"/>
      <c r="STQ981" s="342"/>
      <c r="STR981" s="343"/>
      <c r="STS981" s="342"/>
      <c r="STT981" s="343"/>
      <c r="STU981" s="342"/>
      <c r="STV981" s="343"/>
      <c r="STW981" s="342"/>
      <c r="STX981" s="343"/>
      <c r="STY981" s="342"/>
      <c r="STZ981" s="343"/>
      <c r="SUA981" s="342"/>
      <c r="SUB981" s="343"/>
      <c r="SUC981" s="342"/>
      <c r="SUD981" s="343"/>
      <c r="SUE981" s="342"/>
      <c r="SUF981" s="343"/>
      <c r="SUG981" s="342"/>
      <c r="SUH981" s="343"/>
      <c r="SUI981" s="342"/>
      <c r="SUJ981" s="343"/>
      <c r="SUK981" s="342"/>
      <c r="SUL981" s="343"/>
      <c r="SUM981" s="342"/>
      <c r="SUN981" s="343"/>
      <c r="SUO981" s="342"/>
      <c r="SUP981" s="343"/>
      <c r="SUQ981" s="342"/>
      <c r="SUR981" s="343"/>
      <c r="SUS981" s="342"/>
      <c r="SUT981" s="343"/>
      <c r="SUU981" s="342"/>
      <c r="SUV981" s="343"/>
      <c r="SUW981" s="342"/>
      <c r="SUX981" s="343"/>
      <c r="SUY981" s="342"/>
      <c r="SUZ981" s="343"/>
      <c r="SVA981" s="342"/>
      <c r="SVB981" s="343"/>
      <c r="SVC981" s="342"/>
      <c r="SVD981" s="343"/>
      <c r="SVE981" s="342"/>
      <c r="SVF981" s="343"/>
      <c r="SVG981" s="342"/>
      <c r="SVH981" s="343"/>
      <c r="SVI981" s="342"/>
      <c r="SVJ981" s="343"/>
      <c r="SVK981" s="342"/>
      <c r="SVL981" s="343"/>
      <c r="SVM981" s="342"/>
      <c r="SVN981" s="343"/>
      <c r="SVO981" s="342"/>
      <c r="SVP981" s="343"/>
      <c r="SVQ981" s="342"/>
      <c r="SVR981" s="343"/>
      <c r="SVS981" s="342"/>
      <c r="SVT981" s="343"/>
      <c r="SVU981" s="342"/>
      <c r="SVV981" s="343"/>
      <c r="SVW981" s="342"/>
      <c r="SVX981" s="343"/>
      <c r="SVY981" s="342"/>
      <c r="SVZ981" s="343"/>
      <c r="SWA981" s="342"/>
      <c r="SWB981" s="343"/>
      <c r="SWC981" s="342"/>
      <c r="SWD981" s="343"/>
      <c r="SWE981" s="342"/>
      <c r="SWF981" s="343"/>
      <c r="SWG981" s="342"/>
      <c r="SWH981" s="343"/>
      <c r="SWI981" s="342"/>
      <c r="SWJ981" s="343"/>
      <c r="SWK981" s="342"/>
      <c r="SWL981" s="343"/>
      <c r="SWM981" s="342"/>
      <c r="SWN981" s="343"/>
      <c r="SWO981" s="342"/>
      <c r="SWP981" s="343"/>
      <c r="SWQ981" s="342"/>
      <c r="SWR981" s="343"/>
      <c r="SWS981" s="342"/>
      <c r="SWT981" s="343"/>
      <c r="SWU981" s="342"/>
      <c r="SWV981" s="343"/>
      <c r="SWW981" s="342"/>
      <c r="SWX981" s="343"/>
      <c r="SWY981" s="342"/>
      <c r="SWZ981" s="343"/>
      <c r="SXA981" s="342"/>
      <c r="SXB981" s="343"/>
      <c r="SXC981" s="342"/>
      <c r="SXD981" s="343"/>
      <c r="SXE981" s="342"/>
      <c r="SXF981" s="343"/>
      <c r="SXG981" s="342"/>
      <c r="SXH981" s="343"/>
      <c r="SXI981" s="342"/>
      <c r="SXJ981" s="343"/>
      <c r="SXK981" s="342"/>
      <c r="SXL981" s="343"/>
      <c r="SXM981" s="342"/>
      <c r="SXN981" s="343"/>
      <c r="SXO981" s="342"/>
      <c r="SXP981" s="343"/>
      <c r="SXQ981" s="342"/>
      <c r="SXR981" s="343"/>
      <c r="SXS981" s="342"/>
      <c r="SXT981" s="343"/>
      <c r="SXU981" s="342"/>
      <c r="SXV981" s="343"/>
      <c r="SXW981" s="342"/>
      <c r="SXX981" s="343"/>
      <c r="SXY981" s="342"/>
      <c r="SXZ981" s="343"/>
      <c r="SYA981" s="342"/>
      <c r="SYB981" s="343"/>
      <c r="SYC981" s="342"/>
      <c r="SYD981" s="343"/>
      <c r="SYE981" s="342"/>
      <c r="SYF981" s="343"/>
      <c r="SYG981" s="342"/>
      <c r="SYH981" s="343"/>
      <c r="SYI981" s="342"/>
      <c r="SYJ981" s="343"/>
      <c r="SYK981" s="342"/>
      <c r="SYL981" s="343"/>
      <c r="SYM981" s="342"/>
      <c r="SYN981" s="343"/>
      <c r="SYO981" s="342"/>
      <c r="SYP981" s="343"/>
      <c r="SYQ981" s="342"/>
      <c r="SYR981" s="343"/>
      <c r="SYS981" s="342"/>
      <c r="SYT981" s="343"/>
      <c r="SYU981" s="342"/>
      <c r="SYV981" s="343"/>
      <c r="SYW981" s="342"/>
      <c r="SYX981" s="343"/>
      <c r="SYY981" s="342"/>
      <c r="SYZ981" s="343"/>
      <c r="SZA981" s="342"/>
      <c r="SZB981" s="343"/>
      <c r="SZC981" s="342"/>
      <c r="SZD981" s="343"/>
      <c r="SZE981" s="342"/>
      <c r="SZF981" s="343"/>
      <c r="SZG981" s="342"/>
      <c r="SZH981" s="343"/>
      <c r="SZI981" s="342"/>
      <c r="SZJ981" s="343"/>
      <c r="SZK981" s="342"/>
      <c r="SZL981" s="343"/>
      <c r="SZM981" s="342"/>
      <c r="SZN981" s="343"/>
      <c r="SZO981" s="342"/>
      <c r="SZP981" s="343"/>
      <c r="SZQ981" s="342"/>
      <c r="SZR981" s="343"/>
      <c r="SZS981" s="342"/>
      <c r="SZT981" s="343"/>
      <c r="SZU981" s="342"/>
      <c r="SZV981" s="343"/>
      <c r="SZW981" s="342"/>
      <c r="SZX981" s="343"/>
      <c r="SZY981" s="342"/>
      <c r="SZZ981" s="343"/>
      <c r="TAA981" s="342"/>
      <c r="TAB981" s="343"/>
      <c r="TAC981" s="342"/>
      <c r="TAD981" s="343"/>
      <c r="TAE981" s="342"/>
      <c r="TAF981" s="343"/>
      <c r="TAG981" s="342"/>
      <c r="TAH981" s="343"/>
      <c r="TAI981" s="342"/>
      <c r="TAJ981" s="343"/>
      <c r="TAK981" s="342"/>
      <c r="TAL981" s="343"/>
      <c r="TAM981" s="342"/>
      <c r="TAN981" s="343"/>
      <c r="TAO981" s="342"/>
      <c r="TAP981" s="343"/>
      <c r="TAQ981" s="342"/>
      <c r="TAR981" s="343"/>
      <c r="TAS981" s="342"/>
      <c r="TAT981" s="343"/>
      <c r="TAU981" s="342"/>
      <c r="TAV981" s="343"/>
      <c r="TAW981" s="342"/>
      <c r="TAX981" s="343"/>
      <c r="TAY981" s="342"/>
      <c r="TAZ981" s="343"/>
      <c r="TBA981" s="342"/>
      <c r="TBB981" s="343"/>
      <c r="TBC981" s="342"/>
      <c r="TBD981" s="343"/>
      <c r="TBE981" s="342"/>
      <c r="TBF981" s="343"/>
      <c r="TBG981" s="342"/>
      <c r="TBH981" s="343"/>
      <c r="TBI981" s="342"/>
      <c r="TBJ981" s="343"/>
      <c r="TBK981" s="342"/>
      <c r="TBL981" s="343"/>
      <c r="TBM981" s="342"/>
      <c r="TBN981" s="343"/>
      <c r="TBO981" s="342"/>
      <c r="TBP981" s="343"/>
      <c r="TBQ981" s="342"/>
      <c r="TBR981" s="343"/>
      <c r="TBS981" s="342"/>
      <c r="TBT981" s="343"/>
      <c r="TBU981" s="342"/>
      <c r="TBV981" s="343"/>
      <c r="TBW981" s="342"/>
      <c r="TBX981" s="343"/>
      <c r="TBY981" s="342"/>
      <c r="TBZ981" s="343"/>
      <c r="TCA981" s="342"/>
      <c r="TCB981" s="343"/>
      <c r="TCC981" s="342"/>
      <c r="TCD981" s="343"/>
      <c r="TCE981" s="342"/>
      <c r="TCF981" s="343"/>
      <c r="TCG981" s="342"/>
      <c r="TCH981" s="343"/>
      <c r="TCI981" s="342"/>
      <c r="TCJ981" s="343"/>
      <c r="TCK981" s="342"/>
      <c r="TCL981" s="343"/>
      <c r="TCM981" s="342"/>
      <c r="TCN981" s="343"/>
      <c r="TCO981" s="342"/>
      <c r="TCP981" s="343"/>
      <c r="TCQ981" s="342"/>
      <c r="TCR981" s="343"/>
      <c r="TCS981" s="342"/>
      <c r="TCT981" s="343"/>
      <c r="TCU981" s="342"/>
      <c r="TCV981" s="343"/>
      <c r="TCW981" s="342"/>
      <c r="TCX981" s="343"/>
      <c r="TCY981" s="342"/>
      <c r="TCZ981" s="343"/>
      <c r="TDA981" s="342"/>
      <c r="TDB981" s="343"/>
      <c r="TDC981" s="342"/>
      <c r="TDD981" s="343"/>
      <c r="TDE981" s="342"/>
      <c r="TDF981" s="343"/>
      <c r="TDG981" s="342"/>
      <c r="TDH981" s="343"/>
      <c r="TDI981" s="342"/>
      <c r="TDJ981" s="343"/>
      <c r="TDK981" s="342"/>
      <c r="TDL981" s="343"/>
      <c r="TDM981" s="342"/>
      <c r="TDN981" s="343"/>
      <c r="TDO981" s="342"/>
      <c r="TDP981" s="343"/>
      <c r="TDQ981" s="342"/>
      <c r="TDR981" s="343"/>
      <c r="TDS981" s="342"/>
      <c r="TDT981" s="343"/>
      <c r="TDU981" s="342"/>
      <c r="TDV981" s="343"/>
      <c r="TDW981" s="342"/>
      <c r="TDX981" s="343"/>
      <c r="TDY981" s="342"/>
      <c r="TDZ981" s="343"/>
      <c r="TEA981" s="342"/>
      <c r="TEB981" s="343"/>
      <c r="TEC981" s="342"/>
      <c r="TED981" s="343"/>
      <c r="TEE981" s="342"/>
      <c r="TEF981" s="343"/>
      <c r="TEG981" s="342"/>
      <c r="TEH981" s="343"/>
      <c r="TEI981" s="342"/>
      <c r="TEJ981" s="343"/>
      <c r="TEK981" s="342"/>
      <c r="TEL981" s="343"/>
      <c r="TEM981" s="342"/>
      <c r="TEN981" s="343"/>
      <c r="TEO981" s="342"/>
      <c r="TEP981" s="343"/>
      <c r="TEQ981" s="342"/>
      <c r="TER981" s="343"/>
      <c r="TES981" s="342"/>
      <c r="TET981" s="343"/>
      <c r="TEU981" s="342"/>
      <c r="TEV981" s="343"/>
      <c r="TEW981" s="342"/>
      <c r="TEX981" s="343"/>
      <c r="TEY981" s="342"/>
      <c r="TEZ981" s="343"/>
      <c r="TFA981" s="342"/>
      <c r="TFB981" s="343"/>
      <c r="TFC981" s="342"/>
      <c r="TFD981" s="343"/>
      <c r="TFE981" s="342"/>
      <c r="TFF981" s="343"/>
      <c r="TFG981" s="342"/>
      <c r="TFH981" s="343"/>
      <c r="TFI981" s="342"/>
      <c r="TFJ981" s="343"/>
      <c r="TFK981" s="342"/>
      <c r="TFL981" s="343"/>
      <c r="TFM981" s="342"/>
      <c r="TFN981" s="343"/>
      <c r="TFO981" s="342"/>
      <c r="TFP981" s="343"/>
      <c r="TFQ981" s="342"/>
      <c r="TFR981" s="343"/>
      <c r="TFS981" s="342"/>
      <c r="TFT981" s="343"/>
      <c r="TFU981" s="342"/>
      <c r="TFV981" s="343"/>
      <c r="TFW981" s="342"/>
      <c r="TFX981" s="343"/>
      <c r="TFY981" s="342"/>
      <c r="TFZ981" s="343"/>
      <c r="TGA981" s="342"/>
      <c r="TGB981" s="343"/>
      <c r="TGC981" s="342"/>
      <c r="TGD981" s="343"/>
      <c r="TGE981" s="342"/>
      <c r="TGF981" s="343"/>
      <c r="TGG981" s="342"/>
      <c r="TGH981" s="343"/>
      <c r="TGI981" s="342"/>
      <c r="TGJ981" s="343"/>
      <c r="TGK981" s="342"/>
      <c r="TGL981" s="343"/>
      <c r="TGM981" s="342"/>
      <c r="TGN981" s="343"/>
      <c r="TGO981" s="342"/>
      <c r="TGP981" s="343"/>
      <c r="TGQ981" s="342"/>
      <c r="TGR981" s="343"/>
      <c r="TGS981" s="342"/>
      <c r="TGT981" s="343"/>
      <c r="TGU981" s="342"/>
      <c r="TGV981" s="343"/>
      <c r="TGW981" s="342"/>
      <c r="TGX981" s="343"/>
      <c r="TGY981" s="342"/>
      <c r="TGZ981" s="343"/>
      <c r="THA981" s="342"/>
      <c r="THB981" s="343"/>
      <c r="THC981" s="342"/>
      <c r="THD981" s="343"/>
      <c r="THE981" s="342"/>
      <c r="THF981" s="343"/>
      <c r="THG981" s="342"/>
      <c r="THH981" s="343"/>
      <c r="THI981" s="342"/>
      <c r="THJ981" s="343"/>
      <c r="THK981" s="342"/>
      <c r="THL981" s="343"/>
      <c r="THM981" s="342"/>
      <c r="THN981" s="343"/>
      <c r="THO981" s="342"/>
      <c r="THP981" s="343"/>
      <c r="THQ981" s="342"/>
      <c r="THR981" s="343"/>
      <c r="THS981" s="342"/>
      <c r="THT981" s="343"/>
      <c r="THU981" s="342"/>
      <c r="THV981" s="343"/>
      <c r="THW981" s="342"/>
      <c r="THX981" s="343"/>
      <c r="THY981" s="342"/>
      <c r="THZ981" s="343"/>
      <c r="TIA981" s="342"/>
      <c r="TIB981" s="343"/>
      <c r="TIC981" s="342"/>
      <c r="TID981" s="343"/>
      <c r="TIE981" s="342"/>
      <c r="TIF981" s="343"/>
      <c r="TIG981" s="342"/>
      <c r="TIH981" s="343"/>
      <c r="TII981" s="342"/>
      <c r="TIJ981" s="343"/>
      <c r="TIK981" s="342"/>
      <c r="TIL981" s="343"/>
      <c r="TIM981" s="342"/>
      <c r="TIN981" s="343"/>
      <c r="TIO981" s="342"/>
      <c r="TIP981" s="343"/>
      <c r="TIQ981" s="342"/>
      <c r="TIR981" s="343"/>
      <c r="TIS981" s="342"/>
      <c r="TIT981" s="343"/>
      <c r="TIU981" s="342"/>
      <c r="TIV981" s="343"/>
      <c r="TIW981" s="342"/>
      <c r="TIX981" s="343"/>
      <c r="TIY981" s="342"/>
      <c r="TIZ981" s="343"/>
      <c r="TJA981" s="342"/>
      <c r="TJB981" s="343"/>
      <c r="TJC981" s="342"/>
      <c r="TJD981" s="343"/>
      <c r="TJE981" s="342"/>
      <c r="TJF981" s="343"/>
      <c r="TJG981" s="342"/>
      <c r="TJH981" s="343"/>
      <c r="TJI981" s="342"/>
      <c r="TJJ981" s="343"/>
      <c r="TJK981" s="342"/>
      <c r="TJL981" s="343"/>
      <c r="TJM981" s="342"/>
      <c r="TJN981" s="343"/>
      <c r="TJO981" s="342"/>
      <c r="TJP981" s="343"/>
      <c r="TJQ981" s="342"/>
      <c r="TJR981" s="343"/>
      <c r="TJS981" s="342"/>
      <c r="TJT981" s="343"/>
      <c r="TJU981" s="342"/>
      <c r="TJV981" s="343"/>
      <c r="TJW981" s="342"/>
      <c r="TJX981" s="343"/>
      <c r="TJY981" s="342"/>
      <c r="TJZ981" s="343"/>
      <c r="TKA981" s="342"/>
      <c r="TKB981" s="343"/>
      <c r="TKC981" s="342"/>
      <c r="TKD981" s="343"/>
      <c r="TKE981" s="342"/>
      <c r="TKF981" s="343"/>
      <c r="TKG981" s="342"/>
      <c r="TKH981" s="343"/>
      <c r="TKI981" s="342"/>
      <c r="TKJ981" s="343"/>
      <c r="TKK981" s="342"/>
      <c r="TKL981" s="343"/>
      <c r="TKM981" s="342"/>
      <c r="TKN981" s="343"/>
      <c r="TKO981" s="342"/>
      <c r="TKP981" s="343"/>
      <c r="TKQ981" s="342"/>
      <c r="TKR981" s="343"/>
      <c r="TKS981" s="342"/>
      <c r="TKT981" s="343"/>
      <c r="TKU981" s="342"/>
      <c r="TKV981" s="343"/>
      <c r="TKW981" s="342"/>
      <c r="TKX981" s="343"/>
      <c r="TKY981" s="342"/>
      <c r="TKZ981" s="343"/>
      <c r="TLA981" s="342"/>
      <c r="TLB981" s="343"/>
      <c r="TLC981" s="342"/>
      <c r="TLD981" s="343"/>
      <c r="TLE981" s="342"/>
      <c r="TLF981" s="343"/>
      <c r="TLG981" s="342"/>
      <c r="TLH981" s="343"/>
      <c r="TLI981" s="342"/>
      <c r="TLJ981" s="343"/>
      <c r="TLK981" s="342"/>
      <c r="TLL981" s="343"/>
      <c r="TLM981" s="342"/>
      <c r="TLN981" s="343"/>
      <c r="TLO981" s="342"/>
      <c r="TLP981" s="343"/>
      <c r="TLQ981" s="342"/>
      <c r="TLR981" s="343"/>
      <c r="TLS981" s="342"/>
      <c r="TLT981" s="343"/>
      <c r="TLU981" s="342"/>
      <c r="TLV981" s="343"/>
      <c r="TLW981" s="342"/>
      <c r="TLX981" s="343"/>
      <c r="TLY981" s="342"/>
      <c r="TLZ981" s="343"/>
      <c r="TMA981" s="342"/>
      <c r="TMB981" s="343"/>
      <c r="TMC981" s="342"/>
      <c r="TMD981" s="343"/>
      <c r="TME981" s="342"/>
      <c r="TMF981" s="343"/>
      <c r="TMG981" s="342"/>
      <c r="TMH981" s="343"/>
      <c r="TMI981" s="342"/>
      <c r="TMJ981" s="343"/>
      <c r="TMK981" s="342"/>
      <c r="TML981" s="343"/>
      <c r="TMM981" s="342"/>
      <c r="TMN981" s="343"/>
      <c r="TMO981" s="342"/>
      <c r="TMP981" s="343"/>
      <c r="TMQ981" s="342"/>
      <c r="TMR981" s="343"/>
      <c r="TMS981" s="342"/>
      <c r="TMT981" s="343"/>
      <c r="TMU981" s="342"/>
      <c r="TMV981" s="343"/>
      <c r="TMW981" s="342"/>
      <c r="TMX981" s="343"/>
      <c r="TMY981" s="342"/>
      <c r="TMZ981" s="343"/>
      <c r="TNA981" s="342"/>
      <c r="TNB981" s="343"/>
      <c r="TNC981" s="342"/>
      <c r="TND981" s="343"/>
      <c r="TNE981" s="342"/>
      <c r="TNF981" s="343"/>
      <c r="TNG981" s="342"/>
      <c r="TNH981" s="343"/>
      <c r="TNI981" s="342"/>
      <c r="TNJ981" s="343"/>
      <c r="TNK981" s="342"/>
      <c r="TNL981" s="343"/>
      <c r="TNM981" s="342"/>
      <c r="TNN981" s="343"/>
      <c r="TNO981" s="342"/>
      <c r="TNP981" s="343"/>
      <c r="TNQ981" s="342"/>
      <c r="TNR981" s="343"/>
      <c r="TNS981" s="342"/>
      <c r="TNT981" s="343"/>
      <c r="TNU981" s="342"/>
      <c r="TNV981" s="343"/>
      <c r="TNW981" s="342"/>
      <c r="TNX981" s="343"/>
      <c r="TNY981" s="342"/>
      <c r="TNZ981" s="343"/>
      <c r="TOA981" s="342"/>
      <c r="TOB981" s="343"/>
      <c r="TOC981" s="342"/>
      <c r="TOD981" s="343"/>
      <c r="TOE981" s="342"/>
      <c r="TOF981" s="343"/>
      <c r="TOG981" s="342"/>
      <c r="TOH981" s="343"/>
      <c r="TOI981" s="342"/>
      <c r="TOJ981" s="343"/>
      <c r="TOK981" s="342"/>
      <c r="TOL981" s="343"/>
      <c r="TOM981" s="342"/>
      <c r="TON981" s="343"/>
      <c r="TOO981" s="342"/>
      <c r="TOP981" s="343"/>
      <c r="TOQ981" s="342"/>
      <c r="TOR981" s="343"/>
      <c r="TOS981" s="342"/>
      <c r="TOT981" s="343"/>
      <c r="TOU981" s="342"/>
      <c r="TOV981" s="343"/>
      <c r="TOW981" s="342"/>
      <c r="TOX981" s="343"/>
      <c r="TOY981" s="342"/>
      <c r="TOZ981" s="343"/>
      <c r="TPA981" s="342"/>
      <c r="TPB981" s="343"/>
      <c r="TPC981" s="342"/>
      <c r="TPD981" s="343"/>
      <c r="TPE981" s="342"/>
      <c r="TPF981" s="343"/>
      <c r="TPG981" s="342"/>
      <c r="TPH981" s="343"/>
      <c r="TPI981" s="342"/>
      <c r="TPJ981" s="343"/>
      <c r="TPK981" s="342"/>
      <c r="TPL981" s="343"/>
      <c r="TPM981" s="342"/>
      <c r="TPN981" s="343"/>
      <c r="TPO981" s="342"/>
      <c r="TPP981" s="343"/>
      <c r="TPQ981" s="342"/>
      <c r="TPR981" s="343"/>
      <c r="TPS981" s="342"/>
      <c r="TPT981" s="343"/>
      <c r="TPU981" s="342"/>
      <c r="TPV981" s="343"/>
      <c r="TPW981" s="342"/>
      <c r="TPX981" s="343"/>
      <c r="TPY981" s="342"/>
      <c r="TPZ981" s="343"/>
      <c r="TQA981" s="342"/>
      <c r="TQB981" s="343"/>
      <c r="TQC981" s="342"/>
      <c r="TQD981" s="343"/>
      <c r="TQE981" s="342"/>
      <c r="TQF981" s="343"/>
      <c r="TQG981" s="342"/>
      <c r="TQH981" s="343"/>
      <c r="TQI981" s="342"/>
      <c r="TQJ981" s="343"/>
      <c r="TQK981" s="342"/>
      <c r="TQL981" s="343"/>
      <c r="TQM981" s="342"/>
      <c r="TQN981" s="343"/>
      <c r="TQO981" s="342"/>
      <c r="TQP981" s="343"/>
      <c r="TQQ981" s="342"/>
      <c r="TQR981" s="343"/>
      <c r="TQS981" s="342"/>
      <c r="TQT981" s="343"/>
      <c r="TQU981" s="342"/>
      <c r="TQV981" s="343"/>
      <c r="TQW981" s="342"/>
      <c r="TQX981" s="343"/>
      <c r="TQY981" s="342"/>
      <c r="TQZ981" s="343"/>
      <c r="TRA981" s="342"/>
      <c r="TRB981" s="343"/>
      <c r="TRC981" s="342"/>
      <c r="TRD981" s="343"/>
      <c r="TRE981" s="342"/>
      <c r="TRF981" s="343"/>
      <c r="TRG981" s="342"/>
      <c r="TRH981" s="343"/>
      <c r="TRI981" s="342"/>
      <c r="TRJ981" s="343"/>
      <c r="TRK981" s="342"/>
      <c r="TRL981" s="343"/>
      <c r="TRM981" s="342"/>
      <c r="TRN981" s="343"/>
      <c r="TRO981" s="342"/>
      <c r="TRP981" s="343"/>
      <c r="TRQ981" s="342"/>
      <c r="TRR981" s="343"/>
      <c r="TRS981" s="342"/>
      <c r="TRT981" s="343"/>
      <c r="TRU981" s="342"/>
      <c r="TRV981" s="343"/>
      <c r="TRW981" s="342"/>
      <c r="TRX981" s="343"/>
      <c r="TRY981" s="342"/>
      <c r="TRZ981" s="343"/>
      <c r="TSA981" s="342"/>
      <c r="TSB981" s="343"/>
      <c r="TSC981" s="342"/>
      <c r="TSD981" s="343"/>
      <c r="TSE981" s="342"/>
      <c r="TSF981" s="343"/>
      <c r="TSG981" s="342"/>
      <c r="TSH981" s="343"/>
      <c r="TSI981" s="342"/>
      <c r="TSJ981" s="343"/>
      <c r="TSK981" s="342"/>
      <c r="TSL981" s="343"/>
      <c r="TSM981" s="342"/>
      <c r="TSN981" s="343"/>
      <c r="TSO981" s="342"/>
      <c r="TSP981" s="343"/>
      <c r="TSQ981" s="342"/>
      <c r="TSR981" s="343"/>
      <c r="TSS981" s="342"/>
      <c r="TST981" s="343"/>
      <c r="TSU981" s="342"/>
      <c r="TSV981" s="343"/>
      <c r="TSW981" s="342"/>
      <c r="TSX981" s="343"/>
      <c r="TSY981" s="342"/>
      <c r="TSZ981" s="343"/>
      <c r="TTA981" s="342"/>
      <c r="TTB981" s="343"/>
      <c r="TTC981" s="342"/>
      <c r="TTD981" s="343"/>
      <c r="TTE981" s="342"/>
      <c r="TTF981" s="343"/>
      <c r="TTG981" s="342"/>
      <c r="TTH981" s="343"/>
      <c r="TTI981" s="342"/>
      <c r="TTJ981" s="343"/>
      <c r="TTK981" s="342"/>
      <c r="TTL981" s="343"/>
      <c r="TTM981" s="342"/>
      <c r="TTN981" s="343"/>
      <c r="TTO981" s="342"/>
      <c r="TTP981" s="343"/>
      <c r="TTQ981" s="342"/>
      <c r="TTR981" s="343"/>
      <c r="TTS981" s="342"/>
      <c r="TTT981" s="343"/>
      <c r="TTU981" s="342"/>
      <c r="TTV981" s="343"/>
      <c r="TTW981" s="342"/>
      <c r="TTX981" s="343"/>
      <c r="TTY981" s="342"/>
      <c r="TTZ981" s="343"/>
      <c r="TUA981" s="342"/>
      <c r="TUB981" s="343"/>
      <c r="TUC981" s="342"/>
      <c r="TUD981" s="343"/>
      <c r="TUE981" s="342"/>
      <c r="TUF981" s="343"/>
      <c r="TUG981" s="342"/>
      <c r="TUH981" s="343"/>
      <c r="TUI981" s="342"/>
      <c r="TUJ981" s="343"/>
      <c r="TUK981" s="342"/>
      <c r="TUL981" s="343"/>
      <c r="TUM981" s="342"/>
      <c r="TUN981" s="343"/>
      <c r="TUO981" s="342"/>
      <c r="TUP981" s="343"/>
      <c r="TUQ981" s="342"/>
      <c r="TUR981" s="343"/>
      <c r="TUS981" s="342"/>
      <c r="TUT981" s="343"/>
      <c r="TUU981" s="342"/>
      <c r="TUV981" s="343"/>
      <c r="TUW981" s="342"/>
      <c r="TUX981" s="343"/>
      <c r="TUY981" s="342"/>
      <c r="TUZ981" s="343"/>
      <c r="TVA981" s="342"/>
      <c r="TVB981" s="343"/>
      <c r="TVC981" s="342"/>
      <c r="TVD981" s="343"/>
      <c r="TVE981" s="342"/>
      <c r="TVF981" s="343"/>
      <c r="TVG981" s="342"/>
      <c r="TVH981" s="343"/>
      <c r="TVI981" s="342"/>
      <c r="TVJ981" s="343"/>
      <c r="TVK981" s="342"/>
      <c r="TVL981" s="343"/>
      <c r="TVM981" s="342"/>
      <c r="TVN981" s="343"/>
      <c r="TVO981" s="342"/>
      <c r="TVP981" s="343"/>
      <c r="TVQ981" s="342"/>
      <c r="TVR981" s="343"/>
      <c r="TVS981" s="342"/>
      <c r="TVT981" s="343"/>
      <c r="TVU981" s="342"/>
      <c r="TVV981" s="343"/>
      <c r="TVW981" s="342"/>
      <c r="TVX981" s="343"/>
      <c r="TVY981" s="342"/>
      <c r="TVZ981" s="343"/>
      <c r="TWA981" s="342"/>
      <c r="TWB981" s="343"/>
      <c r="TWC981" s="342"/>
      <c r="TWD981" s="343"/>
      <c r="TWE981" s="342"/>
      <c r="TWF981" s="343"/>
      <c r="TWG981" s="342"/>
      <c r="TWH981" s="343"/>
      <c r="TWI981" s="342"/>
      <c r="TWJ981" s="343"/>
      <c r="TWK981" s="342"/>
      <c r="TWL981" s="343"/>
      <c r="TWM981" s="342"/>
      <c r="TWN981" s="343"/>
      <c r="TWO981" s="342"/>
      <c r="TWP981" s="343"/>
      <c r="TWQ981" s="342"/>
      <c r="TWR981" s="343"/>
      <c r="TWS981" s="342"/>
      <c r="TWT981" s="343"/>
      <c r="TWU981" s="342"/>
      <c r="TWV981" s="343"/>
      <c r="TWW981" s="342"/>
      <c r="TWX981" s="343"/>
      <c r="TWY981" s="342"/>
      <c r="TWZ981" s="343"/>
      <c r="TXA981" s="342"/>
      <c r="TXB981" s="343"/>
      <c r="TXC981" s="342"/>
      <c r="TXD981" s="343"/>
      <c r="TXE981" s="342"/>
      <c r="TXF981" s="343"/>
      <c r="TXG981" s="342"/>
      <c r="TXH981" s="343"/>
      <c r="TXI981" s="342"/>
      <c r="TXJ981" s="343"/>
      <c r="TXK981" s="342"/>
      <c r="TXL981" s="343"/>
      <c r="TXM981" s="342"/>
      <c r="TXN981" s="343"/>
      <c r="TXO981" s="342"/>
      <c r="TXP981" s="343"/>
      <c r="TXQ981" s="342"/>
      <c r="TXR981" s="343"/>
      <c r="TXS981" s="342"/>
      <c r="TXT981" s="343"/>
      <c r="TXU981" s="342"/>
      <c r="TXV981" s="343"/>
      <c r="TXW981" s="342"/>
      <c r="TXX981" s="343"/>
      <c r="TXY981" s="342"/>
      <c r="TXZ981" s="343"/>
      <c r="TYA981" s="342"/>
      <c r="TYB981" s="343"/>
      <c r="TYC981" s="342"/>
      <c r="TYD981" s="343"/>
      <c r="TYE981" s="342"/>
      <c r="TYF981" s="343"/>
      <c r="TYG981" s="342"/>
      <c r="TYH981" s="343"/>
      <c r="TYI981" s="342"/>
      <c r="TYJ981" s="343"/>
      <c r="TYK981" s="342"/>
      <c r="TYL981" s="343"/>
      <c r="TYM981" s="342"/>
      <c r="TYN981" s="343"/>
      <c r="TYO981" s="342"/>
      <c r="TYP981" s="343"/>
      <c r="TYQ981" s="342"/>
      <c r="TYR981" s="343"/>
      <c r="TYS981" s="342"/>
      <c r="TYT981" s="343"/>
      <c r="TYU981" s="342"/>
      <c r="TYV981" s="343"/>
      <c r="TYW981" s="342"/>
      <c r="TYX981" s="343"/>
      <c r="TYY981" s="342"/>
      <c r="TYZ981" s="343"/>
      <c r="TZA981" s="342"/>
      <c r="TZB981" s="343"/>
      <c r="TZC981" s="342"/>
      <c r="TZD981" s="343"/>
      <c r="TZE981" s="342"/>
      <c r="TZF981" s="343"/>
      <c r="TZG981" s="342"/>
      <c r="TZH981" s="343"/>
      <c r="TZI981" s="342"/>
      <c r="TZJ981" s="343"/>
      <c r="TZK981" s="342"/>
      <c r="TZL981" s="343"/>
      <c r="TZM981" s="342"/>
      <c r="TZN981" s="343"/>
      <c r="TZO981" s="342"/>
      <c r="TZP981" s="343"/>
      <c r="TZQ981" s="342"/>
      <c r="TZR981" s="343"/>
      <c r="TZS981" s="342"/>
      <c r="TZT981" s="343"/>
      <c r="TZU981" s="342"/>
      <c r="TZV981" s="343"/>
      <c r="TZW981" s="342"/>
      <c r="TZX981" s="343"/>
      <c r="TZY981" s="342"/>
      <c r="TZZ981" s="343"/>
      <c r="UAA981" s="342"/>
      <c r="UAB981" s="343"/>
      <c r="UAC981" s="342"/>
      <c r="UAD981" s="343"/>
      <c r="UAE981" s="342"/>
      <c r="UAF981" s="343"/>
      <c r="UAG981" s="342"/>
      <c r="UAH981" s="343"/>
      <c r="UAI981" s="342"/>
      <c r="UAJ981" s="343"/>
      <c r="UAK981" s="342"/>
      <c r="UAL981" s="343"/>
      <c r="UAM981" s="342"/>
      <c r="UAN981" s="343"/>
      <c r="UAO981" s="342"/>
      <c r="UAP981" s="343"/>
      <c r="UAQ981" s="342"/>
      <c r="UAR981" s="343"/>
      <c r="UAS981" s="342"/>
      <c r="UAT981" s="343"/>
      <c r="UAU981" s="342"/>
      <c r="UAV981" s="343"/>
      <c r="UAW981" s="342"/>
      <c r="UAX981" s="343"/>
      <c r="UAY981" s="342"/>
      <c r="UAZ981" s="343"/>
      <c r="UBA981" s="342"/>
      <c r="UBB981" s="343"/>
      <c r="UBC981" s="342"/>
      <c r="UBD981" s="343"/>
      <c r="UBE981" s="342"/>
      <c r="UBF981" s="343"/>
      <c r="UBG981" s="342"/>
      <c r="UBH981" s="343"/>
      <c r="UBI981" s="342"/>
      <c r="UBJ981" s="343"/>
      <c r="UBK981" s="342"/>
      <c r="UBL981" s="343"/>
      <c r="UBM981" s="342"/>
      <c r="UBN981" s="343"/>
      <c r="UBO981" s="342"/>
      <c r="UBP981" s="343"/>
      <c r="UBQ981" s="342"/>
      <c r="UBR981" s="343"/>
      <c r="UBS981" s="342"/>
      <c r="UBT981" s="343"/>
      <c r="UBU981" s="342"/>
      <c r="UBV981" s="343"/>
      <c r="UBW981" s="342"/>
      <c r="UBX981" s="343"/>
      <c r="UBY981" s="342"/>
      <c r="UBZ981" s="343"/>
      <c r="UCA981" s="342"/>
      <c r="UCB981" s="343"/>
      <c r="UCC981" s="342"/>
      <c r="UCD981" s="343"/>
      <c r="UCE981" s="342"/>
      <c r="UCF981" s="343"/>
      <c r="UCG981" s="342"/>
      <c r="UCH981" s="343"/>
      <c r="UCI981" s="342"/>
      <c r="UCJ981" s="343"/>
      <c r="UCK981" s="342"/>
      <c r="UCL981" s="343"/>
      <c r="UCM981" s="342"/>
      <c r="UCN981" s="343"/>
      <c r="UCO981" s="342"/>
      <c r="UCP981" s="343"/>
      <c r="UCQ981" s="342"/>
      <c r="UCR981" s="343"/>
      <c r="UCS981" s="342"/>
      <c r="UCT981" s="343"/>
      <c r="UCU981" s="342"/>
      <c r="UCV981" s="343"/>
      <c r="UCW981" s="342"/>
      <c r="UCX981" s="343"/>
      <c r="UCY981" s="342"/>
      <c r="UCZ981" s="343"/>
      <c r="UDA981" s="342"/>
      <c r="UDB981" s="343"/>
      <c r="UDC981" s="342"/>
      <c r="UDD981" s="343"/>
      <c r="UDE981" s="342"/>
      <c r="UDF981" s="343"/>
      <c r="UDG981" s="342"/>
      <c r="UDH981" s="343"/>
      <c r="UDI981" s="342"/>
      <c r="UDJ981" s="343"/>
      <c r="UDK981" s="342"/>
      <c r="UDL981" s="343"/>
      <c r="UDM981" s="342"/>
      <c r="UDN981" s="343"/>
      <c r="UDO981" s="342"/>
      <c r="UDP981" s="343"/>
      <c r="UDQ981" s="342"/>
      <c r="UDR981" s="343"/>
      <c r="UDS981" s="342"/>
      <c r="UDT981" s="343"/>
      <c r="UDU981" s="342"/>
      <c r="UDV981" s="343"/>
      <c r="UDW981" s="342"/>
      <c r="UDX981" s="343"/>
      <c r="UDY981" s="342"/>
      <c r="UDZ981" s="343"/>
      <c r="UEA981" s="342"/>
      <c r="UEB981" s="343"/>
      <c r="UEC981" s="342"/>
      <c r="UED981" s="343"/>
      <c r="UEE981" s="342"/>
      <c r="UEF981" s="343"/>
      <c r="UEG981" s="342"/>
      <c r="UEH981" s="343"/>
      <c r="UEI981" s="342"/>
      <c r="UEJ981" s="343"/>
      <c r="UEK981" s="342"/>
      <c r="UEL981" s="343"/>
      <c r="UEM981" s="342"/>
      <c r="UEN981" s="343"/>
      <c r="UEO981" s="342"/>
      <c r="UEP981" s="343"/>
      <c r="UEQ981" s="342"/>
      <c r="UER981" s="343"/>
      <c r="UES981" s="342"/>
      <c r="UET981" s="343"/>
      <c r="UEU981" s="342"/>
      <c r="UEV981" s="343"/>
      <c r="UEW981" s="342"/>
      <c r="UEX981" s="343"/>
      <c r="UEY981" s="342"/>
      <c r="UEZ981" s="343"/>
      <c r="UFA981" s="342"/>
      <c r="UFB981" s="343"/>
      <c r="UFC981" s="342"/>
      <c r="UFD981" s="343"/>
      <c r="UFE981" s="342"/>
      <c r="UFF981" s="343"/>
      <c r="UFG981" s="342"/>
      <c r="UFH981" s="343"/>
      <c r="UFI981" s="342"/>
      <c r="UFJ981" s="343"/>
      <c r="UFK981" s="342"/>
      <c r="UFL981" s="343"/>
      <c r="UFM981" s="342"/>
      <c r="UFN981" s="343"/>
      <c r="UFO981" s="342"/>
      <c r="UFP981" s="343"/>
      <c r="UFQ981" s="342"/>
      <c r="UFR981" s="343"/>
      <c r="UFS981" s="342"/>
      <c r="UFT981" s="343"/>
      <c r="UFU981" s="342"/>
      <c r="UFV981" s="343"/>
      <c r="UFW981" s="342"/>
      <c r="UFX981" s="343"/>
      <c r="UFY981" s="342"/>
      <c r="UFZ981" s="343"/>
      <c r="UGA981" s="342"/>
      <c r="UGB981" s="343"/>
      <c r="UGC981" s="342"/>
      <c r="UGD981" s="343"/>
      <c r="UGE981" s="342"/>
      <c r="UGF981" s="343"/>
      <c r="UGG981" s="342"/>
      <c r="UGH981" s="343"/>
      <c r="UGI981" s="342"/>
      <c r="UGJ981" s="343"/>
      <c r="UGK981" s="342"/>
      <c r="UGL981" s="343"/>
      <c r="UGM981" s="342"/>
      <c r="UGN981" s="343"/>
      <c r="UGO981" s="342"/>
      <c r="UGP981" s="343"/>
      <c r="UGQ981" s="342"/>
      <c r="UGR981" s="343"/>
      <c r="UGS981" s="342"/>
      <c r="UGT981" s="343"/>
      <c r="UGU981" s="342"/>
      <c r="UGV981" s="343"/>
      <c r="UGW981" s="342"/>
      <c r="UGX981" s="343"/>
      <c r="UGY981" s="342"/>
      <c r="UGZ981" s="343"/>
      <c r="UHA981" s="342"/>
      <c r="UHB981" s="343"/>
      <c r="UHC981" s="342"/>
      <c r="UHD981" s="343"/>
      <c r="UHE981" s="342"/>
      <c r="UHF981" s="343"/>
      <c r="UHG981" s="342"/>
      <c r="UHH981" s="343"/>
      <c r="UHI981" s="342"/>
      <c r="UHJ981" s="343"/>
      <c r="UHK981" s="342"/>
      <c r="UHL981" s="343"/>
      <c r="UHM981" s="342"/>
      <c r="UHN981" s="343"/>
      <c r="UHO981" s="342"/>
      <c r="UHP981" s="343"/>
      <c r="UHQ981" s="342"/>
      <c r="UHR981" s="343"/>
      <c r="UHS981" s="342"/>
      <c r="UHT981" s="343"/>
      <c r="UHU981" s="342"/>
      <c r="UHV981" s="343"/>
      <c r="UHW981" s="342"/>
      <c r="UHX981" s="343"/>
      <c r="UHY981" s="342"/>
      <c r="UHZ981" s="343"/>
      <c r="UIA981" s="342"/>
      <c r="UIB981" s="343"/>
      <c r="UIC981" s="342"/>
      <c r="UID981" s="343"/>
      <c r="UIE981" s="342"/>
      <c r="UIF981" s="343"/>
      <c r="UIG981" s="342"/>
      <c r="UIH981" s="343"/>
      <c r="UII981" s="342"/>
      <c r="UIJ981" s="343"/>
      <c r="UIK981" s="342"/>
      <c r="UIL981" s="343"/>
      <c r="UIM981" s="342"/>
      <c r="UIN981" s="343"/>
      <c r="UIO981" s="342"/>
      <c r="UIP981" s="343"/>
      <c r="UIQ981" s="342"/>
      <c r="UIR981" s="343"/>
      <c r="UIS981" s="342"/>
      <c r="UIT981" s="343"/>
      <c r="UIU981" s="342"/>
      <c r="UIV981" s="343"/>
      <c r="UIW981" s="342"/>
      <c r="UIX981" s="343"/>
      <c r="UIY981" s="342"/>
      <c r="UIZ981" s="343"/>
      <c r="UJA981" s="342"/>
      <c r="UJB981" s="343"/>
      <c r="UJC981" s="342"/>
      <c r="UJD981" s="343"/>
      <c r="UJE981" s="342"/>
      <c r="UJF981" s="343"/>
      <c r="UJG981" s="342"/>
      <c r="UJH981" s="343"/>
      <c r="UJI981" s="342"/>
      <c r="UJJ981" s="343"/>
      <c r="UJK981" s="342"/>
      <c r="UJL981" s="343"/>
      <c r="UJM981" s="342"/>
      <c r="UJN981" s="343"/>
      <c r="UJO981" s="342"/>
      <c r="UJP981" s="343"/>
      <c r="UJQ981" s="342"/>
      <c r="UJR981" s="343"/>
      <c r="UJS981" s="342"/>
      <c r="UJT981" s="343"/>
      <c r="UJU981" s="342"/>
      <c r="UJV981" s="343"/>
      <c r="UJW981" s="342"/>
      <c r="UJX981" s="343"/>
      <c r="UJY981" s="342"/>
      <c r="UJZ981" s="343"/>
      <c r="UKA981" s="342"/>
      <c r="UKB981" s="343"/>
      <c r="UKC981" s="342"/>
      <c r="UKD981" s="343"/>
      <c r="UKE981" s="342"/>
      <c r="UKF981" s="343"/>
      <c r="UKG981" s="342"/>
      <c r="UKH981" s="343"/>
      <c r="UKI981" s="342"/>
      <c r="UKJ981" s="343"/>
      <c r="UKK981" s="342"/>
      <c r="UKL981" s="343"/>
      <c r="UKM981" s="342"/>
      <c r="UKN981" s="343"/>
      <c r="UKO981" s="342"/>
      <c r="UKP981" s="343"/>
      <c r="UKQ981" s="342"/>
      <c r="UKR981" s="343"/>
      <c r="UKS981" s="342"/>
      <c r="UKT981" s="343"/>
      <c r="UKU981" s="342"/>
      <c r="UKV981" s="343"/>
      <c r="UKW981" s="342"/>
      <c r="UKX981" s="343"/>
      <c r="UKY981" s="342"/>
      <c r="UKZ981" s="343"/>
      <c r="ULA981" s="342"/>
      <c r="ULB981" s="343"/>
      <c r="ULC981" s="342"/>
      <c r="ULD981" s="343"/>
      <c r="ULE981" s="342"/>
      <c r="ULF981" s="343"/>
      <c r="ULG981" s="342"/>
      <c r="ULH981" s="343"/>
      <c r="ULI981" s="342"/>
      <c r="ULJ981" s="343"/>
      <c r="ULK981" s="342"/>
      <c r="ULL981" s="343"/>
      <c r="ULM981" s="342"/>
      <c r="ULN981" s="343"/>
      <c r="ULO981" s="342"/>
      <c r="ULP981" s="343"/>
      <c r="ULQ981" s="342"/>
      <c r="ULR981" s="343"/>
      <c r="ULS981" s="342"/>
      <c r="ULT981" s="343"/>
      <c r="ULU981" s="342"/>
      <c r="ULV981" s="343"/>
      <c r="ULW981" s="342"/>
      <c r="ULX981" s="343"/>
      <c r="ULY981" s="342"/>
      <c r="ULZ981" s="343"/>
      <c r="UMA981" s="342"/>
      <c r="UMB981" s="343"/>
      <c r="UMC981" s="342"/>
      <c r="UMD981" s="343"/>
      <c r="UME981" s="342"/>
      <c r="UMF981" s="343"/>
      <c r="UMG981" s="342"/>
      <c r="UMH981" s="343"/>
      <c r="UMI981" s="342"/>
      <c r="UMJ981" s="343"/>
      <c r="UMK981" s="342"/>
      <c r="UML981" s="343"/>
      <c r="UMM981" s="342"/>
      <c r="UMN981" s="343"/>
      <c r="UMO981" s="342"/>
      <c r="UMP981" s="343"/>
      <c r="UMQ981" s="342"/>
      <c r="UMR981" s="343"/>
      <c r="UMS981" s="342"/>
      <c r="UMT981" s="343"/>
      <c r="UMU981" s="342"/>
      <c r="UMV981" s="343"/>
      <c r="UMW981" s="342"/>
      <c r="UMX981" s="343"/>
      <c r="UMY981" s="342"/>
      <c r="UMZ981" s="343"/>
      <c r="UNA981" s="342"/>
      <c r="UNB981" s="343"/>
      <c r="UNC981" s="342"/>
      <c r="UND981" s="343"/>
      <c r="UNE981" s="342"/>
      <c r="UNF981" s="343"/>
      <c r="UNG981" s="342"/>
      <c r="UNH981" s="343"/>
      <c r="UNI981" s="342"/>
      <c r="UNJ981" s="343"/>
      <c r="UNK981" s="342"/>
      <c r="UNL981" s="343"/>
      <c r="UNM981" s="342"/>
      <c r="UNN981" s="343"/>
      <c r="UNO981" s="342"/>
      <c r="UNP981" s="343"/>
      <c r="UNQ981" s="342"/>
      <c r="UNR981" s="343"/>
      <c r="UNS981" s="342"/>
      <c r="UNT981" s="343"/>
      <c r="UNU981" s="342"/>
      <c r="UNV981" s="343"/>
      <c r="UNW981" s="342"/>
      <c r="UNX981" s="343"/>
      <c r="UNY981" s="342"/>
      <c r="UNZ981" s="343"/>
      <c r="UOA981" s="342"/>
      <c r="UOB981" s="343"/>
      <c r="UOC981" s="342"/>
      <c r="UOD981" s="343"/>
      <c r="UOE981" s="342"/>
      <c r="UOF981" s="343"/>
      <c r="UOG981" s="342"/>
      <c r="UOH981" s="343"/>
      <c r="UOI981" s="342"/>
      <c r="UOJ981" s="343"/>
      <c r="UOK981" s="342"/>
      <c r="UOL981" s="343"/>
      <c r="UOM981" s="342"/>
      <c r="UON981" s="343"/>
      <c r="UOO981" s="342"/>
      <c r="UOP981" s="343"/>
      <c r="UOQ981" s="342"/>
      <c r="UOR981" s="343"/>
      <c r="UOS981" s="342"/>
      <c r="UOT981" s="343"/>
      <c r="UOU981" s="342"/>
      <c r="UOV981" s="343"/>
      <c r="UOW981" s="342"/>
      <c r="UOX981" s="343"/>
      <c r="UOY981" s="342"/>
      <c r="UOZ981" s="343"/>
      <c r="UPA981" s="342"/>
      <c r="UPB981" s="343"/>
      <c r="UPC981" s="342"/>
      <c r="UPD981" s="343"/>
      <c r="UPE981" s="342"/>
      <c r="UPF981" s="343"/>
      <c r="UPG981" s="342"/>
      <c r="UPH981" s="343"/>
      <c r="UPI981" s="342"/>
      <c r="UPJ981" s="343"/>
      <c r="UPK981" s="342"/>
      <c r="UPL981" s="343"/>
      <c r="UPM981" s="342"/>
      <c r="UPN981" s="343"/>
      <c r="UPO981" s="342"/>
      <c r="UPP981" s="343"/>
      <c r="UPQ981" s="342"/>
      <c r="UPR981" s="343"/>
      <c r="UPS981" s="342"/>
      <c r="UPT981" s="343"/>
      <c r="UPU981" s="342"/>
      <c r="UPV981" s="343"/>
      <c r="UPW981" s="342"/>
      <c r="UPX981" s="343"/>
      <c r="UPY981" s="342"/>
      <c r="UPZ981" s="343"/>
      <c r="UQA981" s="342"/>
      <c r="UQB981" s="343"/>
      <c r="UQC981" s="342"/>
      <c r="UQD981" s="343"/>
      <c r="UQE981" s="342"/>
      <c r="UQF981" s="343"/>
      <c r="UQG981" s="342"/>
      <c r="UQH981" s="343"/>
      <c r="UQI981" s="342"/>
      <c r="UQJ981" s="343"/>
      <c r="UQK981" s="342"/>
      <c r="UQL981" s="343"/>
      <c r="UQM981" s="342"/>
      <c r="UQN981" s="343"/>
      <c r="UQO981" s="342"/>
      <c r="UQP981" s="343"/>
      <c r="UQQ981" s="342"/>
      <c r="UQR981" s="343"/>
      <c r="UQS981" s="342"/>
      <c r="UQT981" s="343"/>
      <c r="UQU981" s="342"/>
      <c r="UQV981" s="343"/>
      <c r="UQW981" s="342"/>
      <c r="UQX981" s="343"/>
      <c r="UQY981" s="342"/>
      <c r="UQZ981" s="343"/>
      <c r="URA981" s="342"/>
      <c r="URB981" s="343"/>
      <c r="URC981" s="342"/>
      <c r="URD981" s="343"/>
      <c r="URE981" s="342"/>
      <c r="URF981" s="343"/>
      <c r="URG981" s="342"/>
      <c r="URH981" s="343"/>
      <c r="URI981" s="342"/>
      <c r="URJ981" s="343"/>
      <c r="URK981" s="342"/>
      <c r="URL981" s="343"/>
      <c r="URM981" s="342"/>
      <c r="URN981" s="343"/>
      <c r="URO981" s="342"/>
      <c r="URP981" s="343"/>
      <c r="URQ981" s="342"/>
      <c r="URR981" s="343"/>
      <c r="URS981" s="342"/>
      <c r="URT981" s="343"/>
      <c r="URU981" s="342"/>
      <c r="URV981" s="343"/>
      <c r="URW981" s="342"/>
      <c r="URX981" s="343"/>
      <c r="URY981" s="342"/>
      <c r="URZ981" s="343"/>
      <c r="USA981" s="342"/>
      <c r="USB981" s="343"/>
      <c r="USC981" s="342"/>
      <c r="USD981" s="343"/>
      <c r="USE981" s="342"/>
      <c r="USF981" s="343"/>
      <c r="USG981" s="342"/>
      <c r="USH981" s="343"/>
      <c r="USI981" s="342"/>
      <c r="USJ981" s="343"/>
      <c r="USK981" s="342"/>
      <c r="USL981" s="343"/>
      <c r="USM981" s="342"/>
      <c r="USN981" s="343"/>
      <c r="USO981" s="342"/>
      <c r="USP981" s="343"/>
      <c r="USQ981" s="342"/>
      <c r="USR981" s="343"/>
      <c r="USS981" s="342"/>
      <c r="UST981" s="343"/>
      <c r="USU981" s="342"/>
      <c r="USV981" s="343"/>
      <c r="USW981" s="342"/>
      <c r="USX981" s="343"/>
      <c r="USY981" s="342"/>
      <c r="USZ981" s="343"/>
      <c r="UTA981" s="342"/>
      <c r="UTB981" s="343"/>
      <c r="UTC981" s="342"/>
      <c r="UTD981" s="343"/>
      <c r="UTE981" s="342"/>
      <c r="UTF981" s="343"/>
      <c r="UTG981" s="342"/>
      <c r="UTH981" s="343"/>
      <c r="UTI981" s="342"/>
      <c r="UTJ981" s="343"/>
      <c r="UTK981" s="342"/>
      <c r="UTL981" s="343"/>
      <c r="UTM981" s="342"/>
      <c r="UTN981" s="343"/>
      <c r="UTO981" s="342"/>
      <c r="UTP981" s="343"/>
      <c r="UTQ981" s="342"/>
      <c r="UTR981" s="343"/>
      <c r="UTS981" s="342"/>
      <c r="UTT981" s="343"/>
      <c r="UTU981" s="342"/>
      <c r="UTV981" s="343"/>
      <c r="UTW981" s="342"/>
      <c r="UTX981" s="343"/>
      <c r="UTY981" s="342"/>
      <c r="UTZ981" s="343"/>
      <c r="UUA981" s="342"/>
      <c r="UUB981" s="343"/>
      <c r="UUC981" s="342"/>
      <c r="UUD981" s="343"/>
      <c r="UUE981" s="342"/>
      <c r="UUF981" s="343"/>
      <c r="UUG981" s="342"/>
      <c r="UUH981" s="343"/>
      <c r="UUI981" s="342"/>
      <c r="UUJ981" s="343"/>
      <c r="UUK981" s="342"/>
      <c r="UUL981" s="343"/>
      <c r="UUM981" s="342"/>
      <c r="UUN981" s="343"/>
      <c r="UUO981" s="342"/>
      <c r="UUP981" s="343"/>
      <c r="UUQ981" s="342"/>
      <c r="UUR981" s="343"/>
      <c r="UUS981" s="342"/>
      <c r="UUT981" s="343"/>
      <c r="UUU981" s="342"/>
      <c r="UUV981" s="343"/>
      <c r="UUW981" s="342"/>
      <c r="UUX981" s="343"/>
      <c r="UUY981" s="342"/>
      <c r="UUZ981" s="343"/>
      <c r="UVA981" s="342"/>
      <c r="UVB981" s="343"/>
      <c r="UVC981" s="342"/>
      <c r="UVD981" s="343"/>
      <c r="UVE981" s="342"/>
      <c r="UVF981" s="343"/>
      <c r="UVG981" s="342"/>
      <c r="UVH981" s="343"/>
      <c r="UVI981" s="342"/>
      <c r="UVJ981" s="343"/>
      <c r="UVK981" s="342"/>
      <c r="UVL981" s="343"/>
      <c r="UVM981" s="342"/>
      <c r="UVN981" s="343"/>
      <c r="UVO981" s="342"/>
      <c r="UVP981" s="343"/>
      <c r="UVQ981" s="342"/>
      <c r="UVR981" s="343"/>
      <c r="UVS981" s="342"/>
      <c r="UVT981" s="343"/>
      <c r="UVU981" s="342"/>
      <c r="UVV981" s="343"/>
      <c r="UVW981" s="342"/>
      <c r="UVX981" s="343"/>
      <c r="UVY981" s="342"/>
      <c r="UVZ981" s="343"/>
      <c r="UWA981" s="342"/>
      <c r="UWB981" s="343"/>
      <c r="UWC981" s="342"/>
      <c r="UWD981" s="343"/>
      <c r="UWE981" s="342"/>
      <c r="UWF981" s="343"/>
      <c r="UWG981" s="342"/>
      <c r="UWH981" s="343"/>
      <c r="UWI981" s="342"/>
      <c r="UWJ981" s="343"/>
      <c r="UWK981" s="342"/>
      <c r="UWL981" s="343"/>
      <c r="UWM981" s="342"/>
      <c r="UWN981" s="343"/>
      <c r="UWO981" s="342"/>
      <c r="UWP981" s="343"/>
      <c r="UWQ981" s="342"/>
      <c r="UWR981" s="343"/>
      <c r="UWS981" s="342"/>
      <c r="UWT981" s="343"/>
      <c r="UWU981" s="342"/>
      <c r="UWV981" s="343"/>
      <c r="UWW981" s="342"/>
      <c r="UWX981" s="343"/>
      <c r="UWY981" s="342"/>
      <c r="UWZ981" s="343"/>
      <c r="UXA981" s="342"/>
      <c r="UXB981" s="343"/>
      <c r="UXC981" s="342"/>
      <c r="UXD981" s="343"/>
      <c r="UXE981" s="342"/>
      <c r="UXF981" s="343"/>
      <c r="UXG981" s="342"/>
      <c r="UXH981" s="343"/>
      <c r="UXI981" s="342"/>
      <c r="UXJ981" s="343"/>
      <c r="UXK981" s="342"/>
      <c r="UXL981" s="343"/>
      <c r="UXM981" s="342"/>
      <c r="UXN981" s="343"/>
      <c r="UXO981" s="342"/>
      <c r="UXP981" s="343"/>
      <c r="UXQ981" s="342"/>
      <c r="UXR981" s="343"/>
      <c r="UXS981" s="342"/>
      <c r="UXT981" s="343"/>
      <c r="UXU981" s="342"/>
      <c r="UXV981" s="343"/>
      <c r="UXW981" s="342"/>
      <c r="UXX981" s="343"/>
      <c r="UXY981" s="342"/>
      <c r="UXZ981" s="343"/>
      <c r="UYA981" s="342"/>
      <c r="UYB981" s="343"/>
      <c r="UYC981" s="342"/>
      <c r="UYD981" s="343"/>
      <c r="UYE981" s="342"/>
      <c r="UYF981" s="343"/>
      <c r="UYG981" s="342"/>
      <c r="UYH981" s="343"/>
      <c r="UYI981" s="342"/>
      <c r="UYJ981" s="343"/>
      <c r="UYK981" s="342"/>
      <c r="UYL981" s="343"/>
      <c r="UYM981" s="342"/>
      <c r="UYN981" s="343"/>
      <c r="UYO981" s="342"/>
      <c r="UYP981" s="343"/>
      <c r="UYQ981" s="342"/>
      <c r="UYR981" s="343"/>
      <c r="UYS981" s="342"/>
      <c r="UYT981" s="343"/>
      <c r="UYU981" s="342"/>
      <c r="UYV981" s="343"/>
      <c r="UYW981" s="342"/>
      <c r="UYX981" s="343"/>
      <c r="UYY981" s="342"/>
      <c r="UYZ981" s="343"/>
      <c r="UZA981" s="342"/>
      <c r="UZB981" s="343"/>
      <c r="UZC981" s="342"/>
      <c r="UZD981" s="343"/>
      <c r="UZE981" s="342"/>
      <c r="UZF981" s="343"/>
      <c r="UZG981" s="342"/>
      <c r="UZH981" s="343"/>
      <c r="UZI981" s="342"/>
      <c r="UZJ981" s="343"/>
      <c r="UZK981" s="342"/>
      <c r="UZL981" s="343"/>
      <c r="UZM981" s="342"/>
      <c r="UZN981" s="343"/>
      <c r="UZO981" s="342"/>
      <c r="UZP981" s="343"/>
      <c r="UZQ981" s="342"/>
      <c r="UZR981" s="343"/>
      <c r="UZS981" s="342"/>
      <c r="UZT981" s="343"/>
      <c r="UZU981" s="342"/>
      <c r="UZV981" s="343"/>
      <c r="UZW981" s="342"/>
      <c r="UZX981" s="343"/>
      <c r="UZY981" s="342"/>
      <c r="UZZ981" s="343"/>
      <c r="VAA981" s="342"/>
      <c r="VAB981" s="343"/>
      <c r="VAC981" s="342"/>
      <c r="VAD981" s="343"/>
      <c r="VAE981" s="342"/>
      <c r="VAF981" s="343"/>
      <c r="VAG981" s="342"/>
      <c r="VAH981" s="343"/>
      <c r="VAI981" s="342"/>
      <c r="VAJ981" s="343"/>
      <c r="VAK981" s="342"/>
      <c r="VAL981" s="343"/>
      <c r="VAM981" s="342"/>
      <c r="VAN981" s="343"/>
      <c r="VAO981" s="342"/>
      <c r="VAP981" s="343"/>
      <c r="VAQ981" s="342"/>
      <c r="VAR981" s="343"/>
      <c r="VAS981" s="342"/>
      <c r="VAT981" s="343"/>
      <c r="VAU981" s="342"/>
      <c r="VAV981" s="343"/>
      <c r="VAW981" s="342"/>
      <c r="VAX981" s="343"/>
      <c r="VAY981" s="342"/>
      <c r="VAZ981" s="343"/>
      <c r="VBA981" s="342"/>
      <c r="VBB981" s="343"/>
      <c r="VBC981" s="342"/>
      <c r="VBD981" s="343"/>
      <c r="VBE981" s="342"/>
      <c r="VBF981" s="343"/>
      <c r="VBG981" s="342"/>
      <c r="VBH981" s="343"/>
      <c r="VBI981" s="342"/>
      <c r="VBJ981" s="343"/>
      <c r="VBK981" s="342"/>
      <c r="VBL981" s="343"/>
      <c r="VBM981" s="342"/>
      <c r="VBN981" s="343"/>
      <c r="VBO981" s="342"/>
      <c r="VBP981" s="343"/>
      <c r="VBQ981" s="342"/>
      <c r="VBR981" s="343"/>
      <c r="VBS981" s="342"/>
      <c r="VBT981" s="343"/>
      <c r="VBU981" s="342"/>
      <c r="VBV981" s="343"/>
      <c r="VBW981" s="342"/>
      <c r="VBX981" s="343"/>
      <c r="VBY981" s="342"/>
      <c r="VBZ981" s="343"/>
      <c r="VCA981" s="342"/>
      <c r="VCB981" s="343"/>
      <c r="VCC981" s="342"/>
      <c r="VCD981" s="343"/>
      <c r="VCE981" s="342"/>
      <c r="VCF981" s="343"/>
      <c r="VCG981" s="342"/>
      <c r="VCH981" s="343"/>
      <c r="VCI981" s="342"/>
      <c r="VCJ981" s="343"/>
      <c r="VCK981" s="342"/>
      <c r="VCL981" s="343"/>
      <c r="VCM981" s="342"/>
      <c r="VCN981" s="343"/>
      <c r="VCO981" s="342"/>
      <c r="VCP981" s="343"/>
      <c r="VCQ981" s="342"/>
      <c r="VCR981" s="343"/>
      <c r="VCS981" s="342"/>
      <c r="VCT981" s="343"/>
      <c r="VCU981" s="342"/>
      <c r="VCV981" s="343"/>
      <c r="VCW981" s="342"/>
      <c r="VCX981" s="343"/>
      <c r="VCY981" s="342"/>
      <c r="VCZ981" s="343"/>
      <c r="VDA981" s="342"/>
      <c r="VDB981" s="343"/>
      <c r="VDC981" s="342"/>
      <c r="VDD981" s="343"/>
      <c r="VDE981" s="342"/>
      <c r="VDF981" s="343"/>
      <c r="VDG981" s="342"/>
      <c r="VDH981" s="343"/>
      <c r="VDI981" s="342"/>
      <c r="VDJ981" s="343"/>
      <c r="VDK981" s="342"/>
      <c r="VDL981" s="343"/>
      <c r="VDM981" s="342"/>
      <c r="VDN981" s="343"/>
      <c r="VDO981" s="342"/>
      <c r="VDP981" s="343"/>
      <c r="VDQ981" s="342"/>
      <c r="VDR981" s="343"/>
      <c r="VDS981" s="342"/>
      <c r="VDT981" s="343"/>
      <c r="VDU981" s="342"/>
      <c r="VDV981" s="343"/>
      <c r="VDW981" s="342"/>
      <c r="VDX981" s="343"/>
      <c r="VDY981" s="342"/>
      <c r="VDZ981" s="343"/>
      <c r="VEA981" s="342"/>
      <c r="VEB981" s="343"/>
      <c r="VEC981" s="342"/>
      <c r="VED981" s="343"/>
      <c r="VEE981" s="342"/>
      <c r="VEF981" s="343"/>
      <c r="VEG981" s="342"/>
      <c r="VEH981" s="343"/>
      <c r="VEI981" s="342"/>
      <c r="VEJ981" s="343"/>
      <c r="VEK981" s="342"/>
      <c r="VEL981" s="343"/>
      <c r="VEM981" s="342"/>
      <c r="VEN981" s="343"/>
      <c r="VEO981" s="342"/>
      <c r="VEP981" s="343"/>
      <c r="VEQ981" s="342"/>
      <c r="VER981" s="343"/>
      <c r="VES981" s="342"/>
      <c r="VET981" s="343"/>
      <c r="VEU981" s="342"/>
      <c r="VEV981" s="343"/>
      <c r="VEW981" s="342"/>
      <c r="VEX981" s="343"/>
      <c r="VEY981" s="342"/>
      <c r="VEZ981" s="343"/>
      <c r="VFA981" s="342"/>
      <c r="VFB981" s="343"/>
      <c r="VFC981" s="342"/>
      <c r="VFD981" s="343"/>
      <c r="VFE981" s="342"/>
      <c r="VFF981" s="343"/>
      <c r="VFG981" s="342"/>
      <c r="VFH981" s="343"/>
      <c r="VFI981" s="342"/>
      <c r="VFJ981" s="343"/>
      <c r="VFK981" s="342"/>
      <c r="VFL981" s="343"/>
      <c r="VFM981" s="342"/>
      <c r="VFN981" s="343"/>
      <c r="VFO981" s="342"/>
      <c r="VFP981" s="343"/>
      <c r="VFQ981" s="342"/>
      <c r="VFR981" s="343"/>
      <c r="VFS981" s="342"/>
      <c r="VFT981" s="343"/>
      <c r="VFU981" s="342"/>
      <c r="VFV981" s="343"/>
      <c r="VFW981" s="342"/>
      <c r="VFX981" s="343"/>
      <c r="VFY981" s="342"/>
      <c r="VFZ981" s="343"/>
      <c r="VGA981" s="342"/>
      <c r="VGB981" s="343"/>
      <c r="VGC981" s="342"/>
      <c r="VGD981" s="343"/>
      <c r="VGE981" s="342"/>
      <c r="VGF981" s="343"/>
      <c r="VGG981" s="342"/>
      <c r="VGH981" s="343"/>
      <c r="VGI981" s="342"/>
      <c r="VGJ981" s="343"/>
      <c r="VGK981" s="342"/>
      <c r="VGL981" s="343"/>
      <c r="VGM981" s="342"/>
      <c r="VGN981" s="343"/>
      <c r="VGO981" s="342"/>
      <c r="VGP981" s="343"/>
      <c r="VGQ981" s="342"/>
      <c r="VGR981" s="343"/>
      <c r="VGS981" s="342"/>
      <c r="VGT981" s="343"/>
      <c r="VGU981" s="342"/>
      <c r="VGV981" s="343"/>
      <c r="VGW981" s="342"/>
      <c r="VGX981" s="343"/>
      <c r="VGY981" s="342"/>
      <c r="VGZ981" s="343"/>
      <c r="VHA981" s="342"/>
      <c r="VHB981" s="343"/>
      <c r="VHC981" s="342"/>
      <c r="VHD981" s="343"/>
      <c r="VHE981" s="342"/>
      <c r="VHF981" s="343"/>
      <c r="VHG981" s="342"/>
      <c r="VHH981" s="343"/>
      <c r="VHI981" s="342"/>
      <c r="VHJ981" s="343"/>
      <c r="VHK981" s="342"/>
      <c r="VHL981" s="343"/>
      <c r="VHM981" s="342"/>
      <c r="VHN981" s="343"/>
      <c r="VHO981" s="342"/>
      <c r="VHP981" s="343"/>
      <c r="VHQ981" s="342"/>
      <c r="VHR981" s="343"/>
      <c r="VHS981" s="342"/>
      <c r="VHT981" s="343"/>
      <c r="VHU981" s="342"/>
      <c r="VHV981" s="343"/>
      <c r="VHW981" s="342"/>
      <c r="VHX981" s="343"/>
      <c r="VHY981" s="342"/>
      <c r="VHZ981" s="343"/>
      <c r="VIA981" s="342"/>
      <c r="VIB981" s="343"/>
      <c r="VIC981" s="342"/>
      <c r="VID981" s="343"/>
      <c r="VIE981" s="342"/>
      <c r="VIF981" s="343"/>
      <c r="VIG981" s="342"/>
      <c r="VIH981" s="343"/>
      <c r="VII981" s="342"/>
      <c r="VIJ981" s="343"/>
      <c r="VIK981" s="342"/>
      <c r="VIL981" s="343"/>
      <c r="VIM981" s="342"/>
      <c r="VIN981" s="343"/>
      <c r="VIO981" s="342"/>
      <c r="VIP981" s="343"/>
      <c r="VIQ981" s="342"/>
      <c r="VIR981" s="343"/>
      <c r="VIS981" s="342"/>
      <c r="VIT981" s="343"/>
      <c r="VIU981" s="342"/>
      <c r="VIV981" s="343"/>
      <c r="VIW981" s="342"/>
      <c r="VIX981" s="343"/>
      <c r="VIY981" s="342"/>
      <c r="VIZ981" s="343"/>
      <c r="VJA981" s="342"/>
      <c r="VJB981" s="343"/>
      <c r="VJC981" s="342"/>
      <c r="VJD981" s="343"/>
      <c r="VJE981" s="342"/>
      <c r="VJF981" s="343"/>
      <c r="VJG981" s="342"/>
      <c r="VJH981" s="343"/>
      <c r="VJI981" s="342"/>
      <c r="VJJ981" s="343"/>
      <c r="VJK981" s="342"/>
      <c r="VJL981" s="343"/>
      <c r="VJM981" s="342"/>
      <c r="VJN981" s="343"/>
      <c r="VJO981" s="342"/>
      <c r="VJP981" s="343"/>
      <c r="VJQ981" s="342"/>
      <c r="VJR981" s="343"/>
      <c r="VJS981" s="342"/>
      <c r="VJT981" s="343"/>
      <c r="VJU981" s="342"/>
      <c r="VJV981" s="343"/>
      <c r="VJW981" s="342"/>
      <c r="VJX981" s="343"/>
      <c r="VJY981" s="342"/>
      <c r="VJZ981" s="343"/>
      <c r="VKA981" s="342"/>
      <c r="VKB981" s="343"/>
      <c r="VKC981" s="342"/>
      <c r="VKD981" s="343"/>
      <c r="VKE981" s="342"/>
      <c r="VKF981" s="343"/>
      <c r="VKG981" s="342"/>
      <c r="VKH981" s="343"/>
      <c r="VKI981" s="342"/>
      <c r="VKJ981" s="343"/>
      <c r="VKK981" s="342"/>
      <c r="VKL981" s="343"/>
      <c r="VKM981" s="342"/>
      <c r="VKN981" s="343"/>
      <c r="VKO981" s="342"/>
      <c r="VKP981" s="343"/>
      <c r="VKQ981" s="342"/>
      <c r="VKR981" s="343"/>
      <c r="VKS981" s="342"/>
      <c r="VKT981" s="343"/>
      <c r="VKU981" s="342"/>
      <c r="VKV981" s="343"/>
      <c r="VKW981" s="342"/>
      <c r="VKX981" s="343"/>
      <c r="VKY981" s="342"/>
      <c r="VKZ981" s="343"/>
      <c r="VLA981" s="342"/>
      <c r="VLB981" s="343"/>
      <c r="VLC981" s="342"/>
      <c r="VLD981" s="343"/>
      <c r="VLE981" s="342"/>
      <c r="VLF981" s="343"/>
      <c r="VLG981" s="342"/>
      <c r="VLH981" s="343"/>
      <c r="VLI981" s="342"/>
      <c r="VLJ981" s="343"/>
      <c r="VLK981" s="342"/>
      <c r="VLL981" s="343"/>
      <c r="VLM981" s="342"/>
      <c r="VLN981" s="343"/>
      <c r="VLO981" s="342"/>
      <c r="VLP981" s="343"/>
      <c r="VLQ981" s="342"/>
      <c r="VLR981" s="343"/>
      <c r="VLS981" s="342"/>
      <c r="VLT981" s="343"/>
      <c r="VLU981" s="342"/>
      <c r="VLV981" s="343"/>
      <c r="VLW981" s="342"/>
      <c r="VLX981" s="343"/>
      <c r="VLY981" s="342"/>
      <c r="VLZ981" s="343"/>
      <c r="VMA981" s="342"/>
      <c r="VMB981" s="343"/>
      <c r="VMC981" s="342"/>
      <c r="VMD981" s="343"/>
      <c r="VME981" s="342"/>
      <c r="VMF981" s="343"/>
      <c r="VMG981" s="342"/>
      <c r="VMH981" s="343"/>
      <c r="VMI981" s="342"/>
      <c r="VMJ981" s="343"/>
      <c r="VMK981" s="342"/>
      <c r="VML981" s="343"/>
      <c r="VMM981" s="342"/>
      <c r="VMN981" s="343"/>
      <c r="VMO981" s="342"/>
      <c r="VMP981" s="343"/>
      <c r="VMQ981" s="342"/>
      <c r="VMR981" s="343"/>
      <c r="VMS981" s="342"/>
      <c r="VMT981" s="343"/>
      <c r="VMU981" s="342"/>
      <c r="VMV981" s="343"/>
      <c r="VMW981" s="342"/>
      <c r="VMX981" s="343"/>
      <c r="VMY981" s="342"/>
      <c r="VMZ981" s="343"/>
      <c r="VNA981" s="342"/>
      <c r="VNB981" s="343"/>
      <c r="VNC981" s="342"/>
      <c r="VND981" s="343"/>
      <c r="VNE981" s="342"/>
      <c r="VNF981" s="343"/>
      <c r="VNG981" s="342"/>
      <c r="VNH981" s="343"/>
      <c r="VNI981" s="342"/>
      <c r="VNJ981" s="343"/>
      <c r="VNK981" s="342"/>
      <c r="VNL981" s="343"/>
      <c r="VNM981" s="342"/>
      <c r="VNN981" s="343"/>
      <c r="VNO981" s="342"/>
      <c r="VNP981" s="343"/>
      <c r="VNQ981" s="342"/>
      <c r="VNR981" s="343"/>
      <c r="VNS981" s="342"/>
      <c r="VNT981" s="343"/>
      <c r="VNU981" s="342"/>
      <c r="VNV981" s="343"/>
      <c r="VNW981" s="342"/>
      <c r="VNX981" s="343"/>
      <c r="VNY981" s="342"/>
      <c r="VNZ981" s="343"/>
      <c r="VOA981" s="342"/>
      <c r="VOB981" s="343"/>
      <c r="VOC981" s="342"/>
      <c r="VOD981" s="343"/>
      <c r="VOE981" s="342"/>
      <c r="VOF981" s="343"/>
      <c r="VOG981" s="342"/>
      <c r="VOH981" s="343"/>
      <c r="VOI981" s="342"/>
      <c r="VOJ981" s="343"/>
      <c r="VOK981" s="342"/>
      <c r="VOL981" s="343"/>
      <c r="VOM981" s="342"/>
      <c r="VON981" s="343"/>
      <c r="VOO981" s="342"/>
      <c r="VOP981" s="343"/>
      <c r="VOQ981" s="342"/>
      <c r="VOR981" s="343"/>
      <c r="VOS981" s="342"/>
      <c r="VOT981" s="343"/>
      <c r="VOU981" s="342"/>
      <c r="VOV981" s="343"/>
      <c r="VOW981" s="342"/>
      <c r="VOX981" s="343"/>
      <c r="VOY981" s="342"/>
      <c r="VOZ981" s="343"/>
      <c r="VPA981" s="342"/>
      <c r="VPB981" s="343"/>
      <c r="VPC981" s="342"/>
      <c r="VPD981" s="343"/>
      <c r="VPE981" s="342"/>
      <c r="VPF981" s="343"/>
      <c r="VPG981" s="342"/>
      <c r="VPH981" s="343"/>
      <c r="VPI981" s="342"/>
      <c r="VPJ981" s="343"/>
      <c r="VPK981" s="342"/>
      <c r="VPL981" s="343"/>
      <c r="VPM981" s="342"/>
      <c r="VPN981" s="343"/>
      <c r="VPO981" s="342"/>
      <c r="VPP981" s="343"/>
      <c r="VPQ981" s="342"/>
      <c r="VPR981" s="343"/>
      <c r="VPS981" s="342"/>
      <c r="VPT981" s="343"/>
      <c r="VPU981" s="342"/>
      <c r="VPV981" s="343"/>
      <c r="VPW981" s="342"/>
      <c r="VPX981" s="343"/>
      <c r="VPY981" s="342"/>
      <c r="VPZ981" s="343"/>
      <c r="VQA981" s="342"/>
      <c r="VQB981" s="343"/>
      <c r="VQC981" s="342"/>
      <c r="VQD981" s="343"/>
      <c r="VQE981" s="342"/>
      <c r="VQF981" s="343"/>
      <c r="VQG981" s="342"/>
      <c r="VQH981" s="343"/>
      <c r="VQI981" s="342"/>
      <c r="VQJ981" s="343"/>
      <c r="VQK981" s="342"/>
      <c r="VQL981" s="343"/>
      <c r="VQM981" s="342"/>
      <c r="VQN981" s="343"/>
      <c r="VQO981" s="342"/>
      <c r="VQP981" s="343"/>
      <c r="VQQ981" s="342"/>
      <c r="VQR981" s="343"/>
      <c r="VQS981" s="342"/>
      <c r="VQT981" s="343"/>
      <c r="VQU981" s="342"/>
      <c r="VQV981" s="343"/>
      <c r="VQW981" s="342"/>
      <c r="VQX981" s="343"/>
      <c r="VQY981" s="342"/>
      <c r="VQZ981" s="343"/>
      <c r="VRA981" s="342"/>
      <c r="VRB981" s="343"/>
      <c r="VRC981" s="342"/>
      <c r="VRD981" s="343"/>
      <c r="VRE981" s="342"/>
      <c r="VRF981" s="343"/>
      <c r="VRG981" s="342"/>
      <c r="VRH981" s="343"/>
      <c r="VRI981" s="342"/>
      <c r="VRJ981" s="343"/>
      <c r="VRK981" s="342"/>
      <c r="VRL981" s="343"/>
      <c r="VRM981" s="342"/>
      <c r="VRN981" s="343"/>
      <c r="VRO981" s="342"/>
      <c r="VRP981" s="343"/>
      <c r="VRQ981" s="342"/>
      <c r="VRR981" s="343"/>
      <c r="VRS981" s="342"/>
      <c r="VRT981" s="343"/>
      <c r="VRU981" s="342"/>
      <c r="VRV981" s="343"/>
      <c r="VRW981" s="342"/>
      <c r="VRX981" s="343"/>
      <c r="VRY981" s="342"/>
      <c r="VRZ981" s="343"/>
      <c r="VSA981" s="342"/>
      <c r="VSB981" s="343"/>
      <c r="VSC981" s="342"/>
      <c r="VSD981" s="343"/>
      <c r="VSE981" s="342"/>
      <c r="VSF981" s="343"/>
      <c r="VSG981" s="342"/>
      <c r="VSH981" s="343"/>
      <c r="VSI981" s="342"/>
      <c r="VSJ981" s="343"/>
      <c r="VSK981" s="342"/>
      <c r="VSL981" s="343"/>
      <c r="VSM981" s="342"/>
      <c r="VSN981" s="343"/>
      <c r="VSO981" s="342"/>
      <c r="VSP981" s="343"/>
      <c r="VSQ981" s="342"/>
      <c r="VSR981" s="343"/>
      <c r="VSS981" s="342"/>
      <c r="VST981" s="343"/>
      <c r="VSU981" s="342"/>
      <c r="VSV981" s="343"/>
      <c r="VSW981" s="342"/>
      <c r="VSX981" s="343"/>
      <c r="VSY981" s="342"/>
      <c r="VSZ981" s="343"/>
      <c r="VTA981" s="342"/>
      <c r="VTB981" s="343"/>
      <c r="VTC981" s="342"/>
      <c r="VTD981" s="343"/>
      <c r="VTE981" s="342"/>
      <c r="VTF981" s="343"/>
      <c r="VTG981" s="342"/>
      <c r="VTH981" s="343"/>
      <c r="VTI981" s="342"/>
      <c r="VTJ981" s="343"/>
      <c r="VTK981" s="342"/>
      <c r="VTL981" s="343"/>
      <c r="VTM981" s="342"/>
      <c r="VTN981" s="343"/>
      <c r="VTO981" s="342"/>
      <c r="VTP981" s="343"/>
      <c r="VTQ981" s="342"/>
      <c r="VTR981" s="343"/>
      <c r="VTS981" s="342"/>
      <c r="VTT981" s="343"/>
      <c r="VTU981" s="342"/>
      <c r="VTV981" s="343"/>
      <c r="VTW981" s="342"/>
      <c r="VTX981" s="343"/>
      <c r="VTY981" s="342"/>
      <c r="VTZ981" s="343"/>
      <c r="VUA981" s="342"/>
      <c r="VUB981" s="343"/>
      <c r="VUC981" s="342"/>
      <c r="VUD981" s="343"/>
      <c r="VUE981" s="342"/>
      <c r="VUF981" s="343"/>
      <c r="VUG981" s="342"/>
      <c r="VUH981" s="343"/>
      <c r="VUI981" s="342"/>
      <c r="VUJ981" s="343"/>
      <c r="VUK981" s="342"/>
      <c r="VUL981" s="343"/>
      <c r="VUM981" s="342"/>
      <c r="VUN981" s="343"/>
      <c r="VUO981" s="342"/>
      <c r="VUP981" s="343"/>
      <c r="VUQ981" s="342"/>
      <c r="VUR981" s="343"/>
      <c r="VUS981" s="342"/>
      <c r="VUT981" s="343"/>
      <c r="VUU981" s="342"/>
      <c r="VUV981" s="343"/>
      <c r="VUW981" s="342"/>
      <c r="VUX981" s="343"/>
      <c r="VUY981" s="342"/>
      <c r="VUZ981" s="343"/>
      <c r="VVA981" s="342"/>
      <c r="VVB981" s="343"/>
      <c r="VVC981" s="342"/>
      <c r="VVD981" s="343"/>
      <c r="VVE981" s="342"/>
      <c r="VVF981" s="343"/>
      <c r="VVG981" s="342"/>
      <c r="VVH981" s="343"/>
      <c r="VVI981" s="342"/>
      <c r="VVJ981" s="343"/>
      <c r="VVK981" s="342"/>
      <c r="VVL981" s="343"/>
      <c r="VVM981" s="342"/>
      <c r="VVN981" s="343"/>
      <c r="VVO981" s="342"/>
      <c r="VVP981" s="343"/>
      <c r="VVQ981" s="342"/>
      <c r="VVR981" s="343"/>
      <c r="VVS981" s="342"/>
      <c r="VVT981" s="343"/>
      <c r="VVU981" s="342"/>
      <c r="VVV981" s="343"/>
      <c r="VVW981" s="342"/>
      <c r="VVX981" s="343"/>
      <c r="VVY981" s="342"/>
      <c r="VVZ981" s="343"/>
      <c r="VWA981" s="342"/>
      <c r="VWB981" s="343"/>
      <c r="VWC981" s="342"/>
      <c r="VWD981" s="343"/>
      <c r="VWE981" s="342"/>
      <c r="VWF981" s="343"/>
      <c r="VWG981" s="342"/>
      <c r="VWH981" s="343"/>
      <c r="VWI981" s="342"/>
      <c r="VWJ981" s="343"/>
      <c r="VWK981" s="342"/>
      <c r="VWL981" s="343"/>
      <c r="VWM981" s="342"/>
      <c r="VWN981" s="343"/>
      <c r="VWO981" s="342"/>
      <c r="VWP981" s="343"/>
      <c r="VWQ981" s="342"/>
      <c r="VWR981" s="343"/>
      <c r="VWS981" s="342"/>
      <c r="VWT981" s="343"/>
      <c r="VWU981" s="342"/>
      <c r="VWV981" s="343"/>
      <c r="VWW981" s="342"/>
      <c r="VWX981" s="343"/>
      <c r="VWY981" s="342"/>
      <c r="VWZ981" s="343"/>
      <c r="VXA981" s="342"/>
      <c r="VXB981" s="343"/>
      <c r="VXC981" s="342"/>
      <c r="VXD981" s="343"/>
      <c r="VXE981" s="342"/>
      <c r="VXF981" s="343"/>
      <c r="VXG981" s="342"/>
      <c r="VXH981" s="343"/>
      <c r="VXI981" s="342"/>
      <c r="VXJ981" s="343"/>
      <c r="VXK981" s="342"/>
      <c r="VXL981" s="343"/>
      <c r="VXM981" s="342"/>
      <c r="VXN981" s="343"/>
      <c r="VXO981" s="342"/>
      <c r="VXP981" s="343"/>
      <c r="VXQ981" s="342"/>
      <c r="VXR981" s="343"/>
      <c r="VXS981" s="342"/>
      <c r="VXT981" s="343"/>
      <c r="VXU981" s="342"/>
      <c r="VXV981" s="343"/>
      <c r="VXW981" s="342"/>
      <c r="VXX981" s="343"/>
      <c r="VXY981" s="342"/>
      <c r="VXZ981" s="343"/>
      <c r="VYA981" s="342"/>
      <c r="VYB981" s="343"/>
      <c r="VYC981" s="342"/>
      <c r="VYD981" s="343"/>
      <c r="VYE981" s="342"/>
      <c r="VYF981" s="343"/>
      <c r="VYG981" s="342"/>
      <c r="VYH981" s="343"/>
      <c r="VYI981" s="342"/>
      <c r="VYJ981" s="343"/>
      <c r="VYK981" s="342"/>
      <c r="VYL981" s="343"/>
      <c r="VYM981" s="342"/>
      <c r="VYN981" s="343"/>
      <c r="VYO981" s="342"/>
      <c r="VYP981" s="343"/>
      <c r="VYQ981" s="342"/>
      <c r="VYR981" s="343"/>
      <c r="VYS981" s="342"/>
      <c r="VYT981" s="343"/>
      <c r="VYU981" s="342"/>
      <c r="VYV981" s="343"/>
      <c r="VYW981" s="342"/>
      <c r="VYX981" s="343"/>
      <c r="VYY981" s="342"/>
      <c r="VYZ981" s="343"/>
      <c r="VZA981" s="342"/>
      <c r="VZB981" s="343"/>
      <c r="VZC981" s="342"/>
      <c r="VZD981" s="343"/>
      <c r="VZE981" s="342"/>
      <c r="VZF981" s="343"/>
      <c r="VZG981" s="342"/>
      <c r="VZH981" s="343"/>
      <c r="VZI981" s="342"/>
      <c r="VZJ981" s="343"/>
      <c r="VZK981" s="342"/>
      <c r="VZL981" s="343"/>
      <c r="VZM981" s="342"/>
      <c r="VZN981" s="343"/>
      <c r="VZO981" s="342"/>
      <c r="VZP981" s="343"/>
      <c r="VZQ981" s="342"/>
      <c r="VZR981" s="343"/>
      <c r="VZS981" s="342"/>
      <c r="VZT981" s="343"/>
      <c r="VZU981" s="342"/>
      <c r="VZV981" s="343"/>
      <c r="VZW981" s="342"/>
      <c r="VZX981" s="343"/>
      <c r="VZY981" s="342"/>
      <c r="VZZ981" s="343"/>
      <c r="WAA981" s="342"/>
      <c r="WAB981" s="343"/>
      <c r="WAC981" s="342"/>
      <c r="WAD981" s="343"/>
      <c r="WAE981" s="342"/>
      <c r="WAF981" s="343"/>
      <c r="WAG981" s="342"/>
      <c r="WAH981" s="343"/>
      <c r="WAI981" s="342"/>
      <c r="WAJ981" s="343"/>
      <c r="WAK981" s="342"/>
      <c r="WAL981" s="343"/>
      <c r="WAM981" s="342"/>
      <c r="WAN981" s="343"/>
      <c r="WAO981" s="342"/>
      <c r="WAP981" s="343"/>
      <c r="WAQ981" s="342"/>
      <c r="WAR981" s="343"/>
      <c r="WAS981" s="342"/>
      <c r="WAT981" s="343"/>
      <c r="WAU981" s="342"/>
      <c r="WAV981" s="343"/>
      <c r="WAW981" s="342"/>
      <c r="WAX981" s="343"/>
      <c r="WAY981" s="342"/>
      <c r="WAZ981" s="343"/>
      <c r="WBA981" s="342"/>
      <c r="WBB981" s="343"/>
      <c r="WBC981" s="342"/>
      <c r="WBD981" s="343"/>
      <c r="WBE981" s="342"/>
      <c r="WBF981" s="343"/>
      <c r="WBG981" s="342"/>
      <c r="WBH981" s="343"/>
      <c r="WBI981" s="342"/>
      <c r="WBJ981" s="343"/>
      <c r="WBK981" s="342"/>
      <c r="WBL981" s="343"/>
      <c r="WBM981" s="342"/>
      <c r="WBN981" s="343"/>
      <c r="WBO981" s="342"/>
      <c r="WBP981" s="343"/>
      <c r="WBQ981" s="342"/>
      <c r="WBR981" s="343"/>
      <c r="WBS981" s="342"/>
      <c r="WBT981" s="343"/>
      <c r="WBU981" s="342"/>
      <c r="WBV981" s="343"/>
      <c r="WBW981" s="342"/>
      <c r="WBX981" s="343"/>
      <c r="WBY981" s="342"/>
      <c r="WBZ981" s="343"/>
      <c r="WCA981" s="342"/>
      <c r="WCB981" s="343"/>
      <c r="WCC981" s="342"/>
      <c r="WCD981" s="343"/>
      <c r="WCE981" s="342"/>
      <c r="WCF981" s="343"/>
      <c r="WCG981" s="342"/>
      <c r="WCH981" s="343"/>
      <c r="WCI981" s="342"/>
      <c r="WCJ981" s="343"/>
      <c r="WCK981" s="342"/>
      <c r="WCL981" s="343"/>
      <c r="WCM981" s="342"/>
      <c r="WCN981" s="343"/>
      <c r="WCO981" s="342"/>
      <c r="WCP981" s="343"/>
      <c r="WCQ981" s="342"/>
      <c r="WCR981" s="343"/>
      <c r="WCS981" s="342"/>
      <c r="WCT981" s="343"/>
      <c r="WCU981" s="342"/>
      <c r="WCV981" s="343"/>
      <c r="WCW981" s="342"/>
      <c r="WCX981" s="343"/>
      <c r="WCY981" s="342"/>
      <c r="WCZ981" s="343"/>
      <c r="WDA981" s="342"/>
      <c r="WDB981" s="343"/>
      <c r="WDC981" s="342"/>
      <c r="WDD981" s="343"/>
      <c r="WDE981" s="342"/>
      <c r="WDF981" s="343"/>
      <c r="WDG981" s="342"/>
      <c r="WDH981" s="343"/>
      <c r="WDI981" s="342"/>
      <c r="WDJ981" s="343"/>
      <c r="WDK981" s="342"/>
      <c r="WDL981" s="343"/>
      <c r="WDM981" s="342"/>
      <c r="WDN981" s="343"/>
      <c r="WDO981" s="342"/>
      <c r="WDP981" s="343"/>
      <c r="WDQ981" s="342"/>
      <c r="WDR981" s="343"/>
      <c r="WDS981" s="342"/>
      <c r="WDT981" s="343"/>
      <c r="WDU981" s="342"/>
      <c r="WDV981" s="343"/>
      <c r="WDW981" s="342"/>
      <c r="WDX981" s="343"/>
      <c r="WDY981" s="342"/>
      <c r="WDZ981" s="343"/>
      <c r="WEA981" s="342"/>
      <c r="WEB981" s="343"/>
      <c r="WEC981" s="342"/>
      <c r="WED981" s="343"/>
      <c r="WEE981" s="342"/>
      <c r="WEF981" s="343"/>
      <c r="WEG981" s="342"/>
      <c r="WEH981" s="343"/>
      <c r="WEI981" s="342"/>
      <c r="WEJ981" s="343"/>
      <c r="WEK981" s="342"/>
      <c r="WEL981" s="343"/>
      <c r="WEM981" s="342"/>
      <c r="WEN981" s="343"/>
      <c r="WEO981" s="342"/>
      <c r="WEP981" s="343"/>
      <c r="WEQ981" s="342"/>
      <c r="WER981" s="343"/>
      <c r="WES981" s="342"/>
      <c r="WET981" s="343"/>
      <c r="WEU981" s="342"/>
      <c r="WEV981" s="343"/>
      <c r="WEW981" s="342"/>
      <c r="WEX981" s="343"/>
      <c r="WEY981" s="342"/>
      <c r="WEZ981" s="343"/>
      <c r="WFA981" s="342"/>
      <c r="WFB981" s="343"/>
      <c r="WFC981" s="342"/>
      <c r="WFD981" s="343"/>
      <c r="WFE981" s="342"/>
      <c r="WFF981" s="343"/>
      <c r="WFG981" s="342"/>
      <c r="WFH981" s="343"/>
      <c r="WFI981" s="342"/>
      <c r="WFJ981" s="343"/>
      <c r="WFK981" s="342"/>
      <c r="WFL981" s="343"/>
      <c r="WFM981" s="342"/>
      <c r="WFN981" s="343"/>
      <c r="WFO981" s="342"/>
      <c r="WFP981" s="343"/>
      <c r="WFQ981" s="342"/>
      <c r="WFR981" s="343"/>
      <c r="WFS981" s="342"/>
      <c r="WFT981" s="343"/>
      <c r="WFU981" s="342"/>
      <c r="WFV981" s="343"/>
      <c r="WFW981" s="342"/>
      <c r="WFX981" s="343"/>
      <c r="WFY981" s="342"/>
      <c r="WFZ981" s="343"/>
      <c r="WGA981" s="342"/>
      <c r="WGB981" s="343"/>
      <c r="WGC981" s="342"/>
      <c r="WGD981" s="343"/>
      <c r="WGE981" s="342"/>
      <c r="WGF981" s="343"/>
      <c r="WGG981" s="342"/>
      <c r="WGH981" s="343"/>
      <c r="WGI981" s="342"/>
      <c r="WGJ981" s="343"/>
      <c r="WGK981" s="342"/>
      <c r="WGL981" s="343"/>
      <c r="WGM981" s="342"/>
      <c r="WGN981" s="343"/>
      <c r="WGO981" s="342"/>
      <c r="WGP981" s="343"/>
      <c r="WGQ981" s="342"/>
      <c r="WGR981" s="343"/>
      <c r="WGS981" s="342"/>
      <c r="WGT981" s="343"/>
      <c r="WGU981" s="342"/>
      <c r="WGV981" s="343"/>
      <c r="WGW981" s="342"/>
      <c r="WGX981" s="343"/>
      <c r="WGY981" s="342"/>
      <c r="WGZ981" s="343"/>
      <c r="WHA981" s="342"/>
      <c r="WHB981" s="343"/>
      <c r="WHC981" s="342"/>
      <c r="WHD981" s="343"/>
      <c r="WHE981" s="342"/>
      <c r="WHF981" s="343"/>
      <c r="WHG981" s="342"/>
      <c r="WHH981" s="343"/>
      <c r="WHI981" s="342"/>
      <c r="WHJ981" s="343"/>
      <c r="WHK981" s="342"/>
      <c r="WHL981" s="343"/>
      <c r="WHM981" s="342"/>
      <c r="WHN981" s="343"/>
      <c r="WHO981" s="342"/>
      <c r="WHP981" s="343"/>
      <c r="WHQ981" s="342"/>
      <c r="WHR981" s="343"/>
      <c r="WHS981" s="342"/>
      <c r="WHT981" s="343"/>
      <c r="WHU981" s="342"/>
      <c r="WHV981" s="343"/>
      <c r="WHW981" s="342"/>
      <c r="WHX981" s="343"/>
      <c r="WHY981" s="342"/>
      <c r="WHZ981" s="343"/>
      <c r="WIA981" s="342"/>
      <c r="WIB981" s="343"/>
      <c r="WIC981" s="342"/>
      <c r="WID981" s="343"/>
      <c r="WIE981" s="342"/>
      <c r="WIF981" s="343"/>
      <c r="WIG981" s="342"/>
      <c r="WIH981" s="343"/>
      <c r="WII981" s="342"/>
      <c r="WIJ981" s="343"/>
      <c r="WIK981" s="342"/>
      <c r="WIL981" s="343"/>
      <c r="WIM981" s="342"/>
      <c r="WIN981" s="343"/>
      <c r="WIO981" s="342"/>
      <c r="WIP981" s="343"/>
      <c r="WIQ981" s="342"/>
      <c r="WIR981" s="343"/>
      <c r="WIS981" s="342"/>
      <c r="WIT981" s="343"/>
      <c r="WIU981" s="342"/>
      <c r="WIV981" s="343"/>
      <c r="WIW981" s="342"/>
      <c r="WIX981" s="343"/>
      <c r="WIY981" s="342"/>
      <c r="WIZ981" s="343"/>
      <c r="WJA981" s="342"/>
      <c r="WJB981" s="343"/>
      <c r="WJC981" s="342"/>
      <c r="WJD981" s="343"/>
      <c r="WJE981" s="342"/>
      <c r="WJF981" s="343"/>
      <c r="WJG981" s="342"/>
      <c r="WJH981" s="343"/>
      <c r="WJI981" s="342"/>
      <c r="WJJ981" s="343"/>
      <c r="WJK981" s="342"/>
      <c r="WJL981" s="343"/>
      <c r="WJM981" s="342"/>
      <c r="WJN981" s="343"/>
      <c r="WJO981" s="342"/>
      <c r="WJP981" s="343"/>
      <c r="WJQ981" s="342"/>
      <c r="WJR981" s="343"/>
      <c r="WJS981" s="342"/>
      <c r="WJT981" s="343"/>
      <c r="WJU981" s="342"/>
      <c r="WJV981" s="343"/>
      <c r="WJW981" s="342"/>
      <c r="WJX981" s="343"/>
      <c r="WJY981" s="342"/>
      <c r="WJZ981" s="343"/>
      <c r="WKA981" s="342"/>
      <c r="WKB981" s="343"/>
      <c r="WKC981" s="342"/>
      <c r="WKD981" s="343"/>
      <c r="WKE981" s="342"/>
      <c r="WKF981" s="343"/>
      <c r="WKG981" s="342"/>
      <c r="WKH981" s="343"/>
      <c r="WKI981" s="342"/>
      <c r="WKJ981" s="343"/>
      <c r="WKK981" s="342"/>
      <c r="WKL981" s="343"/>
      <c r="WKM981" s="342"/>
      <c r="WKN981" s="343"/>
      <c r="WKO981" s="342"/>
      <c r="WKP981" s="343"/>
      <c r="WKQ981" s="342"/>
      <c r="WKR981" s="343"/>
      <c r="WKS981" s="342"/>
      <c r="WKT981" s="343"/>
      <c r="WKU981" s="342"/>
      <c r="WKV981" s="343"/>
      <c r="WKW981" s="342"/>
      <c r="WKX981" s="343"/>
      <c r="WKY981" s="342"/>
      <c r="WKZ981" s="343"/>
      <c r="WLA981" s="342"/>
      <c r="WLB981" s="343"/>
      <c r="WLC981" s="342"/>
      <c r="WLD981" s="343"/>
      <c r="WLE981" s="342"/>
      <c r="WLF981" s="343"/>
      <c r="WLG981" s="342"/>
      <c r="WLH981" s="343"/>
      <c r="WLI981" s="342"/>
      <c r="WLJ981" s="343"/>
      <c r="WLK981" s="342"/>
      <c r="WLL981" s="343"/>
      <c r="WLM981" s="342"/>
      <c r="WLN981" s="343"/>
      <c r="WLO981" s="342"/>
      <c r="WLP981" s="343"/>
      <c r="WLQ981" s="342"/>
      <c r="WLR981" s="343"/>
      <c r="WLS981" s="342"/>
      <c r="WLT981" s="343"/>
      <c r="WLU981" s="342"/>
      <c r="WLV981" s="343"/>
      <c r="WLW981" s="342"/>
      <c r="WLX981" s="343"/>
      <c r="WLY981" s="342"/>
      <c r="WLZ981" s="343"/>
      <c r="WMA981" s="342"/>
      <c r="WMB981" s="343"/>
      <c r="WMC981" s="342"/>
      <c r="WMD981" s="343"/>
      <c r="WME981" s="342"/>
      <c r="WMF981" s="343"/>
      <c r="WMG981" s="342"/>
      <c r="WMH981" s="343"/>
      <c r="WMI981" s="342"/>
      <c r="WMJ981" s="343"/>
      <c r="WMK981" s="342"/>
      <c r="WML981" s="343"/>
      <c r="WMM981" s="342"/>
      <c r="WMN981" s="343"/>
      <c r="WMO981" s="342"/>
      <c r="WMP981" s="343"/>
      <c r="WMQ981" s="342"/>
      <c r="WMR981" s="343"/>
      <c r="WMS981" s="342"/>
      <c r="WMT981" s="343"/>
      <c r="WMU981" s="342"/>
      <c r="WMV981" s="343"/>
      <c r="WMW981" s="342"/>
      <c r="WMX981" s="343"/>
      <c r="WMY981" s="342"/>
      <c r="WMZ981" s="343"/>
      <c r="WNA981" s="342"/>
      <c r="WNB981" s="343"/>
      <c r="WNC981" s="342"/>
      <c r="WND981" s="343"/>
      <c r="WNE981" s="342"/>
      <c r="WNF981" s="343"/>
      <c r="WNG981" s="342"/>
      <c r="WNH981" s="343"/>
      <c r="WNI981" s="342"/>
      <c r="WNJ981" s="343"/>
      <c r="WNK981" s="342"/>
      <c r="WNL981" s="343"/>
      <c r="WNM981" s="342"/>
      <c r="WNN981" s="343"/>
      <c r="WNO981" s="342"/>
      <c r="WNP981" s="343"/>
      <c r="WNQ981" s="342"/>
      <c r="WNR981" s="343"/>
      <c r="WNS981" s="342"/>
      <c r="WNT981" s="343"/>
      <c r="WNU981" s="342"/>
      <c r="WNV981" s="343"/>
      <c r="WNW981" s="342"/>
      <c r="WNX981" s="343"/>
      <c r="WNY981" s="342"/>
      <c r="WNZ981" s="343"/>
      <c r="WOA981" s="342"/>
      <c r="WOB981" s="343"/>
      <c r="WOC981" s="342"/>
      <c r="WOD981" s="343"/>
      <c r="WOE981" s="342"/>
      <c r="WOF981" s="343"/>
      <c r="WOG981" s="342"/>
      <c r="WOH981" s="343"/>
      <c r="WOI981" s="342"/>
      <c r="WOJ981" s="343"/>
      <c r="WOK981" s="342"/>
      <c r="WOL981" s="343"/>
      <c r="WOM981" s="342"/>
      <c r="WON981" s="343"/>
      <c r="WOO981" s="342"/>
      <c r="WOP981" s="343"/>
      <c r="WOQ981" s="342"/>
      <c r="WOR981" s="343"/>
      <c r="WOS981" s="342"/>
      <c r="WOT981" s="343"/>
      <c r="WOU981" s="342"/>
      <c r="WOV981" s="343"/>
      <c r="WOW981" s="342"/>
      <c r="WOX981" s="343"/>
      <c r="WOY981" s="342"/>
      <c r="WOZ981" s="343"/>
      <c r="WPA981" s="342"/>
      <c r="WPB981" s="343"/>
      <c r="WPC981" s="342"/>
      <c r="WPD981" s="343"/>
      <c r="WPE981" s="342"/>
      <c r="WPF981" s="343"/>
      <c r="WPG981" s="342"/>
      <c r="WPH981" s="343"/>
      <c r="WPI981" s="342"/>
      <c r="WPJ981" s="343"/>
      <c r="WPK981" s="342"/>
      <c r="WPL981" s="343"/>
      <c r="WPM981" s="342"/>
      <c r="WPN981" s="343"/>
      <c r="WPO981" s="342"/>
      <c r="WPP981" s="343"/>
      <c r="WPQ981" s="342"/>
      <c r="WPR981" s="343"/>
      <c r="WPS981" s="342"/>
      <c r="WPT981" s="343"/>
      <c r="WPU981" s="342"/>
      <c r="WPV981" s="343"/>
      <c r="WPW981" s="342"/>
      <c r="WPX981" s="343"/>
      <c r="WPY981" s="342"/>
      <c r="WPZ981" s="343"/>
      <c r="WQA981" s="342"/>
      <c r="WQB981" s="343"/>
      <c r="WQC981" s="342"/>
      <c r="WQD981" s="343"/>
      <c r="WQE981" s="342"/>
      <c r="WQF981" s="343"/>
      <c r="WQG981" s="342"/>
      <c r="WQH981" s="343"/>
      <c r="WQI981" s="342"/>
      <c r="WQJ981" s="343"/>
      <c r="WQK981" s="342"/>
      <c r="WQL981" s="343"/>
      <c r="WQM981" s="342"/>
      <c r="WQN981" s="343"/>
      <c r="WQO981" s="342"/>
      <c r="WQP981" s="343"/>
      <c r="WQQ981" s="342"/>
      <c r="WQR981" s="343"/>
      <c r="WQS981" s="342"/>
      <c r="WQT981" s="343"/>
      <c r="WQU981" s="342"/>
      <c r="WQV981" s="343"/>
      <c r="WQW981" s="342"/>
      <c r="WQX981" s="343"/>
      <c r="WQY981" s="342"/>
      <c r="WQZ981" s="343"/>
      <c r="WRA981" s="342"/>
      <c r="WRB981" s="343"/>
      <c r="WRC981" s="342"/>
      <c r="WRD981" s="343"/>
      <c r="WRE981" s="342"/>
      <c r="WRF981" s="343"/>
      <c r="WRG981" s="342"/>
      <c r="WRH981" s="343"/>
      <c r="WRI981" s="342"/>
      <c r="WRJ981" s="343"/>
      <c r="WRK981" s="342"/>
      <c r="WRL981" s="343"/>
      <c r="WRM981" s="342"/>
      <c r="WRN981" s="343"/>
      <c r="WRO981" s="342"/>
      <c r="WRP981" s="343"/>
      <c r="WRQ981" s="342"/>
      <c r="WRR981" s="343"/>
      <c r="WRS981" s="342"/>
      <c r="WRT981" s="343"/>
      <c r="WRU981" s="342"/>
      <c r="WRV981" s="343"/>
      <c r="WRW981" s="342"/>
      <c r="WRX981" s="343"/>
      <c r="WRY981" s="342"/>
      <c r="WRZ981" s="343"/>
      <c r="WSA981" s="342"/>
      <c r="WSB981" s="343"/>
      <c r="WSC981" s="342"/>
      <c r="WSD981" s="343"/>
      <c r="WSE981" s="342"/>
      <c r="WSF981" s="343"/>
      <c r="WSG981" s="342"/>
      <c r="WSH981" s="343"/>
      <c r="WSI981" s="342"/>
      <c r="WSJ981" s="343"/>
      <c r="WSK981" s="342"/>
      <c r="WSL981" s="343"/>
      <c r="WSM981" s="342"/>
      <c r="WSN981" s="343"/>
      <c r="WSO981" s="342"/>
      <c r="WSP981" s="343"/>
      <c r="WSQ981" s="342"/>
      <c r="WSR981" s="343"/>
      <c r="WSS981" s="342"/>
      <c r="WST981" s="343"/>
      <c r="WSU981" s="342"/>
      <c r="WSV981" s="343"/>
      <c r="WSW981" s="342"/>
      <c r="WSX981" s="343"/>
      <c r="WSY981" s="342"/>
      <c r="WSZ981" s="343"/>
      <c r="WTA981" s="342"/>
      <c r="WTB981" s="343"/>
      <c r="WTC981" s="342"/>
      <c r="WTD981" s="343"/>
      <c r="WTE981" s="342"/>
      <c r="WTF981" s="343"/>
      <c r="WTG981" s="342"/>
      <c r="WTH981" s="343"/>
      <c r="WTI981" s="342"/>
      <c r="WTJ981" s="343"/>
      <c r="WTK981" s="342"/>
      <c r="WTL981" s="343"/>
      <c r="WTM981" s="342"/>
      <c r="WTN981" s="343"/>
      <c r="WTO981" s="342"/>
      <c r="WTP981" s="343"/>
      <c r="WTQ981" s="342"/>
      <c r="WTR981" s="343"/>
      <c r="WTS981" s="342"/>
      <c r="WTT981" s="343"/>
      <c r="WTU981" s="342"/>
      <c r="WTV981" s="343"/>
      <c r="WTW981" s="342"/>
      <c r="WTX981" s="343"/>
      <c r="WTY981" s="342"/>
      <c r="WTZ981" s="343"/>
      <c r="WUA981" s="342"/>
      <c r="WUB981" s="343"/>
      <c r="WUC981" s="342"/>
      <c r="WUD981" s="343"/>
      <c r="WUE981" s="342"/>
      <c r="WUF981" s="343"/>
      <c r="WUG981" s="342"/>
      <c r="WUH981" s="343"/>
      <c r="WUI981" s="342"/>
      <c r="WUJ981" s="343"/>
      <c r="WUK981" s="342"/>
      <c r="WUL981" s="343"/>
      <c r="WUM981" s="342"/>
      <c r="WUN981" s="343"/>
      <c r="WUO981" s="342"/>
      <c r="WUP981" s="343"/>
      <c r="WUQ981" s="342"/>
      <c r="WUR981" s="343"/>
      <c r="WUS981" s="342"/>
      <c r="WUT981" s="343"/>
      <c r="WUU981" s="342"/>
      <c r="WUV981" s="343"/>
      <c r="WUW981" s="342"/>
      <c r="WUX981" s="343"/>
      <c r="WUY981" s="342"/>
      <c r="WUZ981" s="343"/>
      <c r="WVA981" s="342"/>
      <c r="WVB981" s="343"/>
      <c r="WVC981" s="342"/>
      <c r="WVD981" s="343"/>
      <c r="WVE981" s="342"/>
      <c r="WVF981" s="343"/>
      <c r="WVG981" s="342"/>
      <c r="WVH981" s="343"/>
      <c r="WVI981" s="342"/>
      <c r="WVJ981" s="343"/>
      <c r="WVK981" s="342"/>
      <c r="WVL981" s="343"/>
      <c r="WVM981" s="342"/>
      <c r="WVN981" s="343"/>
      <c r="WVO981" s="342"/>
      <c r="WVP981" s="343"/>
      <c r="WVQ981" s="342"/>
      <c r="WVR981" s="343"/>
      <c r="WVS981" s="342"/>
      <c r="WVT981" s="343"/>
      <c r="WVU981" s="342"/>
      <c r="WVV981" s="343"/>
      <c r="WVW981" s="342"/>
      <c r="WVX981" s="343"/>
      <c r="WVY981" s="342"/>
      <c r="WVZ981" s="343"/>
      <c r="WWA981" s="342"/>
      <c r="WWB981" s="343"/>
      <c r="WWC981" s="342"/>
      <c r="WWD981" s="343"/>
      <c r="WWE981" s="342"/>
      <c r="WWF981" s="343"/>
      <c r="WWG981" s="342"/>
      <c r="WWH981" s="343"/>
      <c r="WWI981" s="342"/>
      <c r="WWJ981" s="343"/>
      <c r="WWK981" s="342"/>
      <c r="WWL981" s="343"/>
      <c r="WWM981" s="342"/>
      <c r="WWN981" s="343"/>
      <c r="WWO981" s="342"/>
      <c r="WWP981" s="343"/>
      <c r="WWQ981" s="342"/>
      <c r="WWR981" s="343"/>
      <c r="WWS981" s="342"/>
      <c r="WWT981" s="343"/>
      <c r="WWU981" s="342"/>
      <c r="WWV981" s="343"/>
      <c r="WWW981" s="342"/>
      <c r="WWX981" s="343"/>
      <c r="WWY981" s="342"/>
      <c r="WWZ981" s="343"/>
      <c r="WXA981" s="342"/>
      <c r="WXB981" s="343"/>
      <c r="WXC981" s="342"/>
      <c r="WXD981" s="343"/>
      <c r="WXE981" s="342"/>
      <c r="WXF981" s="343"/>
      <c r="WXG981" s="342"/>
      <c r="WXH981" s="343"/>
      <c r="WXI981" s="342"/>
      <c r="WXJ981" s="343"/>
      <c r="WXK981" s="342"/>
      <c r="WXL981" s="343"/>
      <c r="WXM981" s="342"/>
      <c r="WXN981" s="343"/>
      <c r="WXO981" s="342"/>
      <c r="WXP981" s="343"/>
      <c r="WXQ981" s="342"/>
      <c r="WXR981" s="343"/>
      <c r="WXS981" s="342"/>
      <c r="WXT981" s="343"/>
      <c r="WXU981" s="342"/>
      <c r="WXV981" s="343"/>
      <c r="WXW981" s="342"/>
      <c r="WXX981" s="343"/>
      <c r="WXY981" s="342"/>
      <c r="WXZ981" s="343"/>
      <c r="WYA981" s="342"/>
      <c r="WYB981" s="343"/>
      <c r="WYC981" s="342"/>
      <c r="WYD981" s="343"/>
      <c r="WYE981" s="342"/>
      <c r="WYF981" s="343"/>
      <c r="WYG981" s="342"/>
      <c r="WYH981" s="343"/>
      <c r="WYI981" s="342"/>
      <c r="WYJ981" s="343"/>
      <c r="WYK981" s="342"/>
      <c r="WYL981" s="343"/>
      <c r="WYM981" s="342"/>
      <c r="WYN981" s="343"/>
      <c r="WYO981" s="342"/>
      <c r="WYP981" s="343"/>
      <c r="WYQ981" s="342"/>
      <c r="WYR981" s="343"/>
      <c r="WYS981" s="342"/>
      <c r="WYT981" s="343"/>
      <c r="WYU981" s="342"/>
      <c r="WYV981" s="343"/>
      <c r="WYW981" s="342"/>
      <c r="WYX981" s="343"/>
      <c r="WYY981" s="342"/>
      <c r="WYZ981" s="343"/>
      <c r="WZA981" s="342"/>
      <c r="WZB981" s="343"/>
      <c r="WZC981" s="342"/>
      <c r="WZD981" s="343"/>
      <c r="WZE981" s="342"/>
      <c r="WZF981" s="343"/>
      <c r="WZG981" s="342"/>
      <c r="WZH981" s="343"/>
      <c r="WZI981" s="342"/>
      <c r="WZJ981" s="343"/>
      <c r="WZK981" s="342"/>
      <c r="WZL981" s="343"/>
      <c r="WZM981" s="342"/>
      <c r="WZN981" s="343"/>
      <c r="WZO981" s="342"/>
      <c r="WZP981" s="343"/>
      <c r="WZQ981" s="342"/>
      <c r="WZR981" s="343"/>
      <c r="WZS981" s="342"/>
      <c r="WZT981" s="343"/>
      <c r="WZU981" s="342"/>
      <c r="WZV981" s="343"/>
      <c r="WZW981" s="342"/>
      <c r="WZX981" s="343"/>
      <c r="WZY981" s="342"/>
      <c r="WZZ981" s="343"/>
      <c r="XAA981" s="342"/>
      <c r="XAB981" s="343"/>
      <c r="XAC981" s="342"/>
      <c r="XAD981" s="343"/>
      <c r="XAE981" s="342"/>
      <c r="XAF981" s="343"/>
      <c r="XAG981" s="342"/>
      <c r="XAH981" s="343"/>
      <c r="XAI981" s="342"/>
      <c r="XAJ981" s="343"/>
      <c r="XAK981" s="342"/>
      <c r="XAL981" s="343"/>
      <c r="XAM981" s="342"/>
      <c r="XAN981" s="343"/>
      <c r="XAO981" s="342"/>
      <c r="XAP981" s="343"/>
      <c r="XAQ981" s="342"/>
      <c r="XAR981" s="343"/>
      <c r="XAS981" s="342"/>
      <c r="XAT981" s="343"/>
      <c r="XAU981" s="342"/>
      <c r="XAV981" s="343"/>
      <c r="XAW981" s="342"/>
      <c r="XAX981" s="343"/>
      <c r="XAY981" s="342"/>
      <c r="XAZ981" s="343"/>
      <c r="XBA981" s="342"/>
      <c r="XBB981" s="343"/>
      <c r="XBC981" s="342"/>
      <c r="XBD981" s="343"/>
      <c r="XBE981" s="342"/>
      <c r="XBF981" s="343"/>
      <c r="XBG981" s="342"/>
      <c r="XBH981" s="343"/>
      <c r="XBI981" s="342"/>
      <c r="XBJ981" s="343"/>
      <c r="XBK981" s="342"/>
      <c r="XBL981" s="343"/>
      <c r="XBM981" s="342"/>
      <c r="XBN981" s="343"/>
      <c r="XBO981" s="342"/>
      <c r="XBP981" s="343"/>
      <c r="XBQ981" s="342"/>
      <c r="XBR981" s="343"/>
      <c r="XBS981" s="342"/>
      <c r="XBT981" s="343"/>
      <c r="XBU981" s="342"/>
      <c r="XBV981" s="343"/>
      <c r="XBW981" s="342"/>
      <c r="XBX981" s="343"/>
      <c r="XBY981" s="342"/>
      <c r="XBZ981" s="343"/>
      <c r="XCA981" s="342"/>
      <c r="XCB981" s="343"/>
      <c r="XCC981" s="342"/>
      <c r="XCD981" s="343"/>
      <c r="XCE981" s="342"/>
      <c r="XCF981" s="343"/>
      <c r="XCG981" s="342"/>
      <c r="XCH981" s="343"/>
      <c r="XCI981" s="342"/>
      <c r="XCJ981" s="343"/>
      <c r="XCK981" s="342"/>
      <c r="XCL981" s="343"/>
      <c r="XCM981" s="342"/>
      <c r="XCN981" s="343"/>
      <c r="XCO981" s="342"/>
      <c r="XCP981" s="343"/>
      <c r="XCQ981" s="342"/>
      <c r="XCR981" s="343"/>
      <c r="XCS981" s="342"/>
      <c r="XCT981" s="343"/>
      <c r="XCU981" s="342"/>
      <c r="XCV981" s="343"/>
      <c r="XCW981" s="342"/>
      <c r="XCX981" s="343"/>
      <c r="XCY981" s="342"/>
      <c r="XCZ981" s="343"/>
      <c r="XDA981" s="342"/>
      <c r="XDB981" s="343"/>
      <c r="XDC981" s="342"/>
      <c r="XDD981" s="343"/>
      <c r="XDE981" s="342"/>
      <c r="XDF981" s="343"/>
      <c r="XDG981" s="342"/>
      <c r="XDH981" s="343"/>
      <c r="XDI981" s="342"/>
      <c r="XDJ981" s="343"/>
      <c r="XDK981" s="342"/>
      <c r="XDL981" s="343"/>
      <c r="XDM981" s="342"/>
      <c r="XDN981" s="343"/>
      <c r="XDO981" s="342"/>
      <c r="XDP981" s="343"/>
      <c r="XDQ981" s="342"/>
      <c r="XDR981" s="343"/>
      <c r="XDS981" s="342"/>
      <c r="XDT981" s="343"/>
      <c r="XDU981" s="342"/>
      <c r="XDV981" s="343"/>
      <c r="XDW981" s="342"/>
      <c r="XDX981" s="343"/>
      <c r="XDY981" s="342"/>
      <c r="XDZ981" s="343"/>
      <c r="XEA981" s="342"/>
      <c r="XEB981" s="343"/>
      <c r="XEC981" s="342"/>
      <c r="XED981" s="343"/>
      <c r="XEE981" s="342"/>
      <c r="XEF981" s="343"/>
      <c r="XEG981" s="342"/>
      <c r="XEH981" s="343"/>
      <c r="XEI981" s="342"/>
      <c r="XEJ981" s="343"/>
      <c r="XEK981" s="342"/>
      <c r="XEL981" s="343"/>
      <c r="XEM981" s="342"/>
      <c r="XEN981" s="343"/>
      <c r="XEO981" s="342"/>
      <c r="XEP981" s="343"/>
      <c r="XEQ981" s="342"/>
      <c r="XER981" s="343"/>
      <c r="XES981" s="342"/>
      <c r="XET981" s="343"/>
      <c r="XEU981" s="342"/>
      <c r="XEV981" s="343"/>
      <c r="XEW981" s="342"/>
      <c r="XEX981" s="343"/>
      <c r="XEY981" s="342"/>
      <c r="XEZ981" s="343"/>
      <c r="XFA981" s="342"/>
      <c r="XFB981" s="343"/>
      <c r="XFC981" s="342"/>
      <c r="XFD981" s="343"/>
    </row>
    <row r="982" spans="1:16384" s="1" customFormat="1" ht="32.1">
      <c r="A982" s="336"/>
      <c r="B982" s="48" t="s">
        <v>2095</v>
      </c>
      <c r="C982" s="115"/>
      <c r="D982" s="116" t="s">
        <v>2096</v>
      </c>
      <c r="E982" s="171" t="s">
        <v>46</v>
      </c>
      <c r="F982" s="337"/>
      <c r="G982" s="336"/>
      <c r="H982" s="337"/>
      <c r="I982" s="336"/>
      <c r="J982" s="119">
        <v>45754</v>
      </c>
      <c r="K982" s="329">
        <v>3031714</v>
      </c>
      <c r="L982" s="337"/>
      <c r="M982" s="336"/>
      <c r="N982" s="182" t="s">
        <v>2033</v>
      </c>
      <c r="O982" s="163"/>
      <c r="P982" s="198" t="s">
        <v>49</v>
      </c>
      <c r="Q982" s="336"/>
      <c r="R982" s="337"/>
      <c r="S982" s="336"/>
      <c r="T982" s="337"/>
      <c r="U982" s="336"/>
      <c r="V982" s="337"/>
      <c r="W982" s="336"/>
      <c r="X982" s="337"/>
      <c r="Y982" s="336"/>
      <c r="Z982" s="337"/>
      <c r="AA982" s="336"/>
      <c r="AB982" s="337"/>
      <c r="AC982" s="336"/>
      <c r="AD982" s="337"/>
      <c r="AE982" s="336"/>
      <c r="AF982" s="337"/>
      <c r="AG982" s="336"/>
      <c r="AH982" s="337"/>
      <c r="AI982" s="336"/>
      <c r="AJ982" s="337"/>
      <c r="AK982" s="336"/>
      <c r="AL982" s="337"/>
      <c r="AM982" s="336"/>
      <c r="AN982" s="337"/>
      <c r="AO982" s="336"/>
      <c r="AP982" s="337"/>
      <c r="AQ982" s="336"/>
      <c r="AR982" s="337"/>
      <c r="AS982" s="336"/>
      <c r="AT982" s="337"/>
      <c r="AU982" s="336"/>
      <c r="AV982" s="337"/>
      <c r="AW982" s="336"/>
      <c r="AX982" s="337"/>
      <c r="AY982" s="336"/>
      <c r="AZ982" s="337"/>
      <c r="BA982" s="336"/>
      <c r="BB982" s="337"/>
      <c r="BC982" s="336"/>
      <c r="BD982" s="337"/>
      <c r="BE982" s="336"/>
      <c r="BF982" s="337"/>
      <c r="BG982" s="336"/>
      <c r="BH982" s="337"/>
      <c r="BI982" s="336"/>
      <c r="BJ982" s="337"/>
      <c r="BK982" s="336"/>
      <c r="BL982" s="337"/>
      <c r="BM982" s="336"/>
      <c r="BN982" s="337"/>
      <c r="BO982" s="336"/>
      <c r="BP982" s="337"/>
      <c r="BQ982" s="336"/>
      <c r="BR982" s="337"/>
      <c r="BS982" s="336"/>
      <c r="BT982" s="337"/>
      <c r="BU982" s="336"/>
      <c r="BV982" s="337"/>
      <c r="BW982" s="336"/>
      <c r="BX982" s="337"/>
      <c r="BY982" s="336"/>
      <c r="BZ982" s="337"/>
      <c r="CA982" s="336"/>
      <c r="CB982" s="337"/>
      <c r="CC982" s="336"/>
      <c r="CD982" s="337"/>
      <c r="CE982" s="336"/>
      <c r="CF982" s="337"/>
      <c r="CG982" s="336"/>
      <c r="CH982" s="337"/>
      <c r="CI982" s="336"/>
      <c r="CJ982" s="337"/>
      <c r="CK982" s="336"/>
      <c r="CL982" s="337"/>
      <c r="CM982" s="336"/>
      <c r="CN982" s="337"/>
      <c r="CO982" s="336"/>
      <c r="CP982" s="337"/>
      <c r="CQ982" s="336"/>
      <c r="CR982" s="337"/>
      <c r="CS982" s="336"/>
      <c r="CT982" s="337"/>
      <c r="CU982" s="336"/>
      <c r="CV982" s="337"/>
      <c r="CW982" s="336"/>
      <c r="CX982" s="337"/>
      <c r="CY982" s="336"/>
      <c r="CZ982" s="337"/>
      <c r="DA982" s="336"/>
      <c r="DB982" s="337"/>
      <c r="DC982" s="336"/>
      <c r="DD982" s="337"/>
      <c r="DE982" s="336"/>
      <c r="DF982" s="337"/>
      <c r="DG982" s="336"/>
      <c r="DH982" s="337"/>
      <c r="DI982" s="336"/>
      <c r="DJ982" s="337"/>
      <c r="DK982" s="336"/>
      <c r="DL982" s="337"/>
      <c r="DM982" s="336"/>
      <c r="DN982" s="337"/>
      <c r="DO982" s="336"/>
      <c r="DP982" s="337"/>
      <c r="DQ982" s="336"/>
      <c r="DR982" s="337"/>
      <c r="DS982" s="336"/>
      <c r="DT982" s="337"/>
      <c r="DU982" s="336"/>
      <c r="DV982" s="337"/>
      <c r="DW982" s="336"/>
      <c r="DX982" s="337"/>
      <c r="DY982" s="336"/>
      <c r="DZ982" s="337"/>
      <c r="EA982" s="336"/>
      <c r="EB982" s="337"/>
      <c r="EC982" s="336"/>
      <c r="ED982" s="337"/>
      <c r="EE982" s="336"/>
      <c r="EF982" s="337"/>
      <c r="EG982" s="336"/>
      <c r="EH982" s="337"/>
      <c r="EI982" s="336"/>
      <c r="EJ982" s="337"/>
      <c r="EK982" s="336"/>
      <c r="EL982" s="337"/>
      <c r="EM982" s="336"/>
      <c r="EN982" s="337"/>
      <c r="EO982" s="336"/>
      <c r="EP982" s="337"/>
      <c r="EQ982" s="336"/>
      <c r="ER982" s="337"/>
      <c r="ES982" s="336"/>
      <c r="ET982" s="337"/>
      <c r="EU982" s="336"/>
      <c r="EV982" s="337"/>
      <c r="EW982" s="336"/>
      <c r="EX982" s="337"/>
      <c r="EY982" s="336"/>
      <c r="EZ982" s="337"/>
      <c r="FA982" s="336"/>
      <c r="FB982" s="337"/>
      <c r="FC982" s="336"/>
      <c r="FD982" s="337"/>
      <c r="FE982" s="336"/>
      <c r="FF982" s="337"/>
      <c r="FG982" s="336"/>
      <c r="FH982" s="337"/>
      <c r="FI982" s="336"/>
      <c r="FJ982" s="337"/>
      <c r="FK982" s="336"/>
      <c r="FL982" s="337"/>
      <c r="FM982" s="336"/>
      <c r="FN982" s="337"/>
      <c r="FO982" s="336"/>
      <c r="FP982" s="337"/>
      <c r="FQ982" s="336"/>
      <c r="FR982" s="337"/>
      <c r="FS982" s="336"/>
      <c r="FT982" s="337"/>
      <c r="FU982" s="336"/>
      <c r="FV982" s="337"/>
      <c r="FW982" s="336"/>
      <c r="FX982" s="337"/>
      <c r="FY982" s="336"/>
      <c r="FZ982" s="337"/>
      <c r="GA982" s="336"/>
      <c r="GB982" s="337"/>
      <c r="GC982" s="336"/>
      <c r="GD982" s="337"/>
      <c r="GE982" s="336"/>
      <c r="GF982" s="337"/>
      <c r="GG982" s="336"/>
      <c r="GH982" s="337"/>
      <c r="GI982" s="336"/>
      <c r="GJ982" s="337"/>
      <c r="GK982" s="336"/>
      <c r="GL982" s="337"/>
      <c r="GM982" s="336"/>
      <c r="GN982" s="337"/>
      <c r="GO982" s="336"/>
      <c r="GP982" s="337"/>
      <c r="GQ982" s="336"/>
      <c r="GR982" s="337"/>
      <c r="GS982" s="336"/>
      <c r="GT982" s="337"/>
      <c r="GU982" s="336"/>
      <c r="GV982" s="337"/>
      <c r="GW982" s="336"/>
      <c r="GX982" s="337"/>
      <c r="GY982" s="336"/>
      <c r="GZ982" s="337"/>
      <c r="HA982" s="336"/>
      <c r="HB982" s="337"/>
      <c r="HC982" s="336"/>
      <c r="HD982" s="337"/>
      <c r="HE982" s="336"/>
      <c r="HF982" s="337"/>
      <c r="HG982" s="336"/>
      <c r="HH982" s="337"/>
      <c r="HI982" s="336"/>
      <c r="HJ982" s="337"/>
      <c r="HK982" s="336"/>
      <c r="HL982" s="337"/>
      <c r="HM982" s="336"/>
      <c r="HN982" s="337"/>
      <c r="HO982" s="336"/>
      <c r="HP982" s="337"/>
      <c r="HQ982" s="336"/>
      <c r="HR982" s="337"/>
      <c r="HS982" s="336"/>
      <c r="HT982" s="337"/>
      <c r="HU982" s="336"/>
      <c r="HV982" s="337"/>
      <c r="HW982" s="336"/>
      <c r="HX982" s="337"/>
      <c r="HY982" s="336"/>
      <c r="HZ982" s="337"/>
      <c r="IA982" s="336"/>
      <c r="IB982" s="337"/>
      <c r="IC982" s="336"/>
      <c r="ID982" s="337"/>
      <c r="IE982" s="336"/>
      <c r="IF982" s="337"/>
      <c r="IG982" s="336"/>
      <c r="IH982" s="337"/>
      <c r="II982" s="336"/>
      <c r="IJ982" s="337"/>
      <c r="IK982" s="336"/>
      <c r="IL982" s="337"/>
      <c r="IM982" s="336"/>
      <c r="IN982" s="337"/>
      <c r="IO982" s="336"/>
      <c r="IP982" s="337"/>
      <c r="IQ982" s="336"/>
      <c r="IR982" s="337"/>
      <c r="IS982" s="336"/>
      <c r="IT982" s="337"/>
      <c r="IU982" s="336"/>
      <c r="IV982" s="337"/>
      <c r="IW982" s="336"/>
      <c r="IX982" s="337"/>
      <c r="IY982" s="336"/>
      <c r="IZ982" s="337"/>
      <c r="JA982" s="336"/>
      <c r="JB982" s="337"/>
      <c r="JC982" s="336"/>
      <c r="JD982" s="337"/>
      <c r="JE982" s="336"/>
      <c r="JF982" s="337"/>
      <c r="JG982" s="336"/>
      <c r="JH982" s="337"/>
      <c r="JI982" s="336"/>
      <c r="JJ982" s="337"/>
      <c r="JK982" s="336"/>
      <c r="JL982" s="337"/>
      <c r="JM982" s="336"/>
      <c r="JN982" s="337"/>
      <c r="JO982" s="336"/>
      <c r="JP982" s="337"/>
      <c r="JQ982" s="336"/>
      <c r="JR982" s="337"/>
      <c r="JS982" s="336"/>
      <c r="JT982" s="337"/>
      <c r="JU982" s="336"/>
      <c r="JV982" s="337"/>
      <c r="JW982" s="336"/>
      <c r="JX982" s="337"/>
      <c r="JY982" s="336"/>
      <c r="JZ982" s="337"/>
      <c r="KA982" s="336"/>
      <c r="KB982" s="337"/>
      <c r="KC982" s="336"/>
      <c r="KD982" s="337"/>
      <c r="KE982" s="336"/>
      <c r="KF982" s="337"/>
      <c r="KG982" s="336"/>
      <c r="KH982" s="337"/>
      <c r="KI982" s="336"/>
      <c r="KJ982" s="337"/>
      <c r="KK982" s="336"/>
      <c r="KL982" s="337"/>
      <c r="KM982" s="336"/>
      <c r="KN982" s="337"/>
      <c r="KO982" s="336"/>
      <c r="KP982" s="337"/>
      <c r="KQ982" s="336"/>
      <c r="KR982" s="337"/>
      <c r="KS982" s="336"/>
      <c r="KT982" s="337"/>
      <c r="KU982" s="336"/>
      <c r="KV982" s="337"/>
      <c r="KW982" s="336"/>
      <c r="KX982" s="337"/>
      <c r="KY982" s="336"/>
      <c r="KZ982" s="337"/>
      <c r="LA982" s="336"/>
      <c r="LB982" s="337"/>
      <c r="LC982" s="336"/>
      <c r="LD982" s="337"/>
      <c r="LE982" s="336"/>
      <c r="LF982" s="337"/>
      <c r="LG982" s="336"/>
      <c r="LH982" s="337"/>
      <c r="LI982" s="336"/>
      <c r="LJ982" s="337"/>
      <c r="LK982" s="336"/>
      <c r="LL982" s="337"/>
      <c r="LM982" s="336"/>
      <c r="LN982" s="337"/>
      <c r="LO982" s="336"/>
      <c r="LP982" s="337"/>
      <c r="LQ982" s="336"/>
      <c r="LR982" s="337"/>
      <c r="LS982" s="336"/>
      <c r="LT982" s="337"/>
      <c r="LU982" s="336"/>
      <c r="LV982" s="337"/>
      <c r="LW982" s="336"/>
      <c r="LX982" s="337"/>
      <c r="LY982" s="336"/>
      <c r="LZ982" s="337"/>
      <c r="MA982" s="336"/>
      <c r="MB982" s="337"/>
      <c r="MC982" s="336"/>
      <c r="MD982" s="337"/>
      <c r="ME982" s="336"/>
      <c r="MF982" s="337"/>
      <c r="MG982" s="336"/>
      <c r="MH982" s="337"/>
      <c r="MI982" s="336"/>
      <c r="MJ982" s="337"/>
      <c r="MK982" s="336"/>
      <c r="ML982" s="337"/>
      <c r="MM982" s="336"/>
      <c r="MN982" s="337"/>
      <c r="MO982" s="336"/>
      <c r="MP982" s="337"/>
      <c r="MQ982" s="336"/>
      <c r="MR982" s="337"/>
      <c r="MS982" s="336"/>
      <c r="MT982" s="337"/>
      <c r="MU982" s="336"/>
      <c r="MV982" s="337"/>
      <c r="MW982" s="336"/>
      <c r="MX982" s="337"/>
      <c r="MY982" s="336"/>
      <c r="MZ982" s="337"/>
      <c r="NA982" s="336"/>
      <c r="NB982" s="337"/>
      <c r="NC982" s="336"/>
      <c r="ND982" s="337"/>
      <c r="NE982" s="336"/>
      <c r="NF982" s="337"/>
      <c r="NG982" s="336"/>
      <c r="NH982" s="337"/>
      <c r="NI982" s="336"/>
      <c r="NJ982" s="337"/>
      <c r="NK982" s="336"/>
      <c r="NL982" s="337"/>
      <c r="NM982" s="336"/>
      <c r="NN982" s="337"/>
      <c r="NO982" s="336"/>
      <c r="NP982" s="337"/>
      <c r="NQ982" s="336"/>
      <c r="NR982" s="337"/>
      <c r="NS982" s="336"/>
      <c r="NT982" s="337"/>
      <c r="NU982" s="336"/>
      <c r="NV982" s="337"/>
      <c r="NW982" s="336"/>
      <c r="NX982" s="337"/>
      <c r="NY982" s="336"/>
      <c r="NZ982" s="337"/>
      <c r="OA982" s="336"/>
      <c r="OB982" s="337"/>
      <c r="OC982" s="336"/>
      <c r="OD982" s="337"/>
      <c r="OE982" s="336"/>
      <c r="OF982" s="337"/>
      <c r="OG982" s="336"/>
      <c r="OH982" s="337"/>
      <c r="OI982" s="336"/>
      <c r="OJ982" s="337"/>
      <c r="OK982" s="336"/>
      <c r="OL982" s="337"/>
      <c r="OM982" s="336"/>
      <c r="ON982" s="337"/>
      <c r="OO982" s="336"/>
      <c r="OP982" s="337"/>
      <c r="OQ982" s="336"/>
      <c r="OR982" s="337"/>
      <c r="OS982" s="336"/>
      <c r="OT982" s="337"/>
      <c r="OU982" s="336"/>
      <c r="OV982" s="337"/>
      <c r="OW982" s="336"/>
      <c r="OX982" s="337"/>
      <c r="OY982" s="336"/>
      <c r="OZ982" s="337"/>
      <c r="PA982" s="336"/>
      <c r="PB982" s="337"/>
      <c r="PC982" s="336"/>
      <c r="PD982" s="337"/>
      <c r="PE982" s="336"/>
      <c r="PF982" s="337"/>
      <c r="PG982" s="336"/>
      <c r="PH982" s="337"/>
      <c r="PI982" s="336"/>
      <c r="PJ982" s="337"/>
      <c r="PK982" s="336"/>
      <c r="PL982" s="337"/>
      <c r="PM982" s="336"/>
      <c r="PN982" s="337"/>
      <c r="PO982" s="336"/>
      <c r="PP982" s="337"/>
      <c r="PQ982" s="336"/>
      <c r="PR982" s="337"/>
      <c r="PS982" s="336"/>
      <c r="PT982" s="337"/>
      <c r="PU982" s="336"/>
      <c r="PV982" s="337"/>
      <c r="PW982" s="336"/>
      <c r="PX982" s="337"/>
      <c r="PY982" s="336"/>
      <c r="PZ982" s="337"/>
      <c r="QA982" s="336"/>
      <c r="QB982" s="337"/>
      <c r="QC982" s="336"/>
      <c r="QD982" s="337"/>
      <c r="QE982" s="336"/>
      <c r="QF982" s="337"/>
      <c r="QG982" s="336"/>
      <c r="QH982" s="337"/>
      <c r="QI982" s="336"/>
      <c r="QJ982" s="337"/>
      <c r="QK982" s="336"/>
      <c r="QL982" s="337"/>
      <c r="QM982" s="336"/>
      <c r="QN982" s="337"/>
      <c r="QO982" s="336"/>
      <c r="QP982" s="337"/>
      <c r="QQ982" s="336"/>
      <c r="QR982" s="337"/>
      <c r="QS982" s="336"/>
      <c r="QT982" s="337"/>
      <c r="QU982" s="336"/>
      <c r="QV982" s="337"/>
      <c r="QW982" s="336"/>
      <c r="QX982" s="337"/>
      <c r="QY982" s="336"/>
      <c r="QZ982" s="337"/>
      <c r="RA982" s="336"/>
      <c r="RB982" s="337"/>
      <c r="RC982" s="336"/>
      <c r="RD982" s="337"/>
      <c r="RE982" s="336"/>
      <c r="RF982" s="337"/>
      <c r="RG982" s="336"/>
      <c r="RH982" s="337"/>
      <c r="RI982" s="336"/>
      <c r="RJ982" s="337"/>
      <c r="RK982" s="336"/>
      <c r="RL982" s="337"/>
      <c r="RM982" s="336"/>
      <c r="RN982" s="337"/>
      <c r="RO982" s="336"/>
      <c r="RP982" s="337"/>
      <c r="RQ982" s="336"/>
      <c r="RR982" s="337"/>
      <c r="RS982" s="336"/>
      <c r="RT982" s="337"/>
      <c r="RU982" s="336"/>
      <c r="RV982" s="337"/>
      <c r="RW982" s="336"/>
      <c r="RX982" s="337"/>
      <c r="RY982" s="336"/>
      <c r="RZ982" s="337"/>
      <c r="SA982" s="336"/>
      <c r="SB982" s="337"/>
      <c r="SC982" s="336"/>
      <c r="SD982" s="337"/>
      <c r="SE982" s="336"/>
      <c r="SF982" s="337"/>
      <c r="SG982" s="336"/>
      <c r="SH982" s="337"/>
      <c r="SI982" s="336"/>
      <c r="SJ982" s="337"/>
      <c r="SK982" s="336"/>
      <c r="SL982" s="337"/>
      <c r="SM982" s="336"/>
      <c r="SN982" s="337"/>
      <c r="SO982" s="336"/>
      <c r="SP982" s="337"/>
      <c r="SQ982" s="336"/>
      <c r="SR982" s="337"/>
      <c r="SS982" s="336"/>
      <c r="ST982" s="337"/>
      <c r="SU982" s="336"/>
      <c r="SV982" s="337"/>
      <c r="SW982" s="336"/>
      <c r="SX982" s="337"/>
      <c r="SY982" s="336"/>
      <c r="SZ982" s="337"/>
      <c r="TA982" s="336"/>
      <c r="TB982" s="337"/>
      <c r="TC982" s="336"/>
      <c r="TD982" s="337"/>
      <c r="TE982" s="336"/>
      <c r="TF982" s="337"/>
      <c r="TG982" s="336"/>
      <c r="TH982" s="337"/>
      <c r="TI982" s="336"/>
      <c r="TJ982" s="337"/>
      <c r="TK982" s="336"/>
      <c r="TL982" s="337"/>
      <c r="TM982" s="336"/>
      <c r="TN982" s="337"/>
      <c r="TO982" s="336"/>
      <c r="TP982" s="337"/>
      <c r="TQ982" s="336"/>
      <c r="TR982" s="337"/>
      <c r="TS982" s="336"/>
      <c r="TT982" s="337"/>
      <c r="TU982" s="336"/>
      <c r="TV982" s="337"/>
      <c r="TW982" s="336"/>
      <c r="TX982" s="337"/>
      <c r="TY982" s="336"/>
      <c r="TZ982" s="337"/>
      <c r="UA982" s="336"/>
      <c r="UB982" s="337"/>
      <c r="UC982" s="336"/>
      <c r="UD982" s="337"/>
      <c r="UE982" s="336"/>
      <c r="UF982" s="337"/>
      <c r="UG982" s="336"/>
      <c r="UH982" s="337"/>
      <c r="UI982" s="336"/>
      <c r="UJ982" s="337"/>
      <c r="UK982" s="336"/>
      <c r="UL982" s="337"/>
      <c r="UM982" s="336"/>
      <c r="UN982" s="337"/>
      <c r="UO982" s="336"/>
      <c r="UP982" s="337"/>
      <c r="UQ982" s="336"/>
      <c r="UR982" s="337"/>
      <c r="US982" s="336"/>
      <c r="UT982" s="337"/>
      <c r="UU982" s="336"/>
      <c r="UV982" s="337"/>
      <c r="UW982" s="336"/>
      <c r="UX982" s="337"/>
      <c r="UY982" s="336"/>
      <c r="UZ982" s="337"/>
      <c r="VA982" s="336"/>
      <c r="VB982" s="337"/>
      <c r="VC982" s="336"/>
      <c r="VD982" s="337"/>
      <c r="VE982" s="336"/>
      <c r="VF982" s="337"/>
      <c r="VG982" s="336"/>
      <c r="VH982" s="337"/>
      <c r="VI982" s="336"/>
      <c r="VJ982" s="337"/>
      <c r="VK982" s="336"/>
      <c r="VL982" s="337"/>
      <c r="VM982" s="336"/>
      <c r="VN982" s="337"/>
      <c r="VO982" s="336"/>
      <c r="VP982" s="337"/>
      <c r="VQ982" s="336"/>
      <c r="VR982" s="337"/>
      <c r="VS982" s="336"/>
      <c r="VT982" s="337"/>
      <c r="VU982" s="336"/>
      <c r="VV982" s="337"/>
      <c r="VW982" s="336"/>
      <c r="VX982" s="337"/>
      <c r="VY982" s="336"/>
      <c r="VZ982" s="337"/>
      <c r="WA982" s="336"/>
      <c r="WB982" s="337"/>
      <c r="WC982" s="336"/>
      <c r="WD982" s="337"/>
      <c r="WE982" s="336"/>
      <c r="WF982" s="337"/>
      <c r="WG982" s="336"/>
      <c r="WH982" s="337"/>
      <c r="WI982" s="336"/>
      <c r="WJ982" s="337"/>
      <c r="WK982" s="336"/>
      <c r="WL982" s="337"/>
      <c r="WM982" s="336"/>
      <c r="WN982" s="337"/>
      <c r="WO982" s="336"/>
      <c r="WP982" s="337"/>
      <c r="WQ982" s="336"/>
      <c r="WR982" s="337"/>
      <c r="WS982" s="336"/>
      <c r="WT982" s="337"/>
      <c r="WU982" s="336"/>
      <c r="WV982" s="337"/>
      <c r="WW982" s="336"/>
      <c r="WX982" s="337"/>
      <c r="WY982" s="336"/>
      <c r="WZ982" s="337"/>
      <c r="XA982" s="336"/>
      <c r="XB982" s="337"/>
      <c r="XC982" s="336"/>
      <c r="XD982" s="337"/>
      <c r="XE982" s="336"/>
      <c r="XF982" s="337"/>
      <c r="XG982" s="336"/>
      <c r="XH982" s="337"/>
      <c r="XI982" s="336"/>
      <c r="XJ982" s="337"/>
      <c r="XK982" s="336"/>
      <c r="XL982" s="337"/>
      <c r="XM982" s="336"/>
      <c r="XN982" s="337"/>
      <c r="XO982" s="336"/>
      <c r="XP982" s="337"/>
      <c r="XQ982" s="336"/>
      <c r="XR982" s="337"/>
      <c r="XS982" s="336"/>
      <c r="XT982" s="337"/>
      <c r="XU982" s="336"/>
      <c r="XV982" s="337"/>
      <c r="XW982" s="336"/>
      <c r="XX982" s="337"/>
      <c r="XY982" s="336"/>
      <c r="XZ982" s="337"/>
      <c r="YA982" s="336"/>
      <c r="YB982" s="337"/>
      <c r="YC982" s="336"/>
      <c r="YD982" s="337"/>
      <c r="YE982" s="336"/>
      <c r="YF982" s="337"/>
      <c r="YG982" s="336"/>
      <c r="YH982" s="337"/>
      <c r="YI982" s="336"/>
      <c r="YJ982" s="337"/>
      <c r="YK982" s="336"/>
      <c r="YL982" s="337"/>
      <c r="YM982" s="336"/>
      <c r="YN982" s="337"/>
      <c r="YO982" s="336"/>
      <c r="YP982" s="337"/>
      <c r="YQ982" s="336"/>
      <c r="YR982" s="337"/>
      <c r="YS982" s="336"/>
      <c r="YT982" s="337"/>
      <c r="YU982" s="336"/>
      <c r="YV982" s="337"/>
      <c r="YW982" s="336"/>
      <c r="YX982" s="337"/>
      <c r="YY982" s="336"/>
      <c r="YZ982" s="337"/>
      <c r="ZA982" s="336"/>
      <c r="ZB982" s="337"/>
      <c r="ZC982" s="336"/>
      <c r="ZD982" s="337"/>
      <c r="ZE982" s="336"/>
      <c r="ZF982" s="337"/>
      <c r="ZG982" s="336"/>
      <c r="ZH982" s="337"/>
      <c r="ZI982" s="336"/>
      <c r="ZJ982" s="337"/>
      <c r="ZK982" s="336"/>
      <c r="ZL982" s="337"/>
      <c r="ZM982" s="336"/>
      <c r="ZN982" s="337"/>
      <c r="ZO982" s="336"/>
      <c r="ZP982" s="337"/>
      <c r="ZQ982" s="336"/>
      <c r="ZR982" s="337"/>
      <c r="ZS982" s="336"/>
      <c r="ZT982" s="337"/>
      <c r="ZU982" s="336"/>
      <c r="ZV982" s="337"/>
      <c r="ZW982" s="336"/>
      <c r="ZX982" s="337"/>
      <c r="ZY982" s="336"/>
      <c r="ZZ982" s="337"/>
      <c r="AAA982" s="336"/>
      <c r="AAB982" s="337"/>
      <c r="AAC982" s="336"/>
      <c r="AAD982" s="337"/>
      <c r="AAE982" s="336"/>
      <c r="AAF982" s="337"/>
      <c r="AAG982" s="336"/>
      <c r="AAH982" s="337"/>
      <c r="AAI982" s="336"/>
      <c r="AAJ982" s="337"/>
      <c r="AAK982" s="336"/>
      <c r="AAL982" s="337"/>
      <c r="AAM982" s="336"/>
      <c r="AAN982" s="337"/>
      <c r="AAO982" s="336"/>
      <c r="AAP982" s="337"/>
      <c r="AAQ982" s="336"/>
      <c r="AAR982" s="337"/>
      <c r="AAS982" s="336"/>
      <c r="AAT982" s="337"/>
      <c r="AAU982" s="336"/>
      <c r="AAV982" s="337"/>
      <c r="AAW982" s="336"/>
      <c r="AAX982" s="337"/>
      <c r="AAY982" s="336"/>
      <c r="AAZ982" s="337"/>
      <c r="ABA982" s="336"/>
      <c r="ABB982" s="337"/>
      <c r="ABC982" s="336"/>
      <c r="ABD982" s="337"/>
      <c r="ABE982" s="336"/>
      <c r="ABF982" s="337"/>
      <c r="ABG982" s="336"/>
      <c r="ABH982" s="337"/>
      <c r="ABI982" s="336"/>
      <c r="ABJ982" s="337"/>
      <c r="ABK982" s="336"/>
      <c r="ABL982" s="337"/>
      <c r="ABM982" s="336"/>
      <c r="ABN982" s="337"/>
      <c r="ABO982" s="336"/>
      <c r="ABP982" s="337"/>
      <c r="ABQ982" s="336"/>
      <c r="ABR982" s="337"/>
      <c r="ABS982" s="336"/>
      <c r="ABT982" s="337"/>
      <c r="ABU982" s="336"/>
      <c r="ABV982" s="337"/>
      <c r="ABW982" s="336"/>
      <c r="ABX982" s="337"/>
      <c r="ABY982" s="336"/>
      <c r="ABZ982" s="337"/>
      <c r="ACA982" s="336"/>
      <c r="ACB982" s="337"/>
      <c r="ACC982" s="336"/>
      <c r="ACD982" s="337"/>
      <c r="ACE982" s="336"/>
      <c r="ACF982" s="337"/>
      <c r="ACG982" s="336"/>
      <c r="ACH982" s="337"/>
      <c r="ACI982" s="336"/>
      <c r="ACJ982" s="337"/>
      <c r="ACK982" s="336"/>
      <c r="ACL982" s="337"/>
      <c r="ACM982" s="336"/>
      <c r="ACN982" s="337"/>
      <c r="ACO982" s="336"/>
      <c r="ACP982" s="337"/>
      <c r="ACQ982" s="336"/>
      <c r="ACR982" s="337"/>
      <c r="ACS982" s="336"/>
      <c r="ACT982" s="337"/>
      <c r="ACU982" s="336"/>
      <c r="ACV982" s="337"/>
      <c r="ACW982" s="336"/>
      <c r="ACX982" s="337"/>
      <c r="ACY982" s="336"/>
      <c r="ACZ982" s="337"/>
      <c r="ADA982" s="336"/>
      <c r="ADB982" s="337"/>
      <c r="ADC982" s="336"/>
      <c r="ADD982" s="337"/>
      <c r="ADE982" s="336"/>
      <c r="ADF982" s="337"/>
      <c r="ADG982" s="336"/>
      <c r="ADH982" s="337"/>
      <c r="ADI982" s="336"/>
      <c r="ADJ982" s="337"/>
      <c r="ADK982" s="336"/>
      <c r="ADL982" s="337"/>
      <c r="ADM982" s="336"/>
      <c r="ADN982" s="337"/>
      <c r="ADO982" s="336"/>
      <c r="ADP982" s="337"/>
      <c r="ADQ982" s="336"/>
      <c r="ADR982" s="337"/>
      <c r="ADS982" s="336"/>
      <c r="ADT982" s="337"/>
      <c r="ADU982" s="336"/>
      <c r="ADV982" s="337"/>
      <c r="ADW982" s="336"/>
      <c r="ADX982" s="337"/>
      <c r="ADY982" s="336"/>
      <c r="ADZ982" s="337"/>
      <c r="AEA982" s="336"/>
      <c r="AEB982" s="337"/>
      <c r="AEC982" s="336"/>
      <c r="AED982" s="337"/>
      <c r="AEE982" s="336"/>
      <c r="AEF982" s="337"/>
      <c r="AEG982" s="336"/>
      <c r="AEH982" s="337"/>
      <c r="AEI982" s="336"/>
      <c r="AEJ982" s="337"/>
      <c r="AEK982" s="336"/>
      <c r="AEL982" s="337"/>
      <c r="AEM982" s="336"/>
      <c r="AEN982" s="337"/>
      <c r="AEO982" s="336"/>
      <c r="AEP982" s="337"/>
      <c r="AEQ982" s="336"/>
      <c r="AER982" s="337"/>
      <c r="AES982" s="336"/>
      <c r="AET982" s="337"/>
      <c r="AEU982" s="336"/>
      <c r="AEV982" s="337"/>
      <c r="AEW982" s="336"/>
      <c r="AEX982" s="337"/>
      <c r="AEY982" s="336"/>
      <c r="AEZ982" s="337"/>
      <c r="AFA982" s="336"/>
      <c r="AFB982" s="337"/>
      <c r="AFC982" s="336"/>
      <c r="AFD982" s="337"/>
      <c r="AFE982" s="336"/>
      <c r="AFF982" s="337"/>
      <c r="AFG982" s="336"/>
      <c r="AFH982" s="337"/>
      <c r="AFI982" s="336"/>
      <c r="AFJ982" s="337"/>
      <c r="AFK982" s="336"/>
      <c r="AFL982" s="337"/>
      <c r="AFM982" s="336"/>
      <c r="AFN982" s="337"/>
      <c r="AFO982" s="336"/>
      <c r="AFP982" s="337"/>
      <c r="AFQ982" s="336"/>
      <c r="AFR982" s="337"/>
      <c r="AFS982" s="336"/>
      <c r="AFT982" s="337"/>
      <c r="AFU982" s="336"/>
      <c r="AFV982" s="337"/>
      <c r="AFW982" s="336"/>
      <c r="AFX982" s="337"/>
      <c r="AFY982" s="336"/>
      <c r="AFZ982" s="337"/>
      <c r="AGA982" s="336"/>
      <c r="AGB982" s="337"/>
      <c r="AGC982" s="336"/>
      <c r="AGD982" s="337"/>
      <c r="AGE982" s="336"/>
      <c r="AGF982" s="337"/>
      <c r="AGG982" s="336"/>
      <c r="AGH982" s="337"/>
      <c r="AGI982" s="336"/>
      <c r="AGJ982" s="337"/>
      <c r="AGK982" s="336"/>
      <c r="AGL982" s="337"/>
      <c r="AGM982" s="336"/>
      <c r="AGN982" s="337"/>
      <c r="AGO982" s="336"/>
      <c r="AGP982" s="337"/>
      <c r="AGQ982" s="336"/>
      <c r="AGR982" s="337"/>
      <c r="AGS982" s="336"/>
      <c r="AGT982" s="337"/>
      <c r="AGU982" s="336"/>
      <c r="AGV982" s="337"/>
      <c r="AGW982" s="336"/>
      <c r="AGX982" s="337"/>
      <c r="AGY982" s="336"/>
      <c r="AGZ982" s="337"/>
      <c r="AHA982" s="336"/>
      <c r="AHB982" s="337"/>
      <c r="AHC982" s="336"/>
      <c r="AHD982" s="337"/>
      <c r="AHE982" s="336"/>
      <c r="AHF982" s="337"/>
      <c r="AHG982" s="336"/>
      <c r="AHH982" s="337"/>
      <c r="AHI982" s="336"/>
      <c r="AHJ982" s="337"/>
      <c r="AHK982" s="336"/>
      <c r="AHL982" s="337"/>
      <c r="AHM982" s="336"/>
      <c r="AHN982" s="337"/>
      <c r="AHO982" s="336"/>
      <c r="AHP982" s="337"/>
      <c r="AHQ982" s="336"/>
      <c r="AHR982" s="337"/>
      <c r="AHS982" s="336"/>
      <c r="AHT982" s="337"/>
      <c r="AHU982" s="336"/>
      <c r="AHV982" s="337"/>
      <c r="AHW982" s="336"/>
      <c r="AHX982" s="337"/>
      <c r="AHY982" s="336"/>
      <c r="AHZ982" s="337"/>
      <c r="AIA982" s="336"/>
      <c r="AIB982" s="337"/>
      <c r="AIC982" s="336"/>
      <c r="AID982" s="337"/>
      <c r="AIE982" s="336"/>
      <c r="AIF982" s="337"/>
      <c r="AIG982" s="336"/>
      <c r="AIH982" s="337"/>
      <c r="AII982" s="336"/>
      <c r="AIJ982" s="337"/>
      <c r="AIK982" s="336"/>
      <c r="AIL982" s="337"/>
      <c r="AIM982" s="336"/>
      <c r="AIN982" s="337"/>
      <c r="AIO982" s="336"/>
      <c r="AIP982" s="337"/>
      <c r="AIQ982" s="336"/>
      <c r="AIR982" s="337"/>
      <c r="AIS982" s="336"/>
      <c r="AIT982" s="337"/>
      <c r="AIU982" s="336"/>
      <c r="AIV982" s="337"/>
      <c r="AIW982" s="336"/>
      <c r="AIX982" s="337"/>
      <c r="AIY982" s="336"/>
      <c r="AIZ982" s="337"/>
      <c r="AJA982" s="336"/>
      <c r="AJB982" s="337"/>
      <c r="AJC982" s="336"/>
      <c r="AJD982" s="337"/>
      <c r="AJE982" s="336"/>
      <c r="AJF982" s="337"/>
      <c r="AJG982" s="336"/>
      <c r="AJH982" s="337"/>
      <c r="AJI982" s="336"/>
      <c r="AJJ982" s="337"/>
      <c r="AJK982" s="336"/>
      <c r="AJL982" s="337"/>
      <c r="AJM982" s="336"/>
      <c r="AJN982" s="337"/>
      <c r="AJO982" s="336"/>
      <c r="AJP982" s="337"/>
      <c r="AJQ982" s="336"/>
      <c r="AJR982" s="337"/>
      <c r="AJS982" s="336"/>
      <c r="AJT982" s="337"/>
      <c r="AJU982" s="336"/>
      <c r="AJV982" s="337"/>
      <c r="AJW982" s="336"/>
      <c r="AJX982" s="337"/>
      <c r="AJY982" s="336"/>
      <c r="AJZ982" s="337"/>
      <c r="AKA982" s="336"/>
      <c r="AKB982" s="337"/>
      <c r="AKC982" s="336"/>
      <c r="AKD982" s="337"/>
      <c r="AKE982" s="336"/>
      <c r="AKF982" s="337"/>
      <c r="AKG982" s="336"/>
      <c r="AKH982" s="337"/>
      <c r="AKI982" s="336"/>
      <c r="AKJ982" s="337"/>
      <c r="AKK982" s="336"/>
      <c r="AKL982" s="337"/>
      <c r="AKM982" s="336"/>
      <c r="AKN982" s="337"/>
      <c r="AKO982" s="336"/>
      <c r="AKP982" s="337"/>
      <c r="AKQ982" s="336"/>
      <c r="AKR982" s="337"/>
      <c r="AKS982" s="336"/>
      <c r="AKT982" s="337"/>
      <c r="AKU982" s="336"/>
      <c r="AKV982" s="337"/>
      <c r="AKW982" s="336"/>
      <c r="AKX982" s="337"/>
      <c r="AKY982" s="336"/>
      <c r="AKZ982" s="337"/>
      <c r="ALA982" s="336"/>
      <c r="ALB982" s="337"/>
      <c r="ALC982" s="336"/>
      <c r="ALD982" s="337"/>
      <c r="ALE982" s="336"/>
      <c r="ALF982" s="337"/>
      <c r="ALG982" s="336"/>
      <c r="ALH982" s="337"/>
      <c r="ALI982" s="336"/>
      <c r="ALJ982" s="337"/>
      <c r="ALK982" s="336"/>
      <c r="ALL982" s="337"/>
      <c r="ALM982" s="336"/>
      <c r="ALN982" s="337"/>
      <c r="ALO982" s="336"/>
      <c r="ALP982" s="337"/>
      <c r="ALQ982" s="336"/>
      <c r="ALR982" s="337"/>
      <c r="ALS982" s="336"/>
      <c r="ALT982" s="337"/>
      <c r="ALU982" s="336"/>
      <c r="ALV982" s="337"/>
      <c r="ALW982" s="336"/>
      <c r="ALX982" s="337"/>
      <c r="ALY982" s="336"/>
      <c r="ALZ982" s="337"/>
      <c r="AMA982" s="336"/>
      <c r="AMB982" s="337"/>
      <c r="AMC982" s="336"/>
      <c r="AMD982" s="337"/>
      <c r="AME982" s="336"/>
      <c r="AMF982" s="337"/>
      <c r="AMG982" s="336"/>
      <c r="AMH982" s="337"/>
      <c r="AMI982" s="336"/>
      <c r="AMJ982" s="337"/>
      <c r="AMK982" s="336"/>
      <c r="AML982" s="337"/>
      <c r="AMM982" s="336"/>
      <c r="AMN982" s="337"/>
      <c r="AMO982" s="336"/>
      <c r="AMP982" s="337"/>
      <c r="AMQ982" s="336"/>
      <c r="AMR982" s="337"/>
      <c r="AMS982" s="336"/>
      <c r="AMT982" s="337"/>
      <c r="AMU982" s="336"/>
      <c r="AMV982" s="337"/>
      <c r="AMW982" s="336"/>
      <c r="AMX982" s="337"/>
      <c r="AMY982" s="336"/>
      <c r="AMZ982" s="337"/>
      <c r="ANA982" s="336"/>
      <c r="ANB982" s="337"/>
      <c r="ANC982" s="336"/>
      <c r="AND982" s="337"/>
      <c r="ANE982" s="336"/>
      <c r="ANF982" s="337"/>
      <c r="ANG982" s="336"/>
      <c r="ANH982" s="337"/>
      <c r="ANI982" s="336"/>
      <c r="ANJ982" s="337"/>
      <c r="ANK982" s="336"/>
      <c r="ANL982" s="337"/>
      <c r="ANM982" s="336"/>
      <c r="ANN982" s="337"/>
      <c r="ANO982" s="336"/>
      <c r="ANP982" s="337"/>
      <c r="ANQ982" s="336"/>
      <c r="ANR982" s="337"/>
      <c r="ANS982" s="336"/>
      <c r="ANT982" s="337"/>
      <c r="ANU982" s="336"/>
      <c r="ANV982" s="337"/>
      <c r="ANW982" s="336"/>
      <c r="ANX982" s="337"/>
      <c r="ANY982" s="336"/>
      <c r="ANZ982" s="337"/>
      <c r="AOA982" s="336"/>
      <c r="AOB982" s="337"/>
      <c r="AOC982" s="336"/>
      <c r="AOD982" s="337"/>
      <c r="AOE982" s="336"/>
      <c r="AOF982" s="337"/>
      <c r="AOG982" s="336"/>
      <c r="AOH982" s="337"/>
      <c r="AOI982" s="336"/>
      <c r="AOJ982" s="337"/>
      <c r="AOK982" s="336"/>
      <c r="AOL982" s="337"/>
      <c r="AOM982" s="336"/>
      <c r="AON982" s="337"/>
      <c r="AOO982" s="336"/>
      <c r="AOP982" s="337"/>
      <c r="AOQ982" s="336"/>
      <c r="AOR982" s="337"/>
      <c r="AOS982" s="336"/>
      <c r="AOT982" s="337"/>
      <c r="AOU982" s="336"/>
      <c r="AOV982" s="337"/>
      <c r="AOW982" s="336"/>
      <c r="AOX982" s="337"/>
      <c r="AOY982" s="336"/>
      <c r="AOZ982" s="337"/>
      <c r="APA982" s="336"/>
      <c r="APB982" s="337"/>
      <c r="APC982" s="336"/>
      <c r="APD982" s="337"/>
      <c r="APE982" s="336"/>
      <c r="APF982" s="337"/>
      <c r="APG982" s="336"/>
      <c r="APH982" s="337"/>
      <c r="API982" s="336"/>
      <c r="APJ982" s="337"/>
      <c r="APK982" s="336"/>
      <c r="APL982" s="337"/>
      <c r="APM982" s="336"/>
      <c r="APN982" s="337"/>
      <c r="APO982" s="336"/>
      <c r="APP982" s="337"/>
      <c r="APQ982" s="336"/>
      <c r="APR982" s="337"/>
      <c r="APS982" s="336"/>
      <c r="APT982" s="337"/>
      <c r="APU982" s="336"/>
      <c r="APV982" s="337"/>
      <c r="APW982" s="336"/>
      <c r="APX982" s="337"/>
      <c r="APY982" s="336"/>
      <c r="APZ982" s="337"/>
      <c r="AQA982" s="336"/>
      <c r="AQB982" s="337"/>
      <c r="AQC982" s="336"/>
      <c r="AQD982" s="337"/>
      <c r="AQE982" s="336"/>
      <c r="AQF982" s="337"/>
      <c r="AQG982" s="336"/>
      <c r="AQH982" s="337"/>
      <c r="AQI982" s="336"/>
      <c r="AQJ982" s="337"/>
      <c r="AQK982" s="336"/>
      <c r="AQL982" s="337"/>
      <c r="AQM982" s="336"/>
      <c r="AQN982" s="337"/>
      <c r="AQO982" s="336"/>
      <c r="AQP982" s="337"/>
      <c r="AQQ982" s="336"/>
      <c r="AQR982" s="337"/>
      <c r="AQS982" s="336"/>
      <c r="AQT982" s="337"/>
      <c r="AQU982" s="336"/>
      <c r="AQV982" s="337"/>
      <c r="AQW982" s="336"/>
      <c r="AQX982" s="337"/>
      <c r="AQY982" s="336"/>
      <c r="AQZ982" s="337"/>
      <c r="ARA982" s="336"/>
      <c r="ARB982" s="337"/>
      <c r="ARC982" s="336"/>
      <c r="ARD982" s="337"/>
      <c r="ARE982" s="336"/>
      <c r="ARF982" s="337"/>
      <c r="ARG982" s="336"/>
      <c r="ARH982" s="337"/>
      <c r="ARI982" s="336"/>
      <c r="ARJ982" s="337"/>
      <c r="ARK982" s="336"/>
      <c r="ARL982" s="337"/>
      <c r="ARM982" s="336"/>
      <c r="ARN982" s="337"/>
      <c r="ARO982" s="336"/>
      <c r="ARP982" s="337"/>
      <c r="ARQ982" s="336"/>
      <c r="ARR982" s="337"/>
      <c r="ARS982" s="336"/>
      <c r="ART982" s="337"/>
      <c r="ARU982" s="336"/>
      <c r="ARV982" s="337"/>
      <c r="ARW982" s="336"/>
      <c r="ARX982" s="337"/>
      <c r="ARY982" s="336"/>
      <c r="ARZ982" s="337"/>
      <c r="ASA982" s="336"/>
      <c r="ASB982" s="337"/>
      <c r="ASC982" s="336"/>
      <c r="ASD982" s="337"/>
      <c r="ASE982" s="336"/>
      <c r="ASF982" s="337"/>
      <c r="ASG982" s="336"/>
      <c r="ASH982" s="337"/>
      <c r="ASI982" s="336"/>
      <c r="ASJ982" s="337"/>
      <c r="ASK982" s="336"/>
      <c r="ASL982" s="337"/>
      <c r="ASM982" s="336"/>
      <c r="ASN982" s="337"/>
      <c r="ASO982" s="336"/>
      <c r="ASP982" s="337"/>
      <c r="ASQ982" s="336"/>
      <c r="ASR982" s="337"/>
      <c r="ASS982" s="336"/>
      <c r="AST982" s="337"/>
      <c r="ASU982" s="336"/>
      <c r="ASV982" s="337"/>
      <c r="ASW982" s="336"/>
      <c r="ASX982" s="337"/>
      <c r="ASY982" s="336"/>
      <c r="ASZ982" s="337"/>
      <c r="ATA982" s="336"/>
      <c r="ATB982" s="337"/>
      <c r="ATC982" s="336"/>
      <c r="ATD982" s="337"/>
      <c r="ATE982" s="336"/>
      <c r="ATF982" s="337"/>
      <c r="ATG982" s="336"/>
      <c r="ATH982" s="337"/>
      <c r="ATI982" s="336"/>
      <c r="ATJ982" s="337"/>
      <c r="ATK982" s="336"/>
      <c r="ATL982" s="337"/>
      <c r="ATM982" s="336"/>
      <c r="ATN982" s="337"/>
      <c r="ATO982" s="336"/>
      <c r="ATP982" s="337"/>
      <c r="ATQ982" s="336"/>
      <c r="ATR982" s="337"/>
      <c r="ATS982" s="336"/>
      <c r="ATT982" s="337"/>
      <c r="ATU982" s="336"/>
      <c r="ATV982" s="337"/>
      <c r="ATW982" s="336"/>
      <c r="ATX982" s="337"/>
      <c r="ATY982" s="336"/>
      <c r="ATZ982" s="337"/>
      <c r="AUA982" s="336"/>
      <c r="AUB982" s="337"/>
      <c r="AUC982" s="336"/>
      <c r="AUD982" s="337"/>
      <c r="AUE982" s="336"/>
      <c r="AUF982" s="337"/>
      <c r="AUG982" s="336"/>
      <c r="AUH982" s="337"/>
      <c r="AUI982" s="336"/>
      <c r="AUJ982" s="337"/>
      <c r="AUK982" s="336"/>
      <c r="AUL982" s="337"/>
      <c r="AUM982" s="336"/>
      <c r="AUN982" s="337"/>
      <c r="AUO982" s="336"/>
      <c r="AUP982" s="337"/>
      <c r="AUQ982" s="336"/>
      <c r="AUR982" s="337"/>
      <c r="AUS982" s="336"/>
      <c r="AUT982" s="337"/>
      <c r="AUU982" s="336"/>
      <c r="AUV982" s="337"/>
      <c r="AUW982" s="336"/>
      <c r="AUX982" s="337"/>
      <c r="AUY982" s="336"/>
      <c r="AUZ982" s="337"/>
      <c r="AVA982" s="336"/>
      <c r="AVB982" s="337"/>
      <c r="AVC982" s="336"/>
      <c r="AVD982" s="337"/>
      <c r="AVE982" s="336"/>
      <c r="AVF982" s="337"/>
      <c r="AVG982" s="336"/>
      <c r="AVH982" s="337"/>
      <c r="AVI982" s="336"/>
      <c r="AVJ982" s="337"/>
      <c r="AVK982" s="336"/>
      <c r="AVL982" s="337"/>
      <c r="AVM982" s="336"/>
      <c r="AVN982" s="337"/>
      <c r="AVO982" s="336"/>
      <c r="AVP982" s="337"/>
      <c r="AVQ982" s="336"/>
      <c r="AVR982" s="337"/>
      <c r="AVS982" s="336"/>
      <c r="AVT982" s="337"/>
      <c r="AVU982" s="336"/>
      <c r="AVV982" s="337"/>
      <c r="AVW982" s="336"/>
      <c r="AVX982" s="337"/>
      <c r="AVY982" s="336"/>
      <c r="AVZ982" s="337"/>
      <c r="AWA982" s="336"/>
      <c r="AWB982" s="337"/>
      <c r="AWC982" s="336"/>
      <c r="AWD982" s="337"/>
      <c r="AWE982" s="336"/>
      <c r="AWF982" s="337"/>
      <c r="AWG982" s="336"/>
      <c r="AWH982" s="337"/>
      <c r="AWI982" s="336"/>
      <c r="AWJ982" s="337"/>
      <c r="AWK982" s="336"/>
      <c r="AWL982" s="337"/>
      <c r="AWM982" s="336"/>
      <c r="AWN982" s="337"/>
      <c r="AWO982" s="336"/>
      <c r="AWP982" s="337"/>
      <c r="AWQ982" s="336"/>
      <c r="AWR982" s="337"/>
      <c r="AWS982" s="336"/>
      <c r="AWT982" s="337"/>
      <c r="AWU982" s="336"/>
      <c r="AWV982" s="337"/>
      <c r="AWW982" s="336"/>
      <c r="AWX982" s="337"/>
      <c r="AWY982" s="336"/>
      <c r="AWZ982" s="337"/>
      <c r="AXA982" s="336"/>
      <c r="AXB982" s="337"/>
      <c r="AXC982" s="336"/>
      <c r="AXD982" s="337"/>
      <c r="AXE982" s="336"/>
      <c r="AXF982" s="337"/>
      <c r="AXG982" s="336"/>
      <c r="AXH982" s="337"/>
      <c r="AXI982" s="336"/>
      <c r="AXJ982" s="337"/>
      <c r="AXK982" s="336"/>
      <c r="AXL982" s="337"/>
      <c r="AXM982" s="336"/>
      <c r="AXN982" s="337"/>
      <c r="AXO982" s="336"/>
      <c r="AXP982" s="337"/>
      <c r="AXQ982" s="336"/>
      <c r="AXR982" s="337"/>
      <c r="AXS982" s="336"/>
      <c r="AXT982" s="337"/>
      <c r="AXU982" s="336"/>
      <c r="AXV982" s="337"/>
      <c r="AXW982" s="336"/>
      <c r="AXX982" s="337"/>
      <c r="AXY982" s="336"/>
      <c r="AXZ982" s="337"/>
      <c r="AYA982" s="336"/>
      <c r="AYB982" s="337"/>
      <c r="AYC982" s="336"/>
      <c r="AYD982" s="337"/>
      <c r="AYE982" s="336"/>
      <c r="AYF982" s="337"/>
      <c r="AYG982" s="336"/>
      <c r="AYH982" s="337"/>
      <c r="AYI982" s="336"/>
      <c r="AYJ982" s="337"/>
      <c r="AYK982" s="336"/>
      <c r="AYL982" s="337"/>
      <c r="AYM982" s="336"/>
      <c r="AYN982" s="337"/>
      <c r="AYO982" s="336"/>
      <c r="AYP982" s="337"/>
      <c r="AYQ982" s="336"/>
      <c r="AYR982" s="337"/>
      <c r="AYS982" s="336"/>
      <c r="AYT982" s="337"/>
      <c r="AYU982" s="336"/>
      <c r="AYV982" s="337"/>
      <c r="AYW982" s="336"/>
      <c r="AYX982" s="337"/>
      <c r="AYY982" s="336"/>
      <c r="AYZ982" s="337"/>
      <c r="AZA982" s="336"/>
      <c r="AZB982" s="337"/>
      <c r="AZC982" s="336"/>
      <c r="AZD982" s="337"/>
      <c r="AZE982" s="336"/>
      <c r="AZF982" s="337"/>
      <c r="AZG982" s="336"/>
      <c r="AZH982" s="337"/>
      <c r="AZI982" s="336"/>
      <c r="AZJ982" s="337"/>
      <c r="AZK982" s="336"/>
      <c r="AZL982" s="337"/>
      <c r="AZM982" s="336"/>
      <c r="AZN982" s="337"/>
      <c r="AZO982" s="336"/>
      <c r="AZP982" s="337"/>
      <c r="AZQ982" s="336"/>
      <c r="AZR982" s="337"/>
      <c r="AZS982" s="336"/>
      <c r="AZT982" s="337"/>
      <c r="AZU982" s="336"/>
      <c r="AZV982" s="337"/>
      <c r="AZW982" s="336"/>
      <c r="AZX982" s="337"/>
      <c r="AZY982" s="336"/>
      <c r="AZZ982" s="337"/>
      <c r="BAA982" s="336"/>
      <c r="BAB982" s="337"/>
      <c r="BAC982" s="336"/>
      <c r="BAD982" s="337"/>
      <c r="BAE982" s="336"/>
      <c r="BAF982" s="337"/>
      <c r="BAG982" s="336"/>
      <c r="BAH982" s="337"/>
      <c r="BAI982" s="336"/>
      <c r="BAJ982" s="337"/>
      <c r="BAK982" s="336"/>
      <c r="BAL982" s="337"/>
      <c r="BAM982" s="336"/>
      <c r="BAN982" s="337"/>
      <c r="BAO982" s="336"/>
      <c r="BAP982" s="337"/>
      <c r="BAQ982" s="336"/>
      <c r="BAR982" s="337"/>
      <c r="BAS982" s="336"/>
      <c r="BAT982" s="337"/>
      <c r="BAU982" s="336"/>
      <c r="BAV982" s="337"/>
      <c r="BAW982" s="336"/>
      <c r="BAX982" s="337"/>
      <c r="BAY982" s="336"/>
      <c r="BAZ982" s="337"/>
      <c r="BBA982" s="336"/>
      <c r="BBB982" s="337"/>
      <c r="BBC982" s="336"/>
      <c r="BBD982" s="337"/>
      <c r="BBE982" s="336"/>
      <c r="BBF982" s="337"/>
      <c r="BBG982" s="336"/>
      <c r="BBH982" s="337"/>
      <c r="BBI982" s="336"/>
      <c r="BBJ982" s="337"/>
      <c r="BBK982" s="336"/>
      <c r="BBL982" s="337"/>
      <c r="BBM982" s="336"/>
      <c r="BBN982" s="337"/>
      <c r="BBO982" s="336"/>
      <c r="BBP982" s="337"/>
      <c r="BBQ982" s="336"/>
      <c r="BBR982" s="337"/>
      <c r="BBS982" s="336"/>
      <c r="BBT982" s="337"/>
      <c r="BBU982" s="336"/>
      <c r="BBV982" s="337"/>
      <c r="BBW982" s="336"/>
      <c r="BBX982" s="337"/>
      <c r="BBY982" s="336"/>
      <c r="BBZ982" s="337"/>
      <c r="BCA982" s="336"/>
      <c r="BCB982" s="337"/>
      <c r="BCC982" s="336"/>
      <c r="BCD982" s="337"/>
      <c r="BCE982" s="336"/>
      <c r="BCF982" s="337"/>
      <c r="BCG982" s="336"/>
      <c r="BCH982" s="337"/>
      <c r="BCI982" s="336"/>
      <c r="BCJ982" s="337"/>
      <c r="BCK982" s="336"/>
      <c r="BCL982" s="337"/>
      <c r="BCM982" s="336"/>
      <c r="BCN982" s="337"/>
      <c r="BCO982" s="336"/>
      <c r="BCP982" s="337"/>
      <c r="BCQ982" s="336"/>
      <c r="BCR982" s="337"/>
      <c r="BCS982" s="336"/>
      <c r="BCT982" s="337"/>
      <c r="BCU982" s="336"/>
      <c r="BCV982" s="337"/>
      <c r="BCW982" s="336"/>
      <c r="BCX982" s="337"/>
      <c r="BCY982" s="336"/>
      <c r="BCZ982" s="337"/>
      <c r="BDA982" s="336"/>
      <c r="BDB982" s="337"/>
      <c r="BDC982" s="336"/>
      <c r="BDD982" s="337"/>
      <c r="BDE982" s="336"/>
      <c r="BDF982" s="337"/>
      <c r="BDG982" s="336"/>
      <c r="BDH982" s="337"/>
      <c r="BDI982" s="336"/>
      <c r="BDJ982" s="337"/>
      <c r="BDK982" s="336"/>
      <c r="BDL982" s="337"/>
      <c r="BDM982" s="336"/>
      <c r="BDN982" s="337"/>
      <c r="BDO982" s="336"/>
      <c r="BDP982" s="337"/>
      <c r="BDQ982" s="336"/>
      <c r="BDR982" s="337"/>
      <c r="BDS982" s="336"/>
      <c r="BDT982" s="337"/>
      <c r="BDU982" s="336"/>
      <c r="BDV982" s="337"/>
      <c r="BDW982" s="336"/>
      <c r="BDX982" s="337"/>
      <c r="BDY982" s="336"/>
      <c r="BDZ982" s="337"/>
      <c r="BEA982" s="336"/>
      <c r="BEB982" s="337"/>
      <c r="BEC982" s="336"/>
      <c r="BED982" s="337"/>
      <c r="BEE982" s="336"/>
      <c r="BEF982" s="337"/>
      <c r="BEG982" s="336"/>
      <c r="BEH982" s="337"/>
      <c r="BEI982" s="336"/>
      <c r="BEJ982" s="337"/>
      <c r="BEK982" s="336"/>
      <c r="BEL982" s="337"/>
      <c r="BEM982" s="336"/>
      <c r="BEN982" s="337"/>
      <c r="BEO982" s="336"/>
      <c r="BEP982" s="337"/>
      <c r="BEQ982" s="336"/>
      <c r="BER982" s="337"/>
      <c r="BES982" s="336"/>
      <c r="BET982" s="337"/>
      <c r="BEU982" s="336"/>
      <c r="BEV982" s="337"/>
      <c r="BEW982" s="336"/>
      <c r="BEX982" s="337"/>
      <c r="BEY982" s="336"/>
      <c r="BEZ982" s="337"/>
      <c r="BFA982" s="336"/>
      <c r="BFB982" s="337"/>
      <c r="BFC982" s="336"/>
      <c r="BFD982" s="337"/>
      <c r="BFE982" s="336"/>
      <c r="BFF982" s="337"/>
      <c r="BFG982" s="336"/>
      <c r="BFH982" s="337"/>
      <c r="BFI982" s="336"/>
      <c r="BFJ982" s="337"/>
      <c r="BFK982" s="336"/>
      <c r="BFL982" s="337"/>
      <c r="BFM982" s="336"/>
      <c r="BFN982" s="337"/>
      <c r="BFO982" s="336"/>
      <c r="BFP982" s="337"/>
      <c r="BFQ982" s="336"/>
      <c r="BFR982" s="337"/>
      <c r="BFS982" s="336"/>
      <c r="BFT982" s="337"/>
      <c r="BFU982" s="336"/>
      <c r="BFV982" s="337"/>
      <c r="BFW982" s="336"/>
      <c r="BFX982" s="337"/>
      <c r="BFY982" s="336"/>
      <c r="BFZ982" s="337"/>
      <c r="BGA982" s="336"/>
      <c r="BGB982" s="337"/>
      <c r="BGC982" s="336"/>
      <c r="BGD982" s="337"/>
      <c r="BGE982" s="336"/>
      <c r="BGF982" s="337"/>
      <c r="BGG982" s="336"/>
      <c r="BGH982" s="337"/>
      <c r="BGI982" s="336"/>
      <c r="BGJ982" s="337"/>
      <c r="BGK982" s="336"/>
      <c r="BGL982" s="337"/>
      <c r="BGM982" s="336"/>
      <c r="BGN982" s="337"/>
      <c r="BGO982" s="336"/>
      <c r="BGP982" s="337"/>
      <c r="BGQ982" s="336"/>
      <c r="BGR982" s="337"/>
      <c r="BGS982" s="336"/>
      <c r="BGT982" s="337"/>
      <c r="BGU982" s="336"/>
      <c r="BGV982" s="337"/>
      <c r="BGW982" s="336"/>
      <c r="BGX982" s="337"/>
      <c r="BGY982" s="336"/>
      <c r="BGZ982" s="337"/>
      <c r="BHA982" s="336"/>
      <c r="BHB982" s="337"/>
      <c r="BHC982" s="336"/>
      <c r="BHD982" s="337"/>
      <c r="BHE982" s="336"/>
      <c r="BHF982" s="337"/>
      <c r="BHG982" s="336"/>
      <c r="BHH982" s="337"/>
      <c r="BHI982" s="336"/>
      <c r="BHJ982" s="337"/>
      <c r="BHK982" s="336"/>
      <c r="BHL982" s="337"/>
      <c r="BHM982" s="336"/>
      <c r="BHN982" s="337"/>
      <c r="BHO982" s="336"/>
      <c r="BHP982" s="337"/>
      <c r="BHQ982" s="336"/>
      <c r="BHR982" s="337"/>
      <c r="BHS982" s="336"/>
      <c r="BHT982" s="337"/>
      <c r="BHU982" s="336"/>
      <c r="BHV982" s="337"/>
      <c r="BHW982" s="336"/>
      <c r="BHX982" s="337"/>
      <c r="BHY982" s="336"/>
      <c r="BHZ982" s="337"/>
      <c r="BIA982" s="336"/>
      <c r="BIB982" s="337"/>
      <c r="BIC982" s="336"/>
      <c r="BID982" s="337"/>
      <c r="BIE982" s="336"/>
      <c r="BIF982" s="337"/>
      <c r="BIG982" s="336"/>
      <c r="BIH982" s="337"/>
      <c r="BII982" s="336"/>
      <c r="BIJ982" s="337"/>
      <c r="BIK982" s="336"/>
      <c r="BIL982" s="337"/>
      <c r="BIM982" s="336"/>
      <c r="BIN982" s="337"/>
      <c r="BIO982" s="336"/>
      <c r="BIP982" s="337"/>
      <c r="BIQ982" s="336"/>
      <c r="BIR982" s="337"/>
      <c r="BIS982" s="336"/>
      <c r="BIT982" s="337"/>
      <c r="BIU982" s="336"/>
      <c r="BIV982" s="337"/>
      <c r="BIW982" s="336"/>
      <c r="BIX982" s="337"/>
      <c r="BIY982" s="336"/>
      <c r="BIZ982" s="337"/>
      <c r="BJA982" s="336"/>
      <c r="BJB982" s="337"/>
      <c r="BJC982" s="336"/>
      <c r="BJD982" s="337"/>
      <c r="BJE982" s="336"/>
      <c r="BJF982" s="337"/>
      <c r="BJG982" s="336"/>
      <c r="BJH982" s="337"/>
      <c r="BJI982" s="336"/>
      <c r="BJJ982" s="337"/>
      <c r="BJK982" s="336"/>
      <c r="BJL982" s="337"/>
      <c r="BJM982" s="336"/>
      <c r="BJN982" s="337"/>
      <c r="BJO982" s="336"/>
      <c r="BJP982" s="337"/>
      <c r="BJQ982" s="336"/>
      <c r="BJR982" s="337"/>
      <c r="BJS982" s="336"/>
      <c r="BJT982" s="337"/>
      <c r="BJU982" s="336"/>
      <c r="BJV982" s="337"/>
      <c r="BJW982" s="336"/>
      <c r="BJX982" s="337"/>
      <c r="BJY982" s="336"/>
      <c r="BJZ982" s="337"/>
      <c r="BKA982" s="336"/>
      <c r="BKB982" s="337"/>
      <c r="BKC982" s="336"/>
      <c r="BKD982" s="337"/>
      <c r="BKE982" s="336"/>
      <c r="BKF982" s="337"/>
      <c r="BKG982" s="336"/>
      <c r="BKH982" s="337"/>
      <c r="BKI982" s="336"/>
      <c r="BKJ982" s="337"/>
      <c r="BKK982" s="336"/>
      <c r="BKL982" s="337"/>
      <c r="BKM982" s="336"/>
      <c r="BKN982" s="337"/>
      <c r="BKO982" s="336"/>
      <c r="BKP982" s="337"/>
      <c r="BKQ982" s="336"/>
      <c r="BKR982" s="337"/>
      <c r="BKS982" s="336"/>
      <c r="BKT982" s="337"/>
      <c r="BKU982" s="336"/>
      <c r="BKV982" s="337"/>
      <c r="BKW982" s="336"/>
      <c r="BKX982" s="337"/>
      <c r="BKY982" s="336"/>
      <c r="BKZ982" s="337"/>
      <c r="BLA982" s="336"/>
      <c r="BLB982" s="337"/>
      <c r="BLC982" s="336"/>
      <c r="BLD982" s="337"/>
      <c r="BLE982" s="336"/>
      <c r="BLF982" s="337"/>
      <c r="BLG982" s="336"/>
      <c r="BLH982" s="337"/>
      <c r="BLI982" s="336"/>
      <c r="BLJ982" s="337"/>
      <c r="BLK982" s="336"/>
      <c r="BLL982" s="337"/>
      <c r="BLM982" s="336"/>
      <c r="BLN982" s="337"/>
      <c r="BLO982" s="336"/>
      <c r="BLP982" s="337"/>
      <c r="BLQ982" s="336"/>
      <c r="BLR982" s="337"/>
      <c r="BLS982" s="336"/>
      <c r="BLT982" s="337"/>
      <c r="BLU982" s="336"/>
      <c r="BLV982" s="337"/>
      <c r="BLW982" s="336"/>
      <c r="BLX982" s="337"/>
      <c r="BLY982" s="336"/>
      <c r="BLZ982" s="337"/>
      <c r="BMA982" s="336"/>
      <c r="BMB982" s="337"/>
      <c r="BMC982" s="336"/>
      <c r="BMD982" s="337"/>
      <c r="BME982" s="336"/>
      <c r="BMF982" s="337"/>
      <c r="BMG982" s="336"/>
      <c r="BMH982" s="337"/>
      <c r="BMI982" s="336"/>
      <c r="BMJ982" s="337"/>
      <c r="BMK982" s="336"/>
      <c r="BML982" s="337"/>
      <c r="BMM982" s="336"/>
      <c r="BMN982" s="337"/>
      <c r="BMO982" s="336"/>
      <c r="BMP982" s="337"/>
      <c r="BMQ982" s="336"/>
      <c r="BMR982" s="337"/>
      <c r="BMS982" s="336"/>
      <c r="BMT982" s="337"/>
      <c r="BMU982" s="336"/>
      <c r="BMV982" s="337"/>
      <c r="BMW982" s="336"/>
      <c r="BMX982" s="337"/>
      <c r="BMY982" s="336"/>
      <c r="BMZ982" s="337"/>
      <c r="BNA982" s="336"/>
      <c r="BNB982" s="337"/>
      <c r="BNC982" s="336"/>
      <c r="BND982" s="337"/>
      <c r="BNE982" s="336"/>
      <c r="BNF982" s="337"/>
      <c r="BNG982" s="336"/>
      <c r="BNH982" s="337"/>
      <c r="BNI982" s="336"/>
      <c r="BNJ982" s="337"/>
      <c r="BNK982" s="336"/>
      <c r="BNL982" s="337"/>
      <c r="BNM982" s="336"/>
      <c r="BNN982" s="337"/>
      <c r="BNO982" s="336"/>
      <c r="BNP982" s="337"/>
      <c r="BNQ982" s="336"/>
      <c r="BNR982" s="337"/>
      <c r="BNS982" s="336"/>
      <c r="BNT982" s="337"/>
      <c r="BNU982" s="336"/>
      <c r="BNV982" s="337"/>
      <c r="BNW982" s="336"/>
      <c r="BNX982" s="337"/>
      <c r="BNY982" s="336"/>
      <c r="BNZ982" s="337"/>
      <c r="BOA982" s="336"/>
      <c r="BOB982" s="337"/>
      <c r="BOC982" s="336"/>
      <c r="BOD982" s="337"/>
      <c r="BOE982" s="336"/>
      <c r="BOF982" s="337"/>
      <c r="BOG982" s="336"/>
      <c r="BOH982" s="337"/>
      <c r="BOI982" s="336"/>
      <c r="BOJ982" s="337"/>
      <c r="BOK982" s="336"/>
      <c r="BOL982" s="337"/>
      <c r="BOM982" s="336"/>
      <c r="BON982" s="337"/>
      <c r="BOO982" s="336"/>
      <c r="BOP982" s="337"/>
      <c r="BOQ982" s="336"/>
      <c r="BOR982" s="337"/>
      <c r="BOS982" s="336"/>
      <c r="BOT982" s="337"/>
      <c r="BOU982" s="336"/>
      <c r="BOV982" s="337"/>
      <c r="BOW982" s="336"/>
      <c r="BOX982" s="337"/>
      <c r="BOY982" s="336"/>
      <c r="BOZ982" s="337"/>
      <c r="BPA982" s="336"/>
      <c r="BPB982" s="337"/>
      <c r="BPC982" s="336"/>
      <c r="BPD982" s="337"/>
      <c r="BPE982" s="336"/>
      <c r="BPF982" s="337"/>
      <c r="BPG982" s="336"/>
      <c r="BPH982" s="337"/>
      <c r="BPI982" s="336"/>
      <c r="BPJ982" s="337"/>
      <c r="BPK982" s="336"/>
      <c r="BPL982" s="337"/>
      <c r="BPM982" s="336"/>
      <c r="BPN982" s="337"/>
      <c r="BPO982" s="336"/>
      <c r="BPP982" s="337"/>
      <c r="BPQ982" s="336"/>
      <c r="BPR982" s="337"/>
      <c r="BPS982" s="336"/>
      <c r="BPT982" s="337"/>
      <c r="BPU982" s="336"/>
      <c r="BPV982" s="337"/>
      <c r="BPW982" s="336"/>
      <c r="BPX982" s="337"/>
      <c r="BPY982" s="336"/>
      <c r="BPZ982" s="337"/>
      <c r="BQA982" s="336"/>
      <c r="BQB982" s="337"/>
      <c r="BQC982" s="336"/>
      <c r="BQD982" s="337"/>
      <c r="BQE982" s="336"/>
      <c r="BQF982" s="337"/>
      <c r="BQG982" s="336"/>
      <c r="BQH982" s="337"/>
      <c r="BQI982" s="336"/>
      <c r="BQJ982" s="337"/>
      <c r="BQK982" s="336"/>
      <c r="BQL982" s="337"/>
      <c r="BQM982" s="336"/>
      <c r="BQN982" s="337"/>
      <c r="BQO982" s="336"/>
      <c r="BQP982" s="337"/>
      <c r="BQQ982" s="336"/>
      <c r="BQR982" s="337"/>
      <c r="BQS982" s="336"/>
      <c r="BQT982" s="337"/>
      <c r="BQU982" s="336"/>
      <c r="BQV982" s="337"/>
      <c r="BQW982" s="336"/>
      <c r="BQX982" s="337"/>
      <c r="BQY982" s="336"/>
      <c r="BQZ982" s="337"/>
      <c r="BRA982" s="336"/>
      <c r="BRB982" s="337"/>
      <c r="BRC982" s="336"/>
      <c r="BRD982" s="337"/>
      <c r="BRE982" s="336"/>
      <c r="BRF982" s="337"/>
      <c r="BRG982" s="336"/>
      <c r="BRH982" s="337"/>
      <c r="BRI982" s="336"/>
      <c r="BRJ982" s="337"/>
      <c r="BRK982" s="336"/>
      <c r="BRL982" s="337"/>
      <c r="BRM982" s="336"/>
      <c r="BRN982" s="337"/>
      <c r="BRO982" s="336"/>
      <c r="BRP982" s="337"/>
      <c r="BRQ982" s="336"/>
      <c r="BRR982" s="337"/>
      <c r="BRS982" s="336"/>
      <c r="BRT982" s="337"/>
      <c r="BRU982" s="336"/>
      <c r="BRV982" s="337"/>
      <c r="BRW982" s="336"/>
      <c r="BRX982" s="337"/>
      <c r="BRY982" s="336"/>
      <c r="BRZ982" s="337"/>
      <c r="BSA982" s="336"/>
      <c r="BSB982" s="337"/>
      <c r="BSC982" s="336"/>
      <c r="BSD982" s="337"/>
      <c r="BSE982" s="336"/>
      <c r="BSF982" s="337"/>
      <c r="BSG982" s="336"/>
      <c r="BSH982" s="337"/>
      <c r="BSI982" s="336"/>
      <c r="BSJ982" s="337"/>
      <c r="BSK982" s="336"/>
      <c r="BSL982" s="337"/>
      <c r="BSM982" s="336"/>
      <c r="BSN982" s="337"/>
      <c r="BSO982" s="336"/>
      <c r="BSP982" s="337"/>
      <c r="BSQ982" s="336"/>
      <c r="BSR982" s="337"/>
      <c r="BSS982" s="336"/>
      <c r="BST982" s="337"/>
      <c r="BSU982" s="336"/>
      <c r="BSV982" s="337"/>
      <c r="BSW982" s="336"/>
      <c r="BSX982" s="337"/>
      <c r="BSY982" s="336"/>
      <c r="BSZ982" s="337"/>
      <c r="BTA982" s="336"/>
      <c r="BTB982" s="337"/>
      <c r="BTC982" s="336"/>
      <c r="BTD982" s="337"/>
      <c r="BTE982" s="336"/>
      <c r="BTF982" s="337"/>
      <c r="BTG982" s="336"/>
      <c r="BTH982" s="337"/>
      <c r="BTI982" s="336"/>
      <c r="BTJ982" s="337"/>
      <c r="BTK982" s="336"/>
      <c r="BTL982" s="337"/>
      <c r="BTM982" s="336"/>
      <c r="BTN982" s="337"/>
      <c r="BTO982" s="336"/>
      <c r="BTP982" s="337"/>
      <c r="BTQ982" s="336"/>
      <c r="BTR982" s="337"/>
      <c r="BTS982" s="336"/>
      <c r="BTT982" s="337"/>
      <c r="BTU982" s="336"/>
      <c r="BTV982" s="337"/>
      <c r="BTW982" s="336"/>
      <c r="BTX982" s="337"/>
      <c r="BTY982" s="336"/>
      <c r="BTZ982" s="337"/>
      <c r="BUA982" s="336"/>
      <c r="BUB982" s="337"/>
      <c r="BUC982" s="336"/>
      <c r="BUD982" s="337"/>
      <c r="BUE982" s="336"/>
      <c r="BUF982" s="337"/>
      <c r="BUG982" s="336"/>
      <c r="BUH982" s="337"/>
      <c r="BUI982" s="336"/>
      <c r="BUJ982" s="337"/>
      <c r="BUK982" s="336"/>
      <c r="BUL982" s="337"/>
      <c r="BUM982" s="336"/>
      <c r="BUN982" s="337"/>
      <c r="BUO982" s="336"/>
      <c r="BUP982" s="337"/>
      <c r="BUQ982" s="336"/>
      <c r="BUR982" s="337"/>
      <c r="BUS982" s="336"/>
      <c r="BUT982" s="337"/>
      <c r="BUU982" s="336"/>
      <c r="BUV982" s="337"/>
      <c r="BUW982" s="336"/>
      <c r="BUX982" s="337"/>
      <c r="BUY982" s="336"/>
      <c r="BUZ982" s="337"/>
      <c r="BVA982" s="336"/>
      <c r="BVB982" s="337"/>
      <c r="BVC982" s="336"/>
      <c r="BVD982" s="337"/>
      <c r="BVE982" s="336"/>
      <c r="BVF982" s="337"/>
      <c r="BVG982" s="336"/>
      <c r="BVH982" s="337"/>
      <c r="BVI982" s="336"/>
      <c r="BVJ982" s="337"/>
      <c r="BVK982" s="336"/>
      <c r="BVL982" s="337"/>
      <c r="BVM982" s="336"/>
      <c r="BVN982" s="337"/>
      <c r="BVO982" s="336"/>
      <c r="BVP982" s="337"/>
      <c r="BVQ982" s="336"/>
      <c r="BVR982" s="337"/>
      <c r="BVS982" s="336"/>
      <c r="BVT982" s="337"/>
      <c r="BVU982" s="336"/>
      <c r="BVV982" s="337"/>
      <c r="BVW982" s="336"/>
      <c r="BVX982" s="337"/>
      <c r="BVY982" s="336"/>
      <c r="BVZ982" s="337"/>
      <c r="BWA982" s="336"/>
      <c r="BWB982" s="337"/>
      <c r="BWC982" s="336"/>
      <c r="BWD982" s="337"/>
      <c r="BWE982" s="336"/>
      <c r="BWF982" s="337"/>
      <c r="BWG982" s="336"/>
      <c r="BWH982" s="337"/>
      <c r="BWI982" s="336"/>
      <c r="BWJ982" s="337"/>
      <c r="BWK982" s="336"/>
      <c r="BWL982" s="337"/>
      <c r="BWM982" s="336"/>
      <c r="BWN982" s="337"/>
      <c r="BWO982" s="336"/>
      <c r="BWP982" s="337"/>
      <c r="BWQ982" s="336"/>
      <c r="BWR982" s="337"/>
      <c r="BWS982" s="336"/>
      <c r="BWT982" s="337"/>
      <c r="BWU982" s="336"/>
      <c r="BWV982" s="337"/>
      <c r="BWW982" s="336"/>
      <c r="BWX982" s="337"/>
      <c r="BWY982" s="336"/>
      <c r="BWZ982" s="337"/>
      <c r="BXA982" s="336"/>
      <c r="BXB982" s="337"/>
      <c r="BXC982" s="336"/>
      <c r="BXD982" s="337"/>
      <c r="BXE982" s="336"/>
      <c r="BXF982" s="337"/>
      <c r="BXG982" s="336"/>
      <c r="BXH982" s="337"/>
      <c r="BXI982" s="336"/>
      <c r="BXJ982" s="337"/>
      <c r="BXK982" s="336"/>
      <c r="BXL982" s="337"/>
      <c r="BXM982" s="336"/>
      <c r="BXN982" s="337"/>
      <c r="BXO982" s="336"/>
      <c r="BXP982" s="337"/>
      <c r="BXQ982" s="336"/>
      <c r="BXR982" s="337"/>
      <c r="BXS982" s="336"/>
      <c r="BXT982" s="337"/>
      <c r="BXU982" s="336"/>
      <c r="BXV982" s="337"/>
      <c r="BXW982" s="336"/>
      <c r="BXX982" s="337"/>
      <c r="BXY982" s="336"/>
      <c r="BXZ982" s="337"/>
      <c r="BYA982" s="336"/>
      <c r="BYB982" s="337"/>
      <c r="BYC982" s="336"/>
      <c r="BYD982" s="337"/>
      <c r="BYE982" s="336"/>
      <c r="BYF982" s="337"/>
      <c r="BYG982" s="336"/>
      <c r="BYH982" s="337"/>
      <c r="BYI982" s="336"/>
      <c r="BYJ982" s="337"/>
      <c r="BYK982" s="336"/>
      <c r="BYL982" s="337"/>
      <c r="BYM982" s="336"/>
      <c r="BYN982" s="337"/>
      <c r="BYO982" s="336"/>
      <c r="BYP982" s="337"/>
      <c r="BYQ982" s="336"/>
      <c r="BYR982" s="337"/>
      <c r="BYS982" s="336"/>
      <c r="BYT982" s="337"/>
      <c r="BYU982" s="336"/>
      <c r="BYV982" s="337"/>
      <c r="BYW982" s="336"/>
      <c r="BYX982" s="337"/>
      <c r="BYY982" s="336"/>
      <c r="BYZ982" s="337"/>
      <c r="BZA982" s="336"/>
      <c r="BZB982" s="337"/>
      <c r="BZC982" s="336"/>
      <c r="BZD982" s="337"/>
      <c r="BZE982" s="336"/>
      <c r="BZF982" s="337"/>
      <c r="BZG982" s="336"/>
      <c r="BZH982" s="337"/>
      <c r="BZI982" s="336"/>
      <c r="BZJ982" s="337"/>
      <c r="BZK982" s="336"/>
      <c r="BZL982" s="337"/>
      <c r="BZM982" s="336"/>
      <c r="BZN982" s="337"/>
      <c r="BZO982" s="336"/>
      <c r="BZP982" s="337"/>
      <c r="BZQ982" s="336"/>
      <c r="BZR982" s="337"/>
      <c r="BZS982" s="336"/>
      <c r="BZT982" s="337"/>
      <c r="BZU982" s="336"/>
      <c r="BZV982" s="337"/>
      <c r="BZW982" s="336"/>
      <c r="BZX982" s="337"/>
      <c r="BZY982" s="336"/>
      <c r="BZZ982" s="337"/>
      <c r="CAA982" s="336"/>
      <c r="CAB982" s="337"/>
      <c r="CAC982" s="336"/>
      <c r="CAD982" s="337"/>
      <c r="CAE982" s="336"/>
      <c r="CAF982" s="337"/>
      <c r="CAG982" s="336"/>
      <c r="CAH982" s="337"/>
      <c r="CAI982" s="336"/>
      <c r="CAJ982" s="337"/>
      <c r="CAK982" s="336"/>
      <c r="CAL982" s="337"/>
      <c r="CAM982" s="336"/>
      <c r="CAN982" s="337"/>
      <c r="CAO982" s="336"/>
      <c r="CAP982" s="337"/>
      <c r="CAQ982" s="336"/>
      <c r="CAR982" s="337"/>
      <c r="CAS982" s="336"/>
      <c r="CAT982" s="337"/>
      <c r="CAU982" s="336"/>
      <c r="CAV982" s="337"/>
      <c r="CAW982" s="336"/>
      <c r="CAX982" s="337"/>
      <c r="CAY982" s="336"/>
      <c r="CAZ982" s="337"/>
      <c r="CBA982" s="336"/>
      <c r="CBB982" s="337"/>
      <c r="CBC982" s="336"/>
      <c r="CBD982" s="337"/>
      <c r="CBE982" s="336"/>
      <c r="CBF982" s="337"/>
      <c r="CBG982" s="336"/>
      <c r="CBH982" s="337"/>
      <c r="CBI982" s="336"/>
      <c r="CBJ982" s="337"/>
      <c r="CBK982" s="336"/>
      <c r="CBL982" s="337"/>
      <c r="CBM982" s="336"/>
      <c r="CBN982" s="337"/>
      <c r="CBO982" s="336"/>
      <c r="CBP982" s="337"/>
      <c r="CBQ982" s="336"/>
      <c r="CBR982" s="337"/>
      <c r="CBS982" s="336"/>
      <c r="CBT982" s="337"/>
      <c r="CBU982" s="336"/>
      <c r="CBV982" s="337"/>
      <c r="CBW982" s="336"/>
      <c r="CBX982" s="337"/>
      <c r="CBY982" s="336"/>
      <c r="CBZ982" s="337"/>
      <c r="CCA982" s="336"/>
      <c r="CCB982" s="337"/>
      <c r="CCC982" s="336"/>
      <c r="CCD982" s="337"/>
      <c r="CCE982" s="336"/>
      <c r="CCF982" s="337"/>
      <c r="CCG982" s="336"/>
      <c r="CCH982" s="337"/>
      <c r="CCI982" s="336"/>
      <c r="CCJ982" s="337"/>
      <c r="CCK982" s="336"/>
      <c r="CCL982" s="337"/>
      <c r="CCM982" s="336"/>
      <c r="CCN982" s="337"/>
      <c r="CCO982" s="336"/>
      <c r="CCP982" s="337"/>
      <c r="CCQ982" s="336"/>
      <c r="CCR982" s="337"/>
      <c r="CCS982" s="336"/>
      <c r="CCT982" s="337"/>
      <c r="CCU982" s="336"/>
      <c r="CCV982" s="337"/>
      <c r="CCW982" s="336"/>
      <c r="CCX982" s="337"/>
      <c r="CCY982" s="336"/>
      <c r="CCZ982" s="337"/>
      <c r="CDA982" s="336"/>
      <c r="CDB982" s="337"/>
      <c r="CDC982" s="336"/>
      <c r="CDD982" s="337"/>
      <c r="CDE982" s="336"/>
      <c r="CDF982" s="337"/>
      <c r="CDG982" s="336"/>
      <c r="CDH982" s="337"/>
      <c r="CDI982" s="336"/>
      <c r="CDJ982" s="337"/>
      <c r="CDK982" s="336"/>
      <c r="CDL982" s="337"/>
      <c r="CDM982" s="336"/>
      <c r="CDN982" s="337"/>
      <c r="CDO982" s="336"/>
      <c r="CDP982" s="337"/>
      <c r="CDQ982" s="336"/>
      <c r="CDR982" s="337"/>
      <c r="CDS982" s="336"/>
      <c r="CDT982" s="337"/>
      <c r="CDU982" s="336"/>
      <c r="CDV982" s="337"/>
      <c r="CDW982" s="336"/>
      <c r="CDX982" s="337"/>
      <c r="CDY982" s="336"/>
      <c r="CDZ982" s="337"/>
      <c r="CEA982" s="336"/>
      <c r="CEB982" s="337"/>
      <c r="CEC982" s="336"/>
      <c r="CED982" s="337"/>
      <c r="CEE982" s="336"/>
      <c r="CEF982" s="337"/>
      <c r="CEG982" s="336"/>
      <c r="CEH982" s="337"/>
      <c r="CEI982" s="336"/>
      <c r="CEJ982" s="337"/>
      <c r="CEK982" s="336"/>
      <c r="CEL982" s="337"/>
      <c r="CEM982" s="336"/>
      <c r="CEN982" s="337"/>
      <c r="CEO982" s="336"/>
      <c r="CEP982" s="337"/>
      <c r="CEQ982" s="336"/>
      <c r="CER982" s="337"/>
      <c r="CES982" s="336"/>
      <c r="CET982" s="337"/>
      <c r="CEU982" s="336"/>
      <c r="CEV982" s="337"/>
      <c r="CEW982" s="336"/>
      <c r="CEX982" s="337"/>
      <c r="CEY982" s="336"/>
      <c r="CEZ982" s="337"/>
      <c r="CFA982" s="336"/>
      <c r="CFB982" s="337"/>
      <c r="CFC982" s="336"/>
      <c r="CFD982" s="337"/>
      <c r="CFE982" s="336"/>
      <c r="CFF982" s="337"/>
      <c r="CFG982" s="336"/>
      <c r="CFH982" s="337"/>
      <c r="CFI982" s="336"/>
      <c r="CFJ982" s="337"/>
      <c r="CFK982" s="336"/>
      <c r="CFL982" s="337"/>
      <c r="CFM982" s="336"/>
      <c r="CFN982" s="337"/>
      <c r="CFO982" s="336"/>
      <c r="CFP982" s="337"/>
      <c r="CFQ982" s="336"/>
      <c r="CFR982" s="337"/>
      <c r="CFS982" s="336"/>
      <c r="CFT982" s="337"/>
      <c r="CFU982" s="336"/>
      <c r="CFV982" s="337"/>
      <c r="CFW982" s="336"/>
      <c r="CFX982" s="337"/>
      <c r="CFY982" s="336"/>
      <c r="CFZ982" s="337"/>
      <c r="CGA982" s="336"/>
      <c r="CGB982" s="337"/>
      <c r="CGC982" s="336"/>
      <c r="CGD982" s="337"/>
      <c r="CGE982" s="336"/>
      <c r="CGF982" s="337"/>
      <c r="CGG982" s="336"/>
      <c r="CGH982" s="337"/>
      <c r="CGI982" s="336"/>
      <c r="CGJ982" s="337"/>
      <c r="CGK982" s="336"/>
      <c r="CGL982" s="337"/>
      <c r="CGM982" s="336"/>
      <c r="CGN982" s="337"/>
      <c r="CGO982" s="336"/>
      <c r="CGP982" s="337"/>
      <c r="CGQ982" s="336"/>
      <c r="CGR982" s="337"/>
      <c r="CGS982" s="336"/>
      <c r="CGT982" s="337"/>
      <c r="CGU982" s="336"/>
      <c r="CGV982" s="337"/>
      <c r="CGW982" s="336"/>
      <c r="CGX982" s="337"/>
      <c r="CGY982" s="336"/>
      <c r="CGZ982" s="337"/>
      <c r="CHA982" s="336"/>
      <c r="CHB982" s="337"/>
      <c r="CHC982" s="336"/>
      <c r="CHD982" s="337"/>
      <c r="CHE982" s="336"/>
      <c r="CHF982" s="337"/>
      <c r="CHG982" s="336"/>
      <c r="CHH982" s="337"/>
      <c r="CHI982" s="336"/>
      <c r="CHJ982" s="337"/>
      <c r="CHK982" s="336"/>
      <c r="CHL982" s="337"/>
      <c r="CHM982" s="336"/>
      <c r="CHN982" s="337"/>
      <c r="CHO982" s="336"/>
      <c r="CHP982" s="337"/>
      <c r="CHQ982" s="336"/>
      <c r="CHR982" s="337"/>
      <c r="CHS982" s="336"/>
      <c r="CHT982" s="337"/>
      <c r="CHU982" s="336"/>
      <c r="CHV982" s="337"/>
      <c r="CHW982" s="336"/>
      <c r="CHX982" s="337"/>
      <c r="CHY982" s="336"/>
      <c r="CHZ982" s="337"/>
      <c r="CIA982" s="336"/>
      <c r="CIB982" s="337"/>
      <c r="CIC982" s="336"/>
      <c r="CID982" s="337"/>
      <c r="CIE982" s="336"/>
      <c r="CIF982" s="337"/>
      <c r="CIG982" s="336"/>
      <c r="CIH982" s="337"/>
      <c r="CII982" s="336"/>
      <c r="CIJ982" s="337"/>
      <c r="CIK982" s="336"/>
      <c r="CIL982" s="337"/>
      <c r="CIM982" s="336"/>
      <c r="CIN982" s="337"/>
      <c r="CIO982" s="336"/>
      <c r="CIP982" s="337"/>
      <c r="CIQ982" s="336"/>
      <c r="CIR982" s="337"/>
      <c r="CIS982" s="336"/>
      <c r="CIT982" s="337"/>
      <c r="CIU982" s="336"/>
      <c r="CIV982" s="337"/>
      <c r="CIW982" s="336"/>
      <c r="CIX982" s="337"/>
      <c r="CIY982" s="336"/>
      <c r="CIZ982" s="337"/>
      <c r="CJA982" s="336"/>
      <c r="CJB982" s="337"/>
      <c r="CJC982" s="336"/>
      <c r="CJD982" s="337"/>
      <c r="CJE982" s="336"/>
      <c r="CJF982" s="337"/>
      <c r="CJG982" s="336"/>
      <c r="CJH982" s="337"/>
      <c r="CJI982" s="336"/>
      <c r="CJJ982" s="337"/>
      <c r="CJK982" s="336"/>
      <c r="CJL982" s="337"/>
      <c r="CJM982" s="336"/>
      <c r="CJN982" s="337"/>
      <c r="CJO982" s="336"/>
      <c r="CJP982" s="337"/>
      <c r="CJQ982" s="336"/>
      <c r="CJR982" s="337"/>
      <c r="CJS982" s="336"/>
      <c r="CJT982" s="337"/>
      <c r="CJU982" s="336"/>
      <c r="CJV982" s="337"/>
      <c r="CJW982" s="336"/>
      <c r="CJX982" s="337"/>
      <c r="CJY982" s="336"/>
      <c r="CJZ982" s="337"/>
      <c r="CKA982" s="336"/>
      <c r="CKB982" s="337"/>
      <c r="CKC982" s="336"/>
      <c r="CKD982" s="337"/>
      <c r="CKE982" s="336"/>
      <c r="CKF982" s="337"/>
      <c r="CKG982" s="336"/>
      <c r="CKH982" s="337"/>
      <c r="CKI982" s="336"/>
      <c r="CKJ982" s="337"/>
      <c r="CKK982" s="336"/>
      <c r="CKL982" s="337"/>
      <c r="CKM982" s="336"/>
      <c r="CKN982" s="337"/>
      <c r="CKO982" s="336"/>
      <c r="CKP982" s="337"/>
      <c r="CKQ982" s="336"/>
      <c r="CKR982" s="337"/>
      <c r="CKS982" s="336"/>
      <c r="CKT982" s="337"/>
      <c r="CKU982" s="336"/>
      <c r="CKV982" s="337"/>
      <c r="CKW982" s="336"/>
      <c r="CKX982" s="337"/>
      <c r="CKY982" s="336"/>
      <c r="CKZ982" s="337"/>
      <c r="CLA982" s="336"/>
      <c r="CLB982" s="337"/>
      <c r="CLC982" s="336"/>
      <c r="CLD982" s="337"/>
      <c r="CLE982" s="336"/>
      <c r="CLF982" s="337"/>
      <c r="CLG982" s="336"/>
      <c r="CLH982" s="337"/>
      <c r="CLI982" s="336"/>
      <c r="CLJ982" s="337"/>
      <c r="CLK982" s="336"/>
      <c r="CLL982" s="337"/>
      <c r="CLM982" s="336"/>
      <c r="CLN982" s="337"/>
      <c r="CLO982" s="336"/>
      <c r="CLP982" s="337"/>
      <c r="CLQ982" s="336"/>
      <c r="CLR982" s="337"/>
      <c r="CLS982" s="336"/>
      <c r="CLT982" s="337"/>
      <c r="CLU982" s="336"/>
      <c r="CLV982" s="337"/>
      <c r="CLW982" s="336"/>
      <c r="CLX982" s="337"/>
      <c r="CLY982" s="336"/>
      <c r="CLZ982" s="337"/>
      <c r="CMA982" s="336"/>
      <c r="CMB982" s="337"/>
      <c r="CMC982" s="336"/>
      <c r="CMD982" s="337"/>
      <c r="CME982" s="336"/>
      <c r="CMF982" s="337"/>
      <c r="CMG982" s="336"/>
      <c r="CMH982" s="337"/>
      <c r="CMI982" s="336"/>
      <c r="CMJ982" s="337"/>
      <c r="CMK982" s="336"/>
      <c r="CML982" s="337"/>
      <c r="CMM982" s="336"/>
      <c r="CMN982" s="337"/>
      <c r="CMO982" s="336"/>
      <c r="CMP982" s="337"/>
      <c r="CMQ982" s="336"/>
      <c r="CMR982" s="337"/>
      <c r="CMS982" s="336"/>
      <c r="CMT982" s="337"/>
      <c r="CMU982" s="336"/>
      <c r="CMV982" s="337"/>
      <c r="CMW982" s="336"/>
      <c r="CMX982" s="337"/>
      <c r="CMY982" s="336"/>
      <c r="CMZ982" s="337"/>
      <c r="CNA982" s="336"/>
      <c r="CNB982" s="337"/>
      <c r="CNC982" s="336"/>
      <c r="CND982" s="337"/>
      <c r="CNE982" s="336"/>
      <c r="CNF982" s="337"/>
      <c r="CNG982" s="336"/>
      <c r="CNH982" s="337"/>
      <c r="CNI982" s="336"/>
      <c r="CNJ982" s="337"/>
      <c r="CNK982" s="336"/>
      <c r="CNL982" s="337"/>
      <c r="CNM982" s="336"/>
      <c r="CNN982" s="337"/>
      <c r="CNO982" s="336"/>
      <c r="CNP982" s="337"/>
      <c r="CNQ982" s="336"/>
      <c r="CNR982" s="337"/>
      <c r="CNS982" s="336"/>
      <c r="CNT982" s="337"/>
      <c r="CNU982" s="336"/>
      <c r="CNV982" s="337"/>
      <c r="CNW982" s="336"/>
      <c r="CNX982" s="337"/>
      <c r="CNY982" s="336"/>
      <c r="CNZ982" s="337"/>
      <c r="COA982" s="336"/>
      <c r="COB982" s="337"/>
      <c r="COC982" s="336"/>
      <c r="COD982" s="337"/>
      <c r="COE982" s="336"/>
      <c r="COF982" s="337"/>
      <c r="COG982" s="336"/>
      <c r="COH982" s="337"/>
      <c r="COI982" s="336"/>
      <c r="COJ982" s="337"/>
      <c r="COK982" s="336"/>
      <c r="COL982" s="337"/>
      <c r="COM982" s="336"/>
      <c r="CON982" s="337"/>
      <c r="COO982" s="336"/>
      <c r="COP982" s="337"/>
      <c r="COQ982" s="336"/>
      <c r="COR982" s="337"/>
      <c r="COS982" s="336"/>
      <c r="COT982" s="337"/>
      <c r="COU982" s="336"/>
      <c r="COV982" s="337"/>
      <c r="COW982" s="336"/>
      <c r="COX982" s="337"/>
      <c r="COY982" s="336"/>
      <c r="COZ982" s="337"/>
      <c r="CPA982" s="336"/>
      <c r="CPB982" s="337"/>
      <c r="CPC982" s="336"/>
      <c r="CPD982" s="337"/>
      <c r="CPE982" s="336"/>
      <c r="CPF982" s="337"/>
      <c r="CPG982" s="336"/>
      <c r="CPH982" s="337"/>
      <c r="CPI982" s="336"/>
      <c r="CPJ982" s="337"/>
      <c r="CPK982" s="336"/>
      <c r="CPL982" s="337"/>
      <c r="CPM982" s="336"/>
      <c r="CPN982" s="337"/>
      <c r="CPO982" s="336"/>
      <c r="CPP982" s="337"/>
      <c r="CPQ982" s="336"/>
      <c r="CPR982" s="337"/>
      <c r="CPS982" s="336"/>
      <c r="CPT982" s="337"/>
      <c r="CPU982" s="336"/>
      <c r="CPV982" s="337"/>
      <c r="CPW982" s="336"/>
      <c r="CPX982" s="337"/>
      <c r="CPY982" s="336"/>
      <c r="CPZ982" s="337"/>
      <c r="CQA982" s="336"/>
      <c r="CQB982" s="337"/>
      <c r="CQC982" s="336"/>
      <c r="CQD982" s="337"/>
      <c r="CQE982" s="336"/>
      <c r="CQF982" s="337"/>
      <c r="CQG982" s="336"/>
      <c r="CQH982" s="337"/>
      <c r="CQI982" s="336"/>
      <c r="CQJ982" s="337"/>
      <c r="CQK982" s="336"/>
      <c r="CQL982" s="337"/>
      <c r="CQM982" s="336"/>
      <c r="CQN982" s="337"/>
      <c r="CQO982" s="336"/>
      <c r="CQP982" s="337"/>
      <c r="CQQ982" s="336"/>
      <c r="CQR982" s="337"/>
      <c r="CQS982" s="336"/>
      <c r="CQT982" s="337"/>
      <c r="CQU982" s="336"/>
      <c r="CQV982" s="337"/>
      <c r="CQW982" s="336"/>
      <c r="CQX982" s="337"/>
      <c r="CQY982" s="336"/>
      <c r="CQZ982" s="337"/>
      <c r="CRA982" s="336"/>
      <c r="CRB982" s="337"/>
      <c r="CRC982" s="336"/>
      <c r="CRD982" s="337"/>
      <c r="CRE982" s="336"/>
      <c r="CRF982" s="337"/>
      <c r="CRG982" s="336"/>
      <c r="CRH982" s="337"/>
      <c r="CRI982" s="336"/>
      <c r="CRJ982" s="337"/>
      <c r="CRK982" s="336"/>
      <c r="CRL982" s="337"/>
      <c r="CRM982" s="336"/>
      <c r="CRN982" s="337"/>
      <c r="CRO982" s="336"/>
      <c r="CRP982" s="337"/>
      <c r="CRQ982" s="336"/>
      <c r="CRR982" s="337"/>
      <c r="CRS982" s="336"/>
      <c r="CRT982" s="337"/>
      <c r="CRU982" s="336"/>
      <c r="CRV982" s="337"/>
      <c r="CRW982" s="336"/>
      <c r="CRX982" s="337"/>
      <c r="CRY982" s="336"/>
      <c r="CRZ982" s="337"/>
      <c r="CSA982" s="336"/>
      <c r="CSB982" s="337"/>
      <c r="CSC982" s="336"/>
      <c r="CSD982" s="337"/>
      <c r="CSE982" s="336"/>
      <c r="CSF982" s="337"/>
      <c r="CSG982" s="336"/>
      <c r="CSH982" s="337"/>
      <c r="CSI982" s="336"/>
      <c r="CSJ982" s="337"/>
      <c r="CSK982" s="336"/>
      <c r="CSL982" s="337"/>
      <c r="CSM982" s="336"/>
      <c r="CSN982" s="337"/>
      <c r="CSO982" s="336"/>
      <c r="CSP982" s="337"/>
      <c r="CSQ982" s="336"/>
      <c r="CSR982" s="337"/>
      <c r="CSS982" s="336"/>
      <c r="CST982" s="337"/>
      <c r="CSU982" s="336"/>
      <c r="CSV982" s="337"/>
      <c r="CSW982" s="336"/>
      <c r="CSX982" s="337"/>
      <c r="CSY982" s="336"/>
      <c r="CSZ982" s="337"/>
      <c r="CTA982" s="336"/>
      <c r="CTB982" s="337"/>
      <c r="CTC982" s="336"/>
      <c r="CTD982" s="337"/>
      <c r="CTE982" s="336"/>
      <c r="CTF982" s="337"/>
      <c r="CTG982" s="336"/>
      <c r="CTH982" s="337"/>
      <c r="CTI982" s="336"/>
      <c r="CTJ982" s="337"/>
      <c r="CTK982" s="336"/>
      <c r="CTL982" s="337"/>
      <c r="CTM982" s="336"/>
      <c r="CTN982" s="337"/>
      <c r="CTO982" s="336"/>
      <c r="CTP982" s="337"/>
      <c r="CTQ982" s="336"/>
      <c r="CTR982" s="337"/>
      <c r="CTS982" s="336"/>
      <c r="CTT982" s="337"/>
      <c r="CTU982" s="336"/>
      <c r="CTV982" s="337"/>
      <c r="CTW982" s="336"/>
      <c r="CTX982" s="337"/>
      <c r="CTY982" s="336"/>
      <c r="CTZ982" s="337"/>
      <c r="CUA982" s="336"/>
      <c r="CUB982" s="337"/>
      <c r="CUC982" s="336"/>
      <c r="CUD982" s="337"/>
      <c r="CUE982" s="336"/>
      <c r="CUF982" s="337"/>
      <c r="CUG982" s="336"/>
      <c r="CUH982" s="337"/>
      <c r="CUI982" s="336"/>
      <c r="CUJ982" s="337"/>
      <c r="CUK982" s="336"/>
      <c r="CUL982" s="337"/>
      <c r="CUM982" s="336"/>
      <c r="CUN982" s="337"/>
      <c r="CUO982" s="336"/>
      <c r="CUP982" s="337"/>
      <c r="CUQ982" s="336"/>
      <c r="CUR982" s="337"/>
      <c r="CUS982" s="336"/>
      <c r="CUT982" s="337"/>
      <c r="CUU982" s="336"/>
      <c r="CUV982" s="337"/>
      <c r="CUW982" s="336"/>
      <c r="CUX982" s="337"/>
      <c r="CUY982" s="336"/>
      <c r="CUZ982" s="337"/>
      <c r="CVA982" s="336"/>
      <c r="CVB982" s="337"/>
      <c r="CVC982" s="336"/>
      <c r="CVD982" s="337"/>
      <c r="CVE982" s="336"/>
      <c r="CVF982" s="337"/>
      <c r="CVG982" s="336"/>
      <c r="CVH982" s="337"/>
      <c r="CVI982" s="336"/>
      <c r="CVJ982" s="337"/>
      <c r="CVK982" s="336"/>
      <c r="CVL982" s="337"/>
      <c r="CVM982" s="336"/>
      <c r="CVN982" s="337"/>
      <c r="CVO982" s="336"/>
      <c r="CVP982" s="337"/>
      <c r="CVQ982" s="336"/>
      <c r="CVR982" s="337"/>
      <c r="CVS982" s="336"/>
      <c r="CVT982" s="337"/>
      <c r="CVU982" s="336"/>
      <c r="CVV982" s="337"/>
      <c r="CVW982" s="336"/>
      <c r="CVX982" s="337"/>
      <c r="CVY982" s="336"/>
      <c r="CVZ982" s="337"/>
      <c r="CWA982" s="336"/>
      <c r="CWB982" s="337"/>
      <c r="CWC982" s="336"/>
      <c r="CWD982" s="337"/>
      <c r="CWE982" s="336"/>
      <c r="CWF982" s="337"/>
      <c r="CWG982" s="336"/>
      <c r="CWH982" s="337"/>
      <c r="CWI982" s="336"/>
      <c r="CWJ982" s="337"/>
      <c r="CWK982" s="336"/>
      <c r="CWL982" s="337"/>
      <c r="CWM982" s="336"/>
      <c r="CWN982" s="337"/>
      <c r="CWO982" s="336"/>
      <c r="CWP982" s="337"/>
      <c r="CWQ982" s="336"/>
      <c r="CWR982" s="337"/>
      <c r="CWS982" s="336"/>
      <c r="CWT982" s="337"/>
      <c r="CWU982" s="336"/>
      <c r="CWV982" s="337"/>
      <c r="CWW982" s="336"/>
      <c r="CWX982" s="337"/>
      <c r="CWY982" s="336"/>
      <c r="CWZ982" s="337"/>
      <c r="CXA982" s="336"/>
      <c r="CXB982" s="337"/>
      <c r="CXC982" s="336"/>
      <c r="CXD982" s="337"/>
      <c r="CXE982" s="336"/>
      <c r="CXF982" s="337"/>
      <c r="CXG982" s="336"/>
      <c r="CXH982" s="337"/>
      <c r="CXI982" s="336"/>
      <c r="CXJ982" s="337"/>
      <c r="CXK982" s="336"/>
      <c r="CXL982" s="337"/>
      <c r="CXM982" s="336"/>
      <c r="CXN982" s="337"/>
      <c r="CXO982" s="336"/>
      <c r="CXP982" s="337"/>
      <c r="CXQ982" s="336"/>
      <c r="CXR982" s="337"/>
      <c r="CXS982" s="336"/>
      <c r="CXT982" s="337"/>
      <c r="CXU982" s="336"/>
      <c r="CXV982" s="337"/>
      <c r="CXW982" s="336"/>
      <c r="CXX982" s="337"/>
      <c r="CXY982" s="336"/>
      <c r="CXZ982" s="337"/>
      <c r="CYA982" s="336"/>
      <c r="CYB982" s="337"/>
      <c r="CYC982" s="336"/>
      <c r="CYD982" s="337"/>
      <c r="CYE982" s="336"/>
      <c r="CYF982" s="337"/>
      <c r="CYG982" s="336"/>
      <c r="CYH982" s="337"/>
      <c r="CYI982" s="336"/>
      <c r="CYJ982" s="337"/>
      <c r="CYK982" s="336"/>
      <c r="CYL982" s="337"/>
      <c r="CYM982" s="336"/>
      <c r="CYN982" s="337"/>
      <c r="CYO982" s="336"/>
      <c r="CYP982" s="337"/>
      <c r="CYQ982" s="336"/>
      <c r="CYR982" s="337"/>
      <c r="CYS982" s="336"/>
      <c r="CYT982" s="337"/>
      <c r="CYU982" s="336"/>
      <c r="CYV982" s="337"/>
      <c r="CYW982" s="336"/>
      <c r="CYX982" s="337"/>
      <c r="CYY982" s="336"/>
      <c r="CYZ982" s="337"/>
      <c r="CZA982" s="336"/>
      <c r="CZB982" s="337"/>
      <c r="CZC982" s="336"/>
      <c r="CZD982" s="337"/>
      <c r="CZE982" s="336"/>
      <c r="CZF982" s="337"/>
      <c r="CZG982" s="336"/>
      <c r="CZH982" s="337"/>
      <c r="CZI982" s="336"/>
      <c r="CZJ982" s="337"/>
      <c r="CZK982" s="336"/>
      <c r="CZL982" s="337"/>
      <c r="CZM982" s="336"/>
      <c r="CZN982" s="337"/>
      <c r="CZO982" s="336"/>
      <c r="CZP982" s="337"/>
      <c r="CZQ982" s="336"/>
      <c r="CZR982" s="337"/>
      <c r="CZS982" s="336"/>
      <c r="CZT982" s="337"/>
      <c r="CZU982" s="336"/>
      <c r="CZV982" s="337"/>
      <c r="CZW982" s="336"/>
      <c r="CZX982" s="337"/>
      <c r="CZY982" s="336"/>
      <c r="CZZ982" s="337"/>
      <c r="DAA982" s="336"/>
      <c r="DAB982" s="337"/>
      <c r="DAC982" s="336"/>
      <c r="DAD982" s="337"/>
      <c r="DAE982" s="336"/>
      <c r="DAF982" s="337"/>
      <c r="DAG982" s="336"/>
      <c r="DAH982" s="337"/>
      <c r="DAI982" s="336"/>
      <c r="DAJ982" s="337"/>
      <c r="DAK982" s="336"/>
      <c r="DAL982" s="337"/>
      <c r="DAM982" s="336"/>
      <c r="DAN982" s="337"/>
      <c r="DAO982" s="336"/>
      <c r="DAP982" s="337"/>
      <c r="DAQ982" s="336"/>
      <c r="DAR982" s="337"/>
      <c r="DAS982" s="336"/>
      <c r="DAT982" s="337"/>
      <c r="DAU982" s="336"/>
      <c r="DAV982" s="337"/>
      <c r="DAW982" s="336"/>
      <c r="DAX982" s="337"/>
      <c r="DAY982" s="336"/>
      <c r="DAZ982" s="337"/>
      <c r="DBA982" s="336"/>
      <c r="DBB982" s="337"/>
      <c r="DBC982" s="336"/>
      <c r="DBD982" s="337"/>
      <c r="DBE982" s="336"/>
      <c r="DBF982" s="337"/>
      <c r="DBG982" s="336"/>
      <c r="DBH982" s="337"/>
      <c r="DBI982" s="336"/>
      <c r="DBJ982" s="337"/>
      <c r="DBK982" s="336"/>
      <c r="DBL982" s="337"/>
      <c r="DBM982" s="336"/>
      <c r="DBN982" s="337"/>
      <c r="DBO982" s="336"/>
      <c r="DBP982" s="337"/>
      <c r="DBQ982" s="336"/>
      <c r="DBR982" s="337"/>
      <c r="DBS982" s="336"/>
      <c r="DBT982" s="337"/>
      <c r="DBU982" s="336"/>
      <c r="DBV982" s="337"/>
      <c r="DBW982" s="336"/>
      <c r="DBX982" s="337"/>
      <c r="DBY982" s="336"/>
      <c r="DBZ982" s="337"/>
      <c r="DCA982" s="336"/>
      <c r="DCB982" s="337"/>
      <c r="DCC982" s="336"/>
      <c r="DCD982" s="337"/>
      <c r="DCE982" s="336"/>
      <c r="DCF982" s="337"/>
      <c r="DCG982" s="336"/>
      <c r="DCH982" s="337"/>
      <c r="DCI982" s="336"/>
      <c r="DCJ982" s="337"/>
      <c r="DCK982" s="336"/>
      <c r="DCL982" s="337"/>
      <c r="DCM982" s="336"/>
      <c r="DCN982" s="337"/>
      <c r="DCO982" s="336"/>
      <c r="DCP982" s="337"/>
      <c r="DCQ982" s="336"/>
      <c r="DCR982" s="337"/>
      <c r="DCS982" s="336"/>
      <c r="DCT982" s="337"/>
      <c r="DCU982" s="336"/>
      <c r="DCV982" s="337"/>
      <c r="DCW982" s="336"/>
      <c r="DCX982" s="337"/>
      <c r="DCY982" s="336"/>
      <c r="DCZ982" s="337"/>
      <c r="DDA982" s="336"/>
      <c r="DDB982" s="337"/>
      <c r="DDC982" s="336"/>
      <c r="DDD982" s="337"/>
      <c r="DDE982" s="336"/>
      <c r="DDF982" s="337"/>
      <c r="DDG982" s="336"/>
      <c r="DDH982" s="337"/>
      <c r="DDI982" s="336"/>
      <c r="DDJ982" s="337"/>
      <c r="DDK982" s="336"/>
      <c r="DDL982" s="337"/>
      <c r="DDM982" s="336"/>
      <c r="DDN982" s="337"/>
      <c r="DDO982" s="336"/>
      <c r="DDP982" s="337"/>
      <c r="DDQ982" s="336"/>
      <c r="DDR982" s="337"/>
      <c r="DDS982" s="336"/>
      <c r="DDT982" s="337"/>
      <c r="DDU982" s="336"/>
      <c r="DDV982" s="337"/>
      <c r="DDW982" s="336"/>
      <c r="DDX982" s="337"/>
      <c r="DDY982" s="336"/>
      <c r="DDZ982" s="337"/>
      <c r="DEA982" s="336"/>
      <c r="DEB982" s="337"/>
      <c r="DEC982" s="336"/>
      <c r="DED982" s="337"/>
      <c r="DEE982" s="336"/>
      <c r="DEF982" s="337"/>
      <c r="DEG982" s="336"/>
      <c r="DEH982" s="337"/>
      <c r="DEI982" s="336"/>
      <c r="DEJ982" s="337"/>
      <c r="DEK982" s="336"/>
      <c r="DEL982" s="337"/>
      <c r="DEM982" s="336"/>
      <c r="DEN982" s="337"/>
      <c r="DEO982" s="336"/>
      <c r="DEP982" s="337"/>
      <c r="DEQ982" s="336"/>
      <c r="DER982" s="337"/>
      <c r="DES982" s="336"/>
      <c r="DET982" s="337"/>
      <c r="DEU982" s="336"/>
      <c r="DEV982" s="337"/>
      <c r="DEW982" s="336"/>
      <c r="DEX982" s="337"/>
      <c r="DEY982" s="336"/>
      <c r="DEZ982" s="337"/>
      <c r="DFA982" s="336"/>
      <c r="DFB982" s="337"/>
      <c r="DFC982" s="336"/>
      <c r="DFD982" s="337"/>
      <c r="DFE982" s="336"/>
      <c r="DFF982" s="337"/>
      <c r="DFG982" s="336"/>
      <c r="DFH982" s="337"/>
      <c r="DFI982" s="336"/>
      <c r="DFJ982" s="337"/>
      <c r="DFK982" s="336"/>
      <c r="DFL982" s="337"/>
      <c r="DFM982" s="336"/>
      <c r="DFN982" s="337"/>
      <c r="DFO982" s="336"/>
      <c r="DFP982" s="337"/>
      <c r="DFQ982" s="336"/>
      <c r="DFR982" s="337"/>
      <c r="DFS982" s="336"/>
      <c r="DFT982" s="337"/>
      <c r="DFU982" s="336"/>
      <c r="DFV982" s="337"/>
      <c r="DFW982" s="336"/>
      <c r="DFX982" s="337"/>
      <c r="DFY982" s="336"/>
      <c r="DFZ982" s="337"/>
      <c r="DGA982" s="336"/>
      <c r="DGB982" s="337"/>
      <c r="DGC982" s="336"/>
      <c r="DGD982" s="337"/>
      <c r="DGE982" s="336"/>
      <c r="DGF982" s="337"/>
      <c r="DGG982" s="336"/>
      <c r="DGH982" s="337"/>
      <c r="DGI982" s="336"/>
      <c r="DGJ982" s="337"/>
      <c r="DGK982" s="336"/>
      <c r="DGL982" s="337"/>
      <c r="DGM982" s="336"/>
      <c r="DGN982" s="337"/>
      <c r="DGO982" s="336"/>
      <c r="DGP982" s="337"/>
      <c r="DGQ982" s="336"/>
      <c r="DGR982" s="337"/>
      <c r="DGS982" s="336"/>
      <c r="DGT982" s="337"/>
      <c r="DGU982" s="336"/>
      <c r="DGV982" s="337"/>
      <c r="DGW982" s="336"/>
      <c r="DGX982" s="337"/>
      <c r="DGY982" s="336"/>
      <c r="DGZ982" s="337"/>
      <c r="DHA982" s="336"/>
      <c r="DHB982" s="337"/>
      <c r="DHC982" s="336"/>
      <c r="DHD982" s="337"/>
      <c r="DHE982" s="336"/>
      <c r="DHF982" s="337"/>
      <c r="DHG982" s="336"/>
      <c r="DHH982" s="337"/>
      <c r="DHI982" s="336"/>
      <c r="DHJ982" s="337"/>
      <c r="DHK982" s="336"/>
      <c r="DHL982" s="337"/>
      <c r="DHM982" s="336"/>
      <c r="DHN982" s="337"/>
      <c r="DHO982" s="336"/>
      <c r="DHP982" s="337"/>
      <c r="DHQ982" s="336"/>
      <c r="DHR982" s="337"/>
      <c r="DHS982" s="336"/>
      <c r="DHT982" s="337"/>
      <c r="DHU982" s="336"/>
      <c r="DHV982" s="337"/>
      <c r="DHW982" s="336"/>
      <c r="DHX982" s="337"/>
      <c r="DHY982" s="336"/>
      <c r="DHZ982" s="337"/>
      <c r="DIA982" s="336"/>
      <c r="DIB982" s="337"/>
      <c r="DIC982" s="336"/>
      <c r="DID982" s="337"/>
      <c r="DIE982" s="336"/>
      <c r="DIF982" s="337"/>
      <c r="DIG982" s="336"/>
      <c r="DIH982" s="337"/>
      <c r="DII982" s="336"/>
      <c r="DIJ982" s="337"/>
      <c r="DIK982" s="336"/>
      <c r="DIL982" s="337"/>
      <c r="DIM982" s="336"/>
      <c r="DIN982" s="337"/>
      <c r="DIO982" s="336"/>
      <c r="DIP982" s="337"/>
      <c r="DIQ982" s="336"/>
      <c r="DIR982" s="337"/>
      <c r="DIS982" s="336"/>
      <c r="DIT982" s="337"/>
      <c r="DIU982" s="336"/>
      <c r="DIV982" s="337"/>
      <c r="DIW982" s="336"/>
      <c r="DIX982" s="337"/>
      <c r="DIY982" s="336"/>
      <c r="DIZ982" s="337"/>
      <c r="DJA982" s="336"/>
      <c r="DJB982" s="337"/>
      <c r="DJC982" s="336"/>
      <c r="DJD982" s="337"/>
      <c r="DJE982" s="336"/>
      <c r="DJF982" s="337"/>
      <c r="DJG982" s="336"/>
      <c r="DJH982" s="337"/>
      <c r="DJI982" s="336"/>
      <c r="DJJ982" s="337"/>
      <c r="DJK982" s="336"/>
      <c r="DJL982" s="337"/>
      <c r="DJM982" s="336"/>
      <c r="DJN982" s="337"/>
      <c r="DJO982" s="336"/>
      <c r="DJP982" s="337"/>
      <c r="DJQ982" s="336"/>
      <c r="DJR982" s="337"/>
      <c r="DJS982" s="336"/>
      <c r="DJT982" s="337"/>
      <c r="DJU982" s="336"/>
      <c r="DJV982" s="337"/>
      <c r="DJW982" s="336"/>
      <c r="DJX982" s="337"/>
      <c r="DJY982" s="336"/>
      <c r="DJZ982" s="337"/>
      <c r="DKA982" s="336"/>
      <c r="DKB982" s="337"/>
      <c r="DKC982" s="336"/>
      <c r="DKD982" s="337"/>
      <c r="DKE982" s="336"/>
      <c r="DKF982" s="337"/>
      <c r="DKG982" s="336"/>
      <c r="DKH982" s="337"/>
      <c r="DKI982" s="336"/>
      <c r="DKJ982" s="337"/>
      <c r="DKK982" s="336"/>
      <c r="DKL982" s="337"/>
      <c r="DKM982" s="336"/>
      <c r="DKN982" s="337"/>
      <c r="DKO982" s="336"/>
      <c r="DKP982" s="337"/>
      <c r="DKQ982" s="336"/>
      <c r="DKR982" s="337"/>
      <c r="DKS982" s="336"/>
      <c r="DKT982" s="337"/>
      <c r="DKU982" s="336"/>
      <c r="DKV982" s="337"/>
      <c r="DKW982" s="336"/>
      <c r="DKX982" s="337"/>
      <c r="DKY982" s="336"/>
      <c r="DKZ982" s="337"/>
      <c r="DLA982" s="336"/>
      <c r="DLB982" s="337"/>
      <c r="DLC982" s="336"/>
      <c r="DLD982" s="337"/>
      <c r="DLE982" s="336"/>
      <c r="DLF982" s="337"/>
      <c r="DLG982" s="336"/>
      <c r="DLH982" s="337"/>
      <c r="DLI982" s="336"/>
      <c r="DLJ982" s="337"/>
      <c r="DLK982" s="336"/>
      <c r="DLL982" s="337"/>
      <c r="DLM982" s="336"/>
      <c r="DLN982" s="337"/>
      <c r="DLO982" s="336"/>
      <c r="DLP982" s="337"/>
      <c r="DLQ982" s="336"/>
      <c r="DLR982" s="337"/>
      <c r="DLS982" s="336"/>
      <c r="DLT982" s="337"/>
      <c r="DLU982" s="336"/>
      <c r="DLV982" s="337"/>
      <c r="DLW982" s="336"/>
      <c r="DLX982" s="337"/>
      <c r="DLY982" s="336"/>
      <c r="DLZ982" s="337"/>
      <c r="DMA982" s="336"/>
      <c r="DMB982" s="337"/>
      <c r="DMC982" s="336"/>
      <c r="DMD982" s="337"/>
      <c r="DME982" s="336"/>
      <c r="DMF982" s="337"/>
      <c r="DMG982" s="336"/>
      <c r="DMH982" s="337"/>
      <c r="DMI982" s="336"/>
      <c r="DMJ982" s="337"/>
      <c r="DMK982" s="336"/>
      <c r="DML982" s="337"/>
      <c r="DMM982" s="336"/>
      <c r="DMN982" s="337"/>
      <c r="DMO982" s="336"/>
      <c r="DMP982" s="337"/>
      <c r="DMQ982" s="336"/>
      <c r="DMR982" s="337"/>
      <c r="DMS982" s="336"/>
      <c r="DMT982" s="337"/>
      <c r="DMU982" s="336"/>
      <c r="DMV982" s="337"/>
      <c r="DMW982" s="336"/>
      <c r="DMX982" s="337"/>
      <c r="DMY982" s="336"/>
      <c r="DMZ982" s="337"/>
      <c r="DNA982" s="336"/>
      <c r="DNB982" s="337"/>
      <c r="DNC982" s="336"/>
      <c r="DND982" s="337"/>
      <c r="DNE982" s="336"/>
      <c r="DNF982" s="337"/>
      <c r="DNG982" s="336"/>
      <c r="DNH982" s="337"/>
      <c r="DNI982" s="336"/>
      <c r="DNJ982" s="337"/>
      <c r="DNK982" s="336"/>
      <c r="DNL982" s="337"/>
      <c r="DNM982" s="336"/>
      <c r="DNN982" s="337"/>
      <c r="DNO982" s="336"/>
      <c r="DNP982" s="337"/>
      <c r="DNQ982" s="336"/>
      <c r="DNR982" s="337"/>
      <c r="DNS982" s="336"/>
      <c r="DNT982" s="337"/>
      <c r="DNU982" s="336"/>
      <c r="DNV982" s="337"/>
      <c r="DNW982" s="336"/>
      <c r="DNX982" s="337"/>
      <c r="DNY982" s="336"/>
      <c r="DNZ982" s="337"/>
      <c r="DOA982" s="336"/>
      <c r="DOB982" s="337"/>
      <c r="DOC982" s="336"/>
      <c r="DOD982" s="337"/>
      <c r="DOE982" s="336"/>
      <c r="DOF982" s="337"/>
      <c r="DOG982" s="336"/>
      <c r="DOH982" s="337"/>
      <c r="DOI982" s="336"/>
      <c r="DOJ982" s="337"/>
      <c r="DOK982" s="336"/>
      <c r="DOL982" s="337"/>
      <c r="DOM982" s="336"/>
      <c r="DON982" s="337"/>
      <c r="DOO982" s="336"/>
      <c r="DOP982" s="337"/>
      <c r="DOQ982" s="336"/>
      <c r="DOR982" s="337"/>
      <c r="DOS982" s="336"/>
      <c r="DOT982" s="337"/>
      <c r="DOU982" s="336"/>
      <c r="DOV982" s="337"/>
      <c r="DOW982" s="336"/>
      <c r="DOX982" s="337"/>
      <c r="DOY982" s="336"/>
      <c r="DOZ982" s="337"/>
      <c r="DPA982" s="336"/>
      <c r="DPB982" s="337"/>
      <c r="DPC982" s="336"/>
      <c r="DPD982" s="337"/>
      <c r="DPE982" s="336"/>
      <c r="DPF982" s="337"/>
      <c r="DPG982" s="336"/>
      <c r="DPH982" s="337"/>
      <c r="DPI982" s="336"/>
      <c r="DPJ982" s="337"/>
      <c r="DPK982" s="336"/>
      <c r="DPL982" s="337"/>
      <c r="DPM982" s="336"/>
      <c r="DPN982" s="337"/>
      <c r="DPO982" s="336"/>
      <c r="DPP982" s="337"/>
      <c r="DPQ982" s="336"/>
      <c r="DPR982" s="337"/>
      <c r="DPS982" s="336"/>
      <c r="DPT982" s="337"/>
      <c r="DPU982" s="336"/>
      <c r="DPV982" s="337"/>
      <c r="DPW982" s="336"/>
      <c r="DPX982" s="337"/>
      <c r="DPY982" s="336"/>
      <c r="DPZ982" s="337"/>
      <c r="DQA982" s="336"/>
      <c r="DQB982" s="337"/>
      <c r="DQC982" s="336"/>
      <c r="DQD982" s="337"/>
      <c r="DQE982" s="336"/>
      <c r="DQF982" s="337"/>
      <c r="DQG982" s="336"/>
      <c r="DQH982" s="337"/>
      <c r="DQI982" s="336"/>
      <c r="DQJ982" s="337"/>
      <c r="DQK982" s="336"/>
      <c r="DQL982" s="337"/>
      <c r="DQM982" s="336"/>
      <c r="DQN982" s="337"/>
      <c r="DQO982" s="336"/>
      <c r="DQP982" s="337"/>
      <c r="DQQ982" s="336"/>
      <c r="DQR982" s="337"/>
      <c r="DQS982" s="336"/>
      <c r="DQT982" s="337"/>
      <c r="DQU982" s="336"/>
      <c r="DQV982" s="337"/>
      <c r="DQW982" s="336"/>
      <c r="DQX982" s="337"/>
      <c r="DQY982" s="336"/>
      <c r="DQZ982" s="337"/>
      <c r="DRA982" s="336"/>
      <c r="DRB982" s="337"/>
      <c r="DRC982" s="336"/>
      <c r="DRD982" s="337"/>
      <c r="DRE982" s="336"/>
      <c r="DRF982" s="337"/>
      <c r="DRG982" s="336"/>
      <c r="DRH982" s="337"/>
      <c r="DRI982" s="336"/>
      <c r="DRJ982" s="337"/>
      <c r="DRK982" s="336"/>
      <c r="DRL982" s="337"/>
      <c r="DRM982" s="336"/>
      <c r="DRN982" s="337"/>
      <c r="DRO982" s="336"/>
      <c r="DRP982" s="337"/>
      <c r="DRQ982" s="336"/>
      <c r="DRR982" s="337"/>
      <c r="DRS982" s="336"/>
      <c r="DRT982" s="337"/>
      <c r="DRU982" s="336"/>
      <c r="DRV982" s="337"/>
      <c r="DRW982" s="336"/>
      <c r="DRX982" s="337"/>
      <c r="DRY982" s="336"/>
      <c r="DRZ982" s="337"/>
      <c r="DSA982" s="336"/>
      <c r="DSB982" s="337"/>
      <c r="DSC982" s="336"/>
      <c r="DSD982" s="337"/>
      <c r="DSE982" s="336"/>
      <c r="DSF982" s="337"/>
      <c r="DSG982" s="336"/>
      <c r="DSH982" s="337"/>
      <c r="DSI982" s="336"/>
      <c r="DSJ982" s="337"/>
      <c r="DSK982" s="336"/>
      <c r="DSL982" s="337"/>
      <c r="DSM982" s="336"/>
      <c r="DSN982" s="337"/>
      <c r="DSO982" s="336"/>
      <c r="DSP982" s="337"/>
      <c r="DSQ982" s="336"/>
      <c r="DSR982" s="337"/>
      <c r="DSS982" s="336"/>
      <c r="DST982" s="337"/>
      <c r="DSU982" s="336"/>
      <c r="DSV982" s="337"/>
      <c r="DSW982" s="336"/>
      <c r="DSX982" s="337"/>
      <c r="DSY982" s="336"/>
      <c r="DSZ982" s="337"/>
      <c r="DTA982" s="336"/>
      <c r="DTB982" s="337"/>
      <c r="DTC982" s="336"/>
      <c r="DTD982" s="337"/>
      <c r="DTE982" s="336"/>
      <c r="DTF982" s="337"/>
      <c r="DTG982" s="336"/>
      <c r="DTH982" s="337"/>
      <c r="DTI982" s="336"/>
      <c r="DTJ982" s="337"/>
      <c r="DTK982" s="336"/>
      <c r="DTL982" s="337"/>
      <c r="DTM982" s="336"/>
      <c r="DTN982" s="337"/>
      <c r="DTO982" s="336"/>
      <c r="DTP982" s="337"/>
      <c r="DTQ982" s="336"/>
      <c r="DTR982" s="337"/>
      <c r="DTS982" s="336"/>
      <c r="DTT982" s="337"/>
      <c r="DTU982" s="336"/>
      <c r="DTV982" s="337"/>
      <c r="DTW982" s="336"/>
      <c r="DTX982" s="337"/>
      <c r="DTY982" s="336"/>
      <c r="DTZ982" s="337"/>
      <c r="DUA982" s="336"/>
      <c r="DUB982" s="337"/>
      <c r="DUC982" s="336"/>
      <c r="DUD982" s="337"/>
      <c r="DUE982" s="336"/>
      <c r="DUF982" s="337"/>
      <c r="DUG982" s="336"/>
      <c r="DUH982" s="337"/>
      <c r="DUI982" s="336"/>
      <c r="DUJ982" s="337"/>
      <c r="DUK982" s="336"/>
      <c r="DUL982" s="337"/>
      <c r="DUM982" s="336"/>
      <c r="DUN982" s="337"/>
      <c r="DUO982" s="336"/>
      <c r="DUP982" s="337"/>
      <c r="DUQ982" s="336"/>
      <c r="DUR982" s="337"/>
      <c r="DUS982" s="336"/>
      <c r="DUT982" s="337"/>
      <c r="DUU982" s="336"/>
      <c r="DUV982" s="337"/>
      <c r="DUW982" s="336"/>
      <c r="DUX982" s="337"/>
      <c r="DUY982" s="336"/>
      <c r="DUZ982" s="337"/>
      <c r="DVA982" s="336"/>
      <c r="DVB982" s="337"/>
      <c r="DVC982" s="336"/>
      <c r="DVD982" s="337"/>
      <c r="DVE982" s="336"/>
      <c r="DVF982" s="337"/>
      <c r="DVG982" s="336"/>
      <c r="DVH982" s="337"/>
      <c r="DVI982" s="336"/>
      <c r="DVJ982" s="337"/>
      <c r="DVK982" s="336"/>
      <c r="DVL982" s="337"/>
      <c r="DVM982" s="336"/>
      <c r="DVN982" s="337"/>
      <c r="DVO982" s="336"/>
      <c r="DVP982" s="337"/>
      <c r="DVQ982" s="336"/>
      <c r="DVR982" s="337"/>
      <c r="DVS982" s="336"/>
      <c r="DVT982" s="337"/>
      <c r="DVU982" s="336"/>
      <c r="DVV982" s="337"/>
      <c r="DVW982" s="336"/>
      <c r="DVX982" s="337"/>
      <c r="DVY982" s="336"/>
      <c r="DVZ982" s="337"/>
      <c r="DWA982" s="336"/>
      <c r="DWB982" s="337"/>
      <c r="DWC982" s="336"/>
      <c r="DWD982" s="337"/>
      <c r="DWE982" s="336"/>
      <c r="DWF982" s="337"/>
      <c r="DWG982" s="336"/>
      <c r="DWH982" s="337"/>
      <c r="DWI982" s="336"/>
      <c r="DWJ982" s="337"/>
      <c r="DWK982" s="336"/>
      <c r="DWL982" s="337"/>
      <c r="DWM982" s="336"/>
      <c r="DWN982" s="337"/>
      <c r="DWO982" s="336"/>
      <c r="DWP982" s="337"/>
      <c r="DWQ982" s="336"/>
      <c r="DWR982" s="337"/>
      <c r="DWS982" s="336"/>
      <c r="DWT982" s="337"/>
      <c r="DWU982" s="336"/>
      <c r="DWV982" s="337"/>
      <c r="DWW982" s="336"/>
      <c r="DWX982" s="337"/>
      <c r="DWY982" s="336"/>
      <c r="DWZ982" s="337"/>
      <c r="DXA982" s="336"/>
      <c r="DXB982" s="337"/>
      <c r="DXC982" s="336"/>
      <c r="DXD982" s="337"/>
      <c r="DXE982" s="336"/>
      <c r="DXF982" s="337"/>
      <c r="DXG982" s="336"/>
      <c r="DXH982" s="337"/>
      <c r="DXI982" s="336"/>
      <c r="DXJ982" s="337"/>
      <c r="DXK982" s="336"/>
      <c r="DXL982" s="337"/>
      <c r="DXM982" s="336"/>
      <c r="DXN982" s="337"/>
      <c r="DXO982" s="336"/>
      <c r="DXP982" s="337"/>
      <c r="DXQ982" s="336"/>
      <c r="DXR982" s="337"/>
      <c r="DXS982" s="336"/>
      <c r="DXT982" s="337"/>
      <c r="DXU982" s="336"/>
      <c r="DXV982" s="337"/>
      <c r="DXW982" s="336"/>
      <c r="DXX982" s="337"/>
      <c r="DXY982" s="336"/>
      <c r="DXZ982" s="337"/>
      <c r="DYA982" s="336"/>
      <c r="DYB982" s="337"/>
      <c r="DYC982" s="336"/>
      <c r="DYD982" s="337"/>
      <c r="DYE982" s="336"/>
      <c r="DYF982" s="337"/>
      <c r="DYG982" s="336"/>
      <c r="DYH982" s="337"/>
      <c r="DYI982" s="336"/>
      <c r="DYJ982" s="337"/>
      <c r="DYK982" s="336"/>
      <c r="DYL982" s="337"/>
      <c r="DYM982" s="336"/>
      <c r="DYN982" s="337"/>
      <c r="DYO982" s="336"/>
      <c r="DYP982" s="337"/>
      <c r="DYQ982" s="336"/>
      <c r="DYR982" s="337"/>
      <c r="DYS982" s="336"/>
      <c r="DYT982" s="337"/>
      <c r="DYU982" s="336"/>
      <c r="DYV982" s="337"/>
      <c r="DYW982" s="336"/>
      <c r="DYX982" s="337"/>
      <c r="DYY982" s="336"/>
      <c r="DYZ982" s="337"/>
      <c r="DZA982" s="336"/>
      <c r="DZB982" s="337"/>
      <c r="DZC982" s="336"/>
      <c r="DZD982" s="337"/>
      <c r="DZE982" s="336"/>
      <c r="DZF982" s="337"/>
      <c r="DZG982" s="336"/>
      <c r="DZH982" s="337"/>
      <c r="DZI982" s="336"/>
      <c r="DZJ982" s="337"/>
      <c r="DZK982" s="336"/>
      <c r="DZL982" s="337"/>
      <c r="DZM982" s="336"/>
      <c r="DZN982" s="337"/>
      <c r="DZO982" s="336"/>
      <c r="DZP982" s="337"/>
      <c r="DZQ982" s="336"/>
      <c r="DZR982" s="337"/>
      <c r="DZS982" s="336"/>
      <c r="DZT982" s="337"/>
      <c r="DZU982" s="336"/>
      <c r="DZV982" s="337"/>
      <c r="DZW982" s="336"/>
      <c r="DZX982" s="337"/>
      <c r="DZY982" s="336"/>
      <c r="DZZ982" s="337"/>
      <c r="EAA982" s="336"/>
      <c r="EAB982" s="337"/>
      <c r="EAC982" s="336"/>
      <c r="EAD982" s="337"/>
      <c r="EAE982" s="336"/>
      <c r="EAF982" s="337"/>
      <c r="EAG982" s="336"/>
      <c r="EAH982" s="337"/>
      <c r="EAI982" s="336"/>
      <c r="EAJ982" s="337"/>
      <c r="EAK982" s="336"/>
      <c r="EAL982" s="337"/>
      <c r="EAM982" s="336"/>
      <c r="EAN982" s="337"/>
      <c r="EAO982" s="336"/>
      <c r="EAP982" s="337"/>
      <c r="EAQ982" s="336"/>
      <c r="EAR982" s="337"/>
      <c r="EAS982" s="336"/>
      <c r="EAT982" s="337"/>
      <c r="EAU982" s="336"/>
      <c r="EAV982" s="337"/>
      <c r="EAW982" s="336"/>
      <c r="EAX982" s="337"/>
      <c r="EAY982" s="336"/>
      <c r="EAZ982" s="337"/>
      <c r="EBA982" s="336"/>
      <c r="EBB982" s="337"/>
      <c r="EBC982" s="336"/>
      <c r="EBD982" s="337"/>
      <c r="EBE982" s="336"/>
      <c r="EBF982" s="337"/>
      <c r="EBG982" s="336"/>
      <c r="EBH982" s="337"/>
      <c r="EBI982" s="336"/>
      <c r="EBJ982" s="337"/>
      <c r="EBK982" s="336"/>
      <c r="EBL982" s="337"/>
      <c r="EBM982" s="336"/>
      <c r="EBN982" s="337"/>
      <c r="EBO982" s="336"/>
      <c r="EBP982" s="337"/>
      <c r="EBQ982" s="336"/>
      <c r="EBR982" s="337"/>
      <c r="EBS982" s="336"/>
      <c r="EBT982" s="337"/>
      <c r="EBU982" s="336"/>
      <c r="EBV982" s="337"/>
      <c r="EBW982" s="336"/>
      <c r="EBX982" s="337"/>
      <c r="EBY982" s="336"/>
      <c r="EBZ982" s="337"/>
      <c r="ECA982" s="336"/>
      <c r="ECB982" s="337"/>
      <c r="ECC982" s="336"/>
      <c r="ECD982" s="337"/>
      <c r="ECE982" s="336"/>
      <c r="ECF982" s="337"/>
      <c r="ECG982" s="336"/>
      <c r="ECH982" s="337"/>
      <c r="ECI982" s="336"/>
      <c r="ECJ982" s="337"/>
      <c r="ECK982" s="336"/>
      <c r="ECL982" s="337"/>
      <c r="ECM982" s="336"/>
      <c r="ECN982" s="337"/>
      <c r="ECO982" s="336"/>
      <c r="ECP982" s="337"/>
      <c r="ECQ982" s="336"/>
      <c r="ECR982" s="337"/>
      <c r="ECS982" s="336"/>
      <c r="ECT982" s="337"/>
      <c r="ECU982" s="336"/>
      <c r="ECV982" s="337"/>
      <c r="ECW982" s="336"/>
      <c r="ECX982" s="337"/>
      <c r="ECY982" s="336"/>
      <c r="ECZ982" s="337"/>
      <c r="EDA982" s="336"/>
      <c r="EDB982" s="337"/>
      <c r="EDC982" s="336"/>
      <c r="EDD982" s="337"/>
      <c r="EDE982" s="336"/>
      <c r="EDF982" s="337"/>
      <c r="EDG982" s="336"/>
      <c r="EDH982" s="337"/>
      <c r="EDI982" s="336"/>
      <c r="EDJ982" s="337"/>
      <c r="EDK982" s="336"/>
      <c r="EDL982" s="337"/>
      <c r="EDM982" s="336"/>
      <c r="EDN982" s="337"/>
      <c r="EDO982" s="336"/>
      <c r="EDP982" s="337"/>
      <c r="EDQ982" s="336"/>
      <c r="EDR982" s="337"/>
      <c r="EDS982" s="336"/>
      <c r="EDT982" s="337"/>
      <c r="EDU982" s="336"/>
      <c r="EDV982" s="337"/>
      <c r="EDW982" s="336"/>
      <c r="EDX982" s="337"/>
      <c r="EDY982" s="336"/>
      <c r="EDZ982" s="337"/>
      <c r="EEA982" s="336"/>
      <c r="EEB982" s="337"/>
      <c r="EEC982" s="336"/>
      <c r="EED982" s="337"/>
      <c r="EEE982" s="336"/>
      <c r="EEF982" s="337"/>
      <c r="EEG982" s="336"/>
      <c r="EEH982" s="337"/>
      <c r="EEI982" s="336"/>
      <c r="EEJ982" s="337"/>
      <c r="EEK982" s="336"/>
      <c r="EEL982" s="337"/>
      <c r="EEM982" s="336"/>
      <c r="EEN982" s="337"/>
      <c r="EEO982" s="336"/>
      <c r="EEP982" s="337"/>
      <c r="EEQ982" s="336"/>
      <c r="EER982" s="337"/>
      <c r="EES982" s="336"/>
      <c r="EET982" s="337"/>
      <c r="EEU982" s="336"/>
      <c r="EEV982" s="337"/>
      <c r="EEW982" s="336"/>
      <c r="EEX982" s="337"/>
      <c r="EEY982" s="336"/>
      <c r="EEZ982" s="337"/>
      <c r="EFA982" s="336"/>
      <c r="EFB982" s="337"/>
      <c r="EFC982" s="336"/>
      <c r="EFD982" s="337"/>
      <c r="EFE982" s="336"/>
      <c r="EFF982" s="337"/>
      <c r="EFG982" s="336"/>
      <c r="EFH982" s="337"/>
      <c r="EFI982" s="336"/>
      <c r="EFJ982" s="337"/>
      <c r="EFK982" s="336"/>
      <c r="EFL982" s="337"/>
      <c r="EFM982" s="336"/>
      <c r="EFN982" s="337"/>
      <c r="EFO982" s="336"/>
      <c r="EFP982" s="337"/>
      <c r="EFQ982" s="336"/>
      <c r="EFR982" s="337"/>
      <c r="EFS982" s="336"/>
      <c r="EFT982" s="337"/>
      <c r="EFU982" s="336"/>
      <c r="EFV982" s="337"/>
      <c r="EFW982" s="336"/>
      <c r="EFX982" s="337"/>
      <c r="EFY982" s="336"/>
      <c r="EFZ982" s="337"/>
      <c r="EGA982" s="336"/>
      <c r="EGB982" s="337"/>
      <c r="EGC982" s="336"/>
      <c r="EGD982" s="337"/>
      <c r="EGE982" s="336"/>
      <c r="EGF982" s="337"/>
      <c r="EGG982" s="336"/>
      <c r="EGH982" s="337"/>
      <c r="EGI982" s="336"/>
      <c r="EGJ982" s="337"/>
      <c r="EGK982" s="336"/>
      <c r="EGL982" s="337"/>
      <c r="EGM982" s="336"/>
      <c r="EGN982" s="337"/>
      <c r="EGO982" s="336"/>
      <c r="EGP982" s="337"/>
      <c r="EGQ982" s="336"/>
      <c r="EGR982" s="337"/>
      <c r="EGS982" s="336"/>
      <c r="EGT982" s="337"/>
      <c r="EGU982" s="336"/>
      <c r="EGV982" s="337"/>
      <c r="EGW982" s="336"/>
      <c r="EGX982" s="337"/>
      <c r="EGY982" s="336"/>
      <c r="EGZ982" s="337"/>
      <c r="EHA982" s="336"/>
      <c r="EHB982" s="337"/>
      <c r="EHC982" s="336"/>
      <c r="EHD982" s="337"/>
      <c r="EHE982" s="336"/>
      <c r="EHF982" s="337"/>
      <c r="EHG982" s="336"/>
      <c r="EHH982" s="337"/>
      <c r="EHI982" s="336"/>
      <c r="EHJ982" s="337"/>
      <c r="EHK982" s="336"/>
      <c r="EHL982" s="337"/>
      <c r="EHM982" s="336"/>
      <c r="EHN982" s="337"/>
      <c r="EHO982" s="336"/>
      <c r="EHP982" s="337"/>
      <c r="EHQ982" s="336"/>
      <c r="EHR982" s="337"/>
      <c r="EHS982" s="336"/>
      <c r="EHT982" s="337"/>
      <c r="EHU982" s="336"/>
      <c r="EHV982" s="337"/>
      <c r="EHW982" s="336"/>
      <c r="EHX982" s="337"/>
      <c r="EHY982" s="336"/>
      <c r="EHZ982" s="337"/>
      <c r="EIA982" s="336"/>
      <c r="EIB982" s="337"/>
      <c r="EIC982" s="336"/>
      <c r="EID982" s="337"/>
      <c r="EIE982" s="336"/>
      <c r="EIF982" s="337"/>
      <c r="EIG982" s="336"/>
      <c r="EIH982" s="337"/>
      <c r="EII982" s="336"/>
      <c r="EIJ982" s="337"/>
      <c r="EIK982" s="336"/>
      <c r="EIL982" s="337"/>
      <c r="EIM982" s="336"/>
      <c r="EIN982" s="337"/>
      <c r="EIO982" s="336"/>
      <c r="EIP982" s="337"/>
      <c r="EIQ982" s="336"/>
      <c r="EIR982" s="337"/>
      <c r="EIS982" s="336"/>
      <c r="EIT982" s="337"/>
      <c r="EIU982" s="336"/>
      <c r="EIV982" s="337"/>
      <c r="EIW982" s="336"/>
      <c r="EIX982" s="337"/>
      <c r="EIY982" s="336"/>
      <c r="EIZ982" s="337"/>
      <c r="EJA982" s="336"/>
      <c r="EJB982" s="337"/>
      <c r="EJC982" s="336"/>
      <c r="EJD982" s="337"/>
      <c r="EJE982" s="336"/>
      <c r="EJF982" s="337"/>
      <c r="EJG982" s="336"/>
      <c r="EJH982" s="337"/>
      <c r="EJI982" s="336"/>
      <c r="EJJ982" s="337"/>
      <c r="EJK982" s="336"/>
      <c r="EJL982" s="337"/>
      <c r="EJM982" s="336"/>
      <c r="EJN982" s="337"/>
      <c r="EJO982" s="336"/>
      <c r="EJP982" s="337"/>
      <c r="EJQ982" s="336"/>
      <c r="EJR982" s="337"/>
      <c r="EJS982" s="336"/>
      <c r="EJT982" s="337"/>
      <c r="EJU982" s="336"/>
      <c r="EJV982" s="337"/>
      <c r="EJW982" s="336"/>
      <c r="EJX982" s="337"/>
      <c r="EJY982" s="336"/>
      <c r="EJZ982" s="337"/>
      <c r="EKA982" s="336"/>
      <c r="EKB982" s="337"/>
      <c r="EKC982" s="336"/>
      <c r="EKD982" s="337"/>
      <c r="EKE982" s="336"/>
      <c r="EKF982" s="337"/>
      <c r="EKG982" s="336"/>
      <c r="EKH982" s="337"/>
      <c r="EKI982" s="336"/>
      <c r="EKJ982" s="337"/>
      <c r="EKK982" s="336"/>
      <c r="EKL982" s="337"/>
      <c r="EKM982" s="336"/>
      <c r="EKN982" s="337"/>
      <c r="EKO982" s="336"/>
      <c r="EKP982" s="337"/>
      <c r="EKQ982" s="336"/>
      <c r="EKR982" s="337"/>
      <c r="EKS982" s="336"/>
      <c r="EKT982" s="337"/>
      <c r="EKU982" s="336"/>
      <c r="EKV982" s="337"/>
      <c r="EKW982" s="336"/>
      <c r="EKX982" s="337"/>
      <c r="EKY982" s="336"/>
      <c r="EKZ982" s="337"/>
      <c r="ELA982" s="336"/>
      <c r="ELB982" s="337"/>
      <c r="ELC982" s="336"/>
      <c r="ELD982" s="337"/>
      <c r="ELE982" s="336"/>
      <c r="ELF982" s="337"/>
      <c r="ELG982" s="336"/>
      <c r="ELH982" s="337"/>
      <c r="ELI982" s="336"/>
      <c r="ELJ982" s="337"/>
      <c r="ELK982" s="336"/>
      <c r="ELL982" s="337"/>
      <c r="ELM982" s="336"/>
      <c r="ELN982" s="337"/>
      <c r="ELO982" s="336"/>
      <c r="ELP982" s="337"/>
      <c r="ELQ982" s="336"/>
      <c r="ELR982" s="337"/>
      <c r="ELS982" s="336"/>
      <c r="ELT982" s="337"/>
      <c r="ELU982" s="336"/>
      <c r="ELV982" s="337"/>
      <c r="ELW982" s="336"/>
      <c r="ELX982" s="337"/>
      <c r="ELY982" s="336"/>
      <c r="ELZ982" s="337"/>
      <c r="EMA982" s="336"/>
      <c r="EMB982" s="337"/>
      <c r="EMC982" s="336"/>
      <c r="EMD982" s="337"/>
      <c r="EME982" s="336"/>
      <c r="EMF982" s="337"/>
      <c r="EMG982" s="336"/>
      <c r="EMH982" s="337"/>
      <c r="EMI982" s="336"/>
      <c r="EMJ982" s="337"/>
      <c r="EMK982" s="336"/>
      <c r="EML982" s="337"/>
      <c r="EMM982" s="336"/>
      <c r="EMN982" s="337"/>
      <c r="EMO982" s="336"/>
      <c r="EMP982" s="337"/>
      <c r="EMQ982" s="336"/>
      <c r="EMR982" s="337"/>
      <c r="EMS982" s="336"/>
      <c r="EMT982" s="337"/>
      <c r="EMU982" s="336"/>
      <c r="EMV982" s="337"/>
      <c r="EMW982" s="336"/>
      <c r="EMX982" s="337"/>
      <c r="EMY982" s="336"/>
      <c r="EMZ982" s="337"/>
      <c r="ENA982" s="336"/>
      <c r="ENB982" s="337"/>
      <c r="ENC982" s="336"/>
      <c r="END982" s="337"/>
      <c r="ENE982" s="336"/>
      <c r="ENF982" s="337"/>
      <c r="ENG982" s="336"/>
      <c r="ENH982" s="337"/>
      <c r="ENI982" s="336"/>
      <c r="ENJ982" s="337"/>
      <c r="ENK982" s="336"/>
      <c r="ENL982" s="337"/>
      <c r="ENM982" s="336"/>
      <c r="ENN982" s="337"/>
      <c r="ENO982" s="336"/>
      <c r="ENP982" s="337"/>
      <c r="ENQ982" s="336"/>
      <c r="ENR982" s="337"/>
      <c r="ENS982" s="336"/>
      <c r="ENT982" s="337"/>
      <c r="ENU982" s="336"/>
      <c r="ENV982" s="337"/>
      <c r="ENW982" s="336"/>
      <c r="ENX982" s="337"/>
      <c r="ENY982" s="336"/>
      <c r="ENZ982" s="337"/>
      <c r="EOA982" s="336"/>
      <c r="EOB982" s="337"/>
      <c r="EOC982" s="336"/>
      <c r="EOD982" s="337"/>
      <c r="EOE982" s="336"/>
      <c r="EOF982" s="337"/>
      <c r="EOG982" s="336"/>
      <c r="EOH982" s="337"/>
      <c r="EOI982" s="336"/>
      <c r="EOJ982" s="337"/>
      <c r="EOK982" s="336"/>
      <c r="EOL982" s="337"/>
      <c r="EOM982" s="336"/>
      <c r="EON982" s="337"/>
      <c r="EOO982" s="336"/>
      <c r="EOP982" s="337"/>
      <c r="EOQ982" s="336"/>
      <c r="EOR982" s="337"/>
      <c r="EOS982" s="336"/>
      <c r="EOT982" s="337"/>
      <c r="EOU982" s="336"/>
      <c r="EOV982" s="337"/>
      <c r="EOW982" s="336"/>
      <c r="EOX982" s="337"/>
      <c r="EOY982" s="336"/>
      <c r="EOZ982" s="337"/>
      <c r="EPA982" s="336"/>
      <c r="EPB982" s="337"/>
      <c r="EPC982" s="336"/>
      <c r="EPD982" s="337"/>
      <c r="EPE982" s="336"/>
      <c r="EPF982" s="337"/>
      <c r="EPG982" s="336"/>
      <c r="EPH982" s="337"/>
      <c r="EPI982" s="336"/>
      <c r="EPJ982" s="337"/>
      <c r="EPK982" s="336"/>
      <c r="EPL982" s="337"/>
      <c r="EPM982" s="336"/>
      <c r="EPN982" s="337"/>
      <c r="EPO982" s="336"/>
      <c r="EPP982" s="337"/>
      <c r="EPQ982" s="336"/>
      <c r="EPR982" s="337"/>
      <c r="EPS982" s="336"/>
      <c r="EPT982" s="337"/>
      <c r="EPU982" s="336"/>
      <c r="EPV982" s="337"/>
      <c r="EPW982" s="336"/>
      <c r="EPX982" s="337"/>
      <c r="EPY982" s="336"/>
      <c r="EPZ982" s="337"/>
      <c r="EQA982" s="336"/>
      <c r="EQB982" s="337"/>
      <c r="EQC982" s="336"/>
      <c r="EQD982" s="337"/>
      <c r="EQE982" s="336"/>
      <c r="EQF982" s="337"/>
      <c r="EQG982" s="336"/>
      <c r="EQH982" s="337"/>
      <c r="EQI982" s="336"/>
      <c r="EQJ982" s="337"/>
      <c r="EQK982" s="336"/>
      <c r="EQL982" s="337"/>
      <c r="EQM982" s="336"/>
      <c r="EQN982" s="337"/>
      <c r="EQO982" s="336"/>
      <c r="EQP982" s="337"/>
      <c r="EQQ982" s="336"/>
      <c r="EQR982" s="337"/>
      <c r="EQS982" s="336"/>
      <c r="EQT982" s="337"/>
      <c r="EQU982" s="336"/>
      <c r="EQV982" s="337"/>
      <c r="EQW982" s="336"/>
      <c r="EQX982" s="337"/>
      <c r="EQY982" s="336"/>
      <c r="EQZ982" s="337"/>
      <c r="ERA982" s="336"/>
      <c r="ERB982" s="337"/>
      <c r="ERC982" s="336"/>
      <c r="ERD982" s="337"/>
      <c r="ERE982" s="336"/>
      <c r="ERF982" s="337"/>
      <c r="ERG982" s="336"/>
      <c r="ERH982" s="337"/>
      <c r="ERI982" s="336"/>
      <c r="ERJ982" s="337"/>
      <c r="ERK982" s="336"/>
      <c r="ERL982" s="337"/>
      <c r="ERM982" s="336"/>
      <c r="ERN982" s="337"/>
      <c r="ERO982" s="336"/>
      <c r="ERP982" s="337"/>
      <c r="ERQ982" s="336"/>
      <c r="ERR982" s="337"/>
      <c r="ERS982" s="336"/>
      <c r="ERT982" s="337"/>
      <c r="ERU982" s="336"/>
      <c r="ERV982" s="337"/>
      <c r="ERW982" s="336"/>
      <c r="ERX982" s="337"/>
      <c r="ERY982" s="336"/>
      <c r="ERZ982" s="337"/>
      <c r="ESA982" s="336"/>
      <c r="ESB982" s="337"/>
      <c r="ESC982" s="336"/>
      <c r="ESD982" s="337"/>
      <c r="ESE982" s="336"/>
      <c r="ESF982" s="337"/>
      <c r="ESG982" s="336"/>
      <c r="ESH982" s="337"/>
      <c r="ESI982" s="336"/>
      <c r="ESJ982" s="337"/>
      <c r="ESK982" s="336"/>
      <c r="ESL982" s="337"/>
      <c r="ESM982" s="336"/>
      <c r="ESN982" s="337"/>
      <c r="ESO982" s="336"/>
      <c r="ESP982" s="337"/>
      <c r="ESQ982" s="336"/>
      <c r="ESR982" s="337"/>
      <c r="ESS982" s="336"/>
      <c r="EST982" s="337"/>
      <c r="ESU982" s="336"/>
      <c r="ESV982" s="337"/>
      <c r="ESW982" s="336"/>
      <c r="ESX982" s="337"/>
      <c r="ESY982" s="336"/>
      <c r="ESZ982" s="337"/>
      <c r="ETA982" s="336"/>
      <c r="ETB982" s="337"/>
      <c r="ETC982" s="336"/>
      <c r="ETD982" s="337"/>
      <c r="ETE982" s="336"/>
      <c r="ETF982" s="337"/>
      <c r="ETG982" s="336"/>
      <c r="ETH982" s="337"/>
      <c r="ETI982" s="336"/>
      <c r="ETJ982" s="337"/>
      <c r="ETK982" s="336"/>
      <c r="ETL982" s="337"/>
      <c r="ETM982" s="336"/>
      <c r="ETN982" s="337"/>
      <c r="ETO982" s="336"/>
      <c r="ETP982" s="337"/>
      <c r="ETQ982" s="336"/>
      <c r="ETR982" s="337"/>
      <c r="ETS982" s="336"/>
      <c r="ETT982" s="337"/>
      <c r="ETU982" s="336"/>
      <c r="ETV982" s="337"/>
      <c r="ETW982" s="336"/>
      <c r="ETX982" s="337"/>
      <c r="ETY982" s="336"/>
      <c r="ETZ982" s="337"/>
      <c r="EUA982" s="336"/>
      <c r="EUB982" s="337"/>
      <c r="EUC982" s="336"/>
      <c r="EUD982" s="337"/>
      <c r="EUE982" s="336"/>
      <c r="EUF982" s="337"/>
      <c r="EUG982" s="336"/>
      <c r="EUH982" s="337"/>
      <c r="EUI982" s="336"/>
      <c r="EUJ982" s="337"/>
      <c r="EUK982" s="336"/>
      <c r="EUL982" s="337"/>
      <c r="EUM982" s="336"/>
      <c r="EUN982" s="337"/>
      <c r="EUO982" s="336"/>
      <c r="EUP982" s="337"/>
      <c r="EUQ982" s="336"/>
      <c r="EUR982" s="337"/>
      <c r="EUS982" s="336"/>
      <c r="EUT982" s="337"/>
      <c r="EUU982" s="336"/>
      <c r="EUV982" s="337"/>
      <c r="EUW982" s="336"/>
      <c r="EUX982" s="337"/>
      <c r="EUY982" s="336"/>
      <c r="EUZ982" s="337"/>
      <c r="EVA982" s="336"/>
      <c r="EVB982" s="337"/>
      <c r="EVC982" s="336"/>
      <c r="EVD982" s="337"/>
      <c r="EVE982" s="336"/>
      <c r="EVF982" s="337"/>
      <c r="EVG982" s="336"/>
      <c r="EVH982" s="337"/>
      <c r="EVI982" s="336"/>
      <c r="EVJ982" s="337"/>
      <c r="EVK982" s="336"/>
      <c r="EVL982" s="337"/>
      <c r="EVM982" s="336"/>
      <c r="EVN982" s="337"/>
      <c r="EVO982" s="336"/>
      <c r="EVP982" s="337"/>
      <c r="EVQ982" s="336"/>
      <c r="EVR982" s="337"/>
      <c r="EVS982" s="336"/>
      <c r="EVT982" s="337"/>
      <c r="EVU982" s="336"/>
      <c r="EVV982" s="337"/>
      <c r="EVW982" s="336"/>
      <c r="EVX982" s="337"/>
      <c r="EVY982" s="336"/>
      <c r="EVZ982" s="337"/>
      <c r="EWA982" s="336"/>
      <c r="EWB982" s="337"/>
      <c r="EWC982" s="336"/>
      <c r="EWD982" s="337"/>
      <c r="EWE982" s="336"/>
      <c r="EWF982" s="337"/>
      <c r="EWG982" s="336"/>
      <c r="EWH982" s="337"/>
      <c r="EWI982" s="336"/>
      <c r="EWJ982" s="337"/>
      <c r="EWK982" s="336"/>
      <c r="EWL982" s="337"/>
      <c r="EWM982" s="336"/>
      <c r="EWN982" s="337"/>
      <c r="EWO982" s="336"/>
      <c r="EWP982" s="337"/>
      <c r="EWQ982" s="336"/>
      <c r="EWR982" s="337"/>
      <c r="EWS982" s="336"/>
      <c r="EWT982" s="337"/>
      <c r="EWU982" s="336"/>
      <c r="EWV982" s="337"/>
      <c r="EWW982" s="336"/>
      <c r="EWX982" s="337"/>
      <c r="EWY982" s="336"/>
      <c r="EWZ982" s="337"/>
      <c r="EXA982" s="336"/>
      <c r="EXB982" s="337"/>
      <c r="EXC982" s="336"/>
      <c r="EXD982" s="337"/>
      <c r="EXE982" s="336"/>
      <c r="EXF982" s="337"/>
      <c r="EXG982" s="336"/>
      <c r="EXH982" s="337"/>
      <c r="EXI982" s="336"/>
      <c r="EXJ982" s="337"/>
      <c r="EXK982" s="336"/>
      <c r="EXL982" s="337"/>
      <c r="EXM982" s="336"/>
      <c r="EXN982" s="337"/>
      <c r="EXO982" s="336"/>
      <c r="EXP982" s="337"/>
      <c r="EXQ982" s="336"/>
      <c r="EXR982" s="337"/>
      <c r="EXS982" s="336"/>
      <c r="EXT982" s="337"/>
      <c r="EXU982" s="336"/>
      <c r="EXV982" s="337"/>
      <c r="EXW982" s="336"/>
      <c r="EXX982" s="337"/>
      <c r="EXY982" s="336"/>
      <c r="EXZ982" s="337"/>
      <c r="EYA982" s="336"/>
      <c r="EYB982" s="337"/>
      <c r="EYC982" s="336"/>
      <c r="EYD982" s="337"/>
      <c r="EYE982" s="336"/>
      <c r="EYF982" s="337"/>
      <c r="EYG982" s="336"/>
      <c r="EYH982" s="337"/>
      <c r="EYI982" s="336"/>
      <c r="EYJ982" s="337"/>
      <c r="EYK982" s="336"/>
      <c r="EYL982" s="337"/>
      <c r="EYM982" s="336"/>
      <c r="EYN982" s="337"/>
      <c r="EYO982" s="336"/>
      <c r="EYP982" s="337"/>
      <c r="EYQ982" s="336"/>
      <c r="EYR982" s="337"/>
      <c r="EYS982" s="336"/>
      <c r="EYT982" s="337"/>
      <c r="EYU982" s="336"/>
      <c r="EYV982" s="337"/>
      <c r="EYW982" s="336"/>
      <c r="EYX982" s="337"/>
      <c r="EYY982" s="336"/>
      <c r="EYZ982" s="337"/>
      <c r="EZA982" s="336"/>
      <c r="EZB982" s="337"/>
      <c r="EZC982" s="336"/>
      <c r="EZD982" s="337"/>
      <c r="EZE982" s="336"/>
      <c r="EZF982" s="337"/>
      <c r="EZG982" s="336"/>
      <c r="EZH982" s="337"/>
      <c r="EZI982" s="336"/>
      <c r="EZJ982" s="337"/>
      <c r="EZK982" s="336"/>
      <c r="EZL982" s="337"/>
      <c r="EZM982" s="336"/>
      <c r="EZN982" s="337"/>
      <c r="EZO982" s="336"/>
      <c r="EZP982" s="337"/>
      <c r="EZQ982" s="336"/>
      <c r="EZR982" s="337"/>
      <c r="EZS982" s="336"/>
      <c r="EZT982" s="337"/>
      <c r="EZU982" s="336"/>
      <c r="EZV982" s="337"/>
      <c r="EZW982" s="336"/>
      <c r="EZX982" s="337"/>
      <c r="EZY982" s="336"/>
      <c r="EZZ982" s="337"/>
      <c r="FAA982" s="336"/>
      <c r="FAB982" s="337"/>
      <c r="FAC982" s="336"/>
      <c r="FAD982" s="337"/>
      <c r="FAE982" s="336"/>
      <c r="FAF982" s="337"/>
      <c r="FAG982" s="336"/>
      <c r="FAH982" s="337"/>
      <c r="FAI982" s="336"/>
      <c r="FAJ982" s="337"/>
      <c r="FAK982" s="336"/>
      <c r="FAL982" s="337"/>
      <c r="FAM982" s="336"/>
      <c r="FAN982" s="337"/>
      <c r="FAO982" s="336"/>
      <c r="FAP982" s="337"/>
      <c r="FAQ982" s="336"/>
      <c r="FAR982" s="337"/>
      <c r="FAS982" s="336"/>
      <c r="FAT982" s="337"/>
      <c r="FAU982" s="336"/>
      <c r="FAV982" s="337"/>
      <c r="FAW982" s="336"/>
      <c r="FAX982" s="337"/>
      <c r="FAY982" s="336"/>
      <c r="FAZ982" s="337"/>
      <c r="FBA982" s="336"/>
      <c r="FBB982" s="337"/>
      <c r="FBC982" s="336"/>
      <c r="FBD982" s="337"/>
      <c r="FBE982" s="336"/>
      <c r="FBF982" s="337"/>
      <c r="FBG982" s="336"/>
      <c r="FBH982" s="337"/>
      <c r="FBI982" s="336"/>
      <c r="FBJ982" s="337"/>
      <c r="FBK982" s="336"/>
      <c r="FBL982" s="337"/>
      <c r="FBM982" s="336"/>
      <c r="FBN982" s="337"/>
      <c r="FBO982" s="336"/>
      <c r="FBP982" s="337"/>
      <c r="FBQ982" s="336"/>
      <c r="FBR982" s="337"/>
      <c r="FBS982" s="336"/>
      <c r="FBT982" s="337"/>
      <c r="FBU982" s="336"/>
      <c r="FBV982" s="337"/>
      <c r="FBW982" s="336"/>
      <c r="FBX982" s="337"/>
      <c r="FBY982" s="336"/>
      <c r="FBZ982" s="337"/>
      <c r="FCA982" s="336"/>
      <c r="FCB982" s="337"/>
      <c r="FCC982" s="336"/>
      <c r="FCD982" s="337"/>
      <c r="FCE982" s="336"/>
      <c r="FCF982" s="337"/>
      <c r="FCG982" s="336"/>
      <c r="FCH982" s="337"/>
      <c r="FCI982" s="336"/>
      <c r="FCJ982" s="337"/>
      <c r="FCK982" s="336"/>
      <c r="FCL982" s="337"/>
      <c r="FCM982" s="336"/>
      <c r="FCN982" s="337"/>
      <c r="FCO982" s="336"/>
      <c r="FCP982" s="337"/>
      <c r="FCQ982" s="336"/>
      <c r="FCR982" s="337"/>
      <c r="FCS982" s="336"/>
      <c r="FCT982" s="337"/>
      <c r="FCU982" s="336"/>
      <c r="FCV982" s="337"/>
      <c r="FCW982" s="336"/>
      <c r="FCX982" s="337"/>
      <c r="FCY982" s="336"/>
      <c r="FCZ982" s="337"/>
      <c r="FDA982" s="336"/>
      <c r="FDB982" s="337"/>
      <c r="FDC982" s="336"/>
      <c r="FDD982" s="337"/>
      <c r="FDE982" s="336"/>
      <c r="FDF982" s="337"/>
      <c r="FDG982" s="336"/>
      <c r="FDH982" s="337"/>
      <c r="FDI982" s="336"/>
      <c r="FDJ982" s="337"/>
      <c r="FDK982" s="336"/>
      <c r="FDL982" s="337"/>
      <c r="FDM982" s="336"/>
      <c r="FDN982" s="337"/>
      <c r="FDO982" s="336"/>
      <c r="FDP982" s="337"/>
      <c r="FDQ982" s="336"/>
      <c r="FDR982" s="337"/>
      <c r="FDS982" s="336"/>
      <c r="FDT982" s="337"/>
      <c r="FDU982" s="336"/>
      <c r="FDV982" s="337"/>
      <c r="FDW982" s="336"/>
      <c r="FDX982" s="337"/>
      <c r="FDY982" s="336"/>
      <c r="FDZ982" s="337"/>
      <c r="FEA982" s="336"/>
      <c r="FEB982" s="337"/>
      <c r="FEC982" s="336"/>
      <c r="FED982" s="337"/>
      <c r="FEE982" s="336"/>
      <c r="FEF982" s="337"/>
      <c r="FEG982" s="336"/>
      <c r="FEH982" s="337"/>
      <c r="FEI982" s="336"/>
      <c r="FEJ982" s="337"/>
      <c r="FEK982" s="336"/>
      <c r="FEL982" s="337"/>
      <c r="FEM982" s="336"/>
      <c r="FEN982" s="337"/>
      <c r="FEO982" s="336"/>
      <c r="FEP982" s="337"/>
      <c r="FEQ982" s="336"/>
      <c r="FER982" s="337"/>
      <c r="FES982" s="336"/>
      <c r="FET982" s="337"/>
      <c r="FEU982" s="336"/>
      <c r="FEV982" s="337"/>
      <c r="FEW982" s="336"/>
      <c r="FEX982" s="337"/>
      <c r="FEY982" s="336"/>
      <c r="FEZ982" s="337"/>
      <c r="FFA982" s="336"/>
      <c r="FFB982" s="337"/>
      <c r="FFC982" s="336"/>
      <c r="FFD982" s="337"/>
      <c r="FFE982" s="336"/>
      <c r="FFF982" s="337"/>
      <c r="FFG982" s="336"/>
      <c r="FFH982" s="337"/>
      <c r="FFI982" s="336"/>
      <c r="FFJ982" s="337"/>
      <c r="FFK982" s="336"/>
      <c r="FFL982" s="337"/>
      <c r="FFM982" s="336"/>
      <c r="FFN982" s="337"/>
      <c r="FFO982" s="336"/>
      <c r="FFP982" s="337"/>
      <c r="FFQ982" s="336"/>
      <c r="FFR982" s="337"/>
      <c r="FFS982" s="336"/>
      <c r="FFT982" s="337"/>
      <c r="FFU982" s="336"/>
      <c r="FFV982" s="337"/>
      <c r="FFW982" s="336"/>
      <c r="FFX982" s="337"/>
      <c r="FFY982" s="336"/>
      <c r="FFZ982" s="337"/>
      <c r="FGA982" s="336"/>
      <c r="FGB982" s="337"/>
      <c r="FGC982" s="336"/>
      <c r="FGD982" s="337"/>
      <c r="FGE982" s="336"/>
      <c r="FGF982" s="337"/>
      <c r="FGG982" s="336"/>
      <c r="FGH982" s="337"/>
      <c r="FGI982" s="336"/>
      <c r="FGJ982" s="337"/>
      <c r="FGK982" s="336"/>
      <c r="FGL982" s="337"/>
      <c r="FGM982" s="336"/>
      <c r="FGN982" s="337"/>
      <c r="FGO982" s="336"/>
      <c r="FGP982" s="337"/>
      <c r="FGQ982" s="336"/>
      <c r="FGR982" s="337"/>
      <c r="FGS982" s="336"/>
      <c r="FGT982" s="337"/>
      <c r="FGU982" s="336"/>
      <c r="FGV982" s="337"/>
      <c r="FGW982" s="336"/>
      <c r="FGX982" s="337"/>
      <c r="FGY982" s="336"/>
      <c r="FGZ982" s="337"/>
      <c r="FHA982" s="336"/>
      <c r="FHB982" s="337"/>
      <c r="FHC982" s="336"/>
      <c r="FHD982" s="337"/>
      <c r="FHE982" s="336"/>
      <c r="FHF982" s="337"/>
      <c r="FHG982" s="336"/>
      <c r="FHH982" s="337"/>
      <c r="FHI982" s="336"/>
      <c r="FHJ982" s="337"/>
      <c r="FHK982" s="336"/>
      <c r="FHL982" s="337"/>
      <c r="FHM982" s="336"/>
      <c r="FHN982" s="337"/>
      <c r="FHO982" s="336"/>
      <c r="FHP982" s="337"/>
      <c r="FHQ982" s="336"/>
      <c r="FHR982" s="337"/>
      <c r="FHS982" s="336"/>
      <c r="FHT982" s="337"/>
      <c r="FHU982" s="336"/>
      <c r="FHV982" s="337"/>
      <c r="FHW982" s="336"/>
      <c r="FHX982" s="337"/>
      <c r="FHY982" s="336"/>
      <c r="FHZ982" s="337"/>
      <c r="FIA982" s="336"/>
      <c r="FIB982" s="337"/>
      <c r="FIC982" s="336"/>
      <c r="FID982" s="337"/>
      <c r="FIE982" s="336"/>
      <c r="FIF982" s="337"/>
      <c r="FIG982" s="336"/>
      <c r="FIH982" s="337"/>
      <c r="FII982" s="336"/>
      <c r="FIJ982" s="337"/>
      <c r="FIK982" s="336"/>
      <c r="FIL982" s="337"/>
      <c r="FIM982" s="336"/>
      <c r="FIN982" s="337"/>
      <c r="FIO982" s="336"/>
      <c r="FIP982" s="337"/>
      <c r="FIQ982" s="336"/>
      <c r="FIR982" s="337"/>
      <c r="FIS982" s="336"/>
      <c r="FIT982" s="337"/>
      <c r="FIU982" s="336"/>
      <c r="FIV982" s="337"/>
      <c r="FIW982" s="336"/>
      <c r="FIX982" s="337"/>
      <c r="FIY982" s="336"/>
      <c r="FIZ982" s="337"/>
      <c r="FJA982" s="336"/>
      <c r="FJB982" s="337"/>
      <c r="FJC982" s="336"/>
      <c r="FJD982" s="337"/>
      <c r="FJE982" s="336"/>
      <c r="FJF982" s="337"/>
      <c r="FJG982" s="336"/>
      <c r="FJH982" s="337"/>
      <c r="FJI982" s="336"/>
      <c r="FJJ982" s="337"/>
      <c r="FJK982" s="336"/>
      <c r="FJL982" s="337"/>
      <c r="FJM982" s="336"/>
      <c r="FJN982" s="337"/>
      <c r="FJO982" s="336"/>
      <c r="FJP982" s="337"/>
      <c r="FJQ982" s="336"/>
      <c r="FJR982" s="337"/>
      <c r="FJS982" s="336"/>
      <c r="FJT982" s="337"/>
      <c r="FJU982" s="336"/>
      <c r="FJV982" s="337"/>
      <c r="FJW982" s="336"/>
      <c r="FJX982" s="337"/>
      <c r="FJY982" s="336"/>
      <c r="FJZ982" s="337"/>
      <c r="FKA982" s="336"/>
      <c r="FKB982" s="337"/>
      <c r="FKC982" s="336"/>
      <c r="FKD982" s="337"/>
      <c r="FKE982" s="336"/>
      <c r="FKF982" s="337"/>
      <c r="FKG982" s="336"/>
      <c r="FKH982" s="337"/>
      <c r="FKI982" s="336"/>
      <c r="FKJ982" s="337"/>
      <c r="FKK982" s="336"/>
      <c r="FKL982" s="337"/>
      <c r="FKM982" s="336"/>
      <c r="FKN982" s="337"/>
      <c r="FKO982" s="336"/>
      <c r="FKP982" s="337"/>
      <c r="FKQ982" s="336"/>
      <c r="FKR982" s="337"/>
      <c r="FKS982" s="336"/>
      <c r="FKT982" s="337"/>
      <c r="FKU982" s="336"/>
      <c r="FKV982" s="337"/>
      <c r="FKW982" s="336"/>
      <c r="FKX982" s="337"/>
      <c r="FKY982" s="336"/>
      <c r="FKZ982" s="337"/>
      <c r="FLA982" s="336"/>
      <c r="FLB982" s="337"/>
      <c r="FLC982" s="336"/>
      <c r="FLD982" s="337"/>
      <c r="FLE982" s="336"/>
      <c r="FLF982" s="337"/>
      <c r="FLG982" s="336"/>
      <c r="FLH982" s="337"/>
      <c r="FLI982" s="336"/>
      <c r="FLJ982" s="337"/>
      <c r="FLK982" s="336"/>
      <c r="FLL982" s="337"/>
      <c r="FLM982" s="336"/>
      <c r="FLN982" s="337"/>
      <c r="FLO982" s="336"/>
      <c r="FLP982" s="337"/>
      <c r="FLQ982" s="336"/>
      <c r="FLR982" s="337"/>
      <c r="FLS982" s="336"/>
      <c r="FLT982" s="337"/>
      <c r="FLU982" s="336"/>
      <c r="FLV982" s="337"/>
      <c r="FLW982" s="336"/>
      <c r="FLX982" s="337"/>
      <c r="FLY982" s="336"/>
      <c r="FLZ982" s="337"/>
      <c r="FMA982" s="336"/>
      <c r="FMB982" s="337"/>
      <c r="FMC982" s="336"/>
      <c r="FMD982" s="337"/>
      <c r="FME982" s="336"/>
      <c r="FMF982" s="337"/>
      <c r="FMG982" s="336"/>
      <c r="FMH982" s="337"/>
      <c r="FMI982" s="336"/>
      <c r="FMJ982" s="337"/>
      <c r="FMK982" s="336"/>
      <c r="FML982" s="337"/>
      <c r="FMM982" s="336"/>
      <c r="FMN982" s="337"/>
      <c r="FMO982" s="336"/>
      <c r="FMP982" s="337"/>
      <c r="FMQ982" s="336"/>
      <c r="FMR982" s="337"/>
      <c r="FMS982" s="336"/>
      <c r="FMT982" s="337"/>
      <c r="FMU982" s="336"/>
      <c r="FMV982" s="337"/>
      <c r="FMW982" s="336"/>
      <c r="FMX982" s="337"/>
      <c r="FMY982" s="336"/>
      <c r="FMZ982" s="337"/>
      <c r="FNA982" s="336"/>
      <c r="FNB982" s="337"/>
      <c r="FNC982" s="336"/>
      <c r="FND982" s="337"/>
      <c r="FNE982" s="336"/>
      <c r="FNF982" s="337"/>
      <c r="FNG982" s="336"/>
      <c r="FNH982" s="337"/>
      <c r="FNI982" s="336"/>
      <c r="FNJ982" s="337"/>
      <c r="FNK982" s="336"/>
      <c r="FNL982" s="337"/>
      <c r="FNM982" s="336"/>
      <c r="FNN982" s="337"/>
      <c r="FNO982" s="336"/>
      <c r="FNP982" s="337"/>
      <c r="FNQ982" s="336"/>
      <c r="FNR982" s="337"/>
      <c r="FNS982" s="336"/>
      <c r="FNT982" s="337"/>
      <c r="FNU982" s="336"/>
      <c r="FNV982" s="337"/>
      <c r="FNW982" s="336"/>
      <c r="FNX982" s="337"/>
      <c r="FNY982" s="336"/>
      <c r="FNZ982" s="337"/>
      <c r="FOA982" s="336"/>
      <c r="FOB982" s="337"/>
      <c r="FOC982" s="336"/>
      <c r="FOD982" s="337"/>
      <c r="FOE982" s="336"/>
      <c r="FOF982" s="337"/>
      <c r="FOG982" s="336"/>
      <c r="FOH982" s="337"/>
      <c r="FOI982" s="336"/>
      <c r="FOJ982" s="337"/>
      <c r="FOK982" s="336"/>
      <c r="FOL982" s="337"/>
      <c r="FOM982" s="336"/>
      <c r="FON982" s="337"/>
      <c r="FOO982" s="336"/>
      <c r="FOP982" s="337"/>
      <c r="FOQ982" s="336"/>
      <c r="FOR982" s="337"/>
      <c r="FOS982" s="336"/>
      <c r="FOT982" s="337"/>
      <c r="FOU982" s="336"/>
      <c r="FOV982" s="337"/>
      <c r="FOW982" s="336"/>
      <c r="FOX982" s="337"/>
      <c r="FOY982" s="336"/>
      <c r="FOZ982" s="337"/>
      <c r="FPA982" s="336"/>
      <c r="FPB982" s="337"/>
      <c r="FPC982" s="336"/>
      <c r="FPD982" s="337"/>
      <c r="FPE982" s="336"/>
      <c r="FPF982" s="337"/>
      <c r="FPG982" s="336"/>
      <c r="FPH982" s="337"/>
      <c r="FPI982" s="336"/>
      <c r="FPJ982" s="337"/>
      <c r="FPK982" s="336"/>
      <c r="FPL982" s="337"/>
      <c r="FPM982" s="336"/>
      <c r="FPN982" s="337"/>
      <c r="FPO982" s="336"/>
      <c r="FPP982" s="337"/>
      <c r="FPQ982" s="336"/>
      <c r="FPR982" s="337"/>
      <c r="FPS982" s="336"/>
      <c r="FPT982" s="337"/>
      <c r="FPU982" s="336"/>
      <c r="FPV982" s="337"/>
      <c r="FPW982" s="336"/>
      <c r="FPX982" s="337"/>
      <c r="FPY982" s="336"/>
      <c r="FPZ982" s="337"/>
      <c r="FQA982" s="336"/>
      <c r="FQB982" s="337"/>
      <c r="FQC982" s="336"/>
      <c r="FQD982" s="337"/>
      <c r="FQE982" s="336"/>
      <c r="FQF982" s="337"/>
      <c r="FQG982" s="336"/>
      <c r="FQH982" s="337"/>
      <c r="FQI982" s="336"/>
      <c r="FQJ982" s="337"/>
      <c r="FQK982" s="336"/>
      <c r="FQL982" s="337"/>
      <c r="FQM982" s="336"/>
      <c r="FQN982" s="337"/>
      <c r="FQO982" s="336"/>
      <c r="FQP982" s="337"/>
      <c r="FQQ982" s="336"/>
      <c r="FQR982" s="337"/>
      <c r="FQS982" s="336"/>
      <c r="FQT982" s="337"/>
      <c r="FQU982" s="336"/>
      <c r="FQV982" s="337"/>
      <c r="FQW982" s="336"/>
      <c r="FQX982" s="337"/>
      <c r="FQY982" s="336"/>
      <c r="FQZ982" s="337"/>
      <c r="FRA982" s="336"/>
      <c r="FRB982" s="337"/>
      <c r="FRC982" s="336"/>
      <c r="FRD982" s="337"/>
      <c r="FRE982" s="336"/>
      <c r="FRF982" s="337"/>
      <c r="FRG982" s="336"/>
      <c r="FRH982" s="337"/>
      <c r="FRI982" s="336"/>
      <c r="FRJ982" s="337"/>
      <c r="FRK982" s="336"/>
      <c r="FRL982" s="337"/>
      <c r="FRM982" s="336"/>
      <c r="FRN982" s="337"/>
      <c r="FRO982" s="336"/>
      <c r="FRP982" s="337"/>
      <c r="FRQ982" s="336"/>
      <c r="FRR982" s="337"/>
      <c r="FRS982" s="336"/>
      <c r="FRT982" s="337"/>
      <c r="FRU982" s="336"/>
      <c r="FRV982" s="337"/>
      <c r="FRW982" s="336"/>
      <c r="FRX982" s="337"/>
      <c r="FRY982" s="336"/>
      <c r="FRZ982" s="337"/>
      <c r="FSA982" s="336"/>
      <c r="FSB982" s="337"/>
      <c r="FSC982" s="336"/>
      <c r="FSD982" s="337"/>
      <c r="FSE982" s="336"/>
      <c r="FSF982" s="337"/>
      <c r="FSG982" s="336"/>
      <c r="FSH982" s="337"/>
      <c r="FSI982" s="336"/>
      <c r="FSJ982" s="337"/>
      <c r="FSK982" s="336"/>
      <c r="FSL982" s="337"/>
      <c r="FSM982" s="336"/>
      <c r="FSN982" s="337"/>
      <c r="FSO982" s="336"/>
      <c r="FSP982" s="337"/>
      <c r="FSQ982" s="336"/>
      <c r="FSR982" s="337"/>
      <c r="FSS982" s="336"/>
      <c r="FST982" s="337"/>
      <c r="FSU982" s="336"/>
      <c r="FSV982" s="337"/>
      <c r="FSW982" s="336"/>
      <c r="FSX982" s="337"/>
      <c r="FSY982" s="336"/>
      <c r="FSZ982" s="337"/>
      <c r="FTA982" s="336"/>
      <c r="FTB982" s="337"/>
      <c r="FTC982" s="336"/>
      <c r="FTD982" s="337"/>
      <c r="FTE982" s="336"/>
      <c r="FTF982" s="337"/>
      <c r="FTG982" s="336"/>
      <c r="FTH982" s="337"/>
      <c r="FTI982" s="336"/>
      <c r="FTJ982" s="337"/>
      <c r="FTK982" s="336"/>
      <c r="FTL982" s="337"/>
      <c r="FTM982" s="336"/>
      <c r="FTN982" s="337"/>
      <c r="FTO982" s="336"/>
      <c r="FTP982" s="337"/>
      <c r="FTQ982" s="336"/>
      <c r="FTR982" s="337"/>
      <c r="FTS982" s="336"/>
      <c r="FTT982" s="337"/>
      <c r="FTU982" s="336"/>
      <c r="FTV982" s="337"/>
      <c r="FTW982" s="336"/>
      <c r="FTX982" s="337"/>
      <c r="FTY982" s="336"/>
      <c r="FTZ982" s="337"/>
      <c r="FUA982" s="336"/>
      <c r="FUB982" s="337"/>
      <c r="FUC982" s="336"/>
      <c r="FUD982" s="337"/>
      <c r="FUE982" s="336"/>
      <c r="FUF982" s="337"/>
      <c r="FUG982" s="336"/>
      <c r="FUH982" s="337"/>
      <c r="FUI982" s="336"/>
      <c r="FUJ982" s="337"/>
      <c r="FUK982" s="336"/>
      <c r="FUL982" s="337"/>
      <c r="FUM982" s="336"/>
      <c r="FUN982" s="337"/>
      <c r="FUO982" s="336"/>
      <c r="FUP982" s="337"/>
      <c r="FUQ982" s="336"/>
      <c r="FUR982" s="337"/>
      <c r="FUS982" s="336"/>
      <c r="FUT982" s="337"/>
      <c r="FUU982" s="336"/>
      <c r="FUV982" s="337"/>
      <c r="FUW982" s="336"/>
      <c r="FUX982" s="337"/>
      <c r="FUY982" s="336"/>
      <c r="FUZ982" s="337"/>
      <c r="FVA982" s="336"/>
      <c r="FVB982" s="337"/>
      <c r="FVC982" s="336"/>
      <c r="FVD982" s="337"/>
      <c r="FVE982" s="336"/>
      <c r="FVF982" s="337"/>
      <c r="FVG982" s="336"/>
      <c r="FVH982" s="337"/>
      <c r="FVI982" s="336"/>
      <c r="FVJ982" s="337"/>
      <c r="FVK982" s="336"/>
      <c r="FVL982" s="337"/>
      <c r="FVM982" s="336"/>
      <c r="FVN982" s="337"/>
      <c r="FVO982" s="336"/>
      <c r="FVP982" s="337"/>
      <c r="FVQ982" s="336"/>
      <c r="FVR982" s="337"/>
      <c r="FVS982" s="336"/>
      <c r="FVT982" s="337"/>
      <c r="FVU982" s="336"/>
      <c r="FVV982" s="337"/>
      <c r="FVW982" s="336"/>
      <c r="FVX982" s="337"/>
      <c r="FVY982" s="336"/>
      <c r="FVZ982" s="337"/>
      <c r="FWA982" s="336"/>
      <c r="FWB982" s="337"/>
      <c r="FWC982" s="336"/>
      <c r="FWD982" s="337"/>
      <c r="FWE982" s="336"/>
      <c r="FWF982" s="337"/>
      <c r="FWG982" s="336"/>
      <c r="FWH982" s="337"/>
      <c r="FWI982" s="336"/>
      <c r="FWJ982" s="337"/>
      <c r="FWK982" s="336"/>
      <c r="FWL982" s="337"/>
      <c r="FWM982" s="336"/>
      <c r="FWN982" s="337"/>
      <c r="FWO982" s="336"/>
      <c r="FWP982" s="337"/>
      <c r="FWQ982" s="336"/>
      <c r="FWR982" s="337"/>
      <c r="FWS982" s="336"/>
      <c r="FWT982" s="337"/>
      <c r="FWU982" s="336"/>
      <c r="FWV982" s="337"/>
      <c r="FWW982" s="336"/>
      <c r="FWX982" s="337"/>
      <c r="FWY982" s="336"/>
      <c r="FWZ982" s="337"/>
      <c r="FXA982" s="336"/>
      <c r="FXB982" s="337"/>
      <c r="FXC982" s="336"/>
      <c r="FXD982" s="337"/>
      <c r="FXE982" s="336"/>
      <c r="FXF982" s="337"/>
      <c r="FXG982" s="336"/>
      <c r="FXH982" s="337"/>
      <c r="FXI982" s="336"/>
      <c r="FXJ982" s="337"/>
      <c r="FXK982" s="336"/>
      <c r="FXL982" s="337"/>
      <c r="FXM982" s="336"/>
      <c r="FXN982" s="337"/>
      <c r="FXO982" s="336"/>
      <c r="FXP982" s="337"/>
      <c r="FXQ982" s="336"/>
      <c r="FXR982" s="337"/>
      <c r="FXS982" s="336"/>
      <c r="FXT982" s="337"/>
      <c r="FXU982" s="336"/>
      <c r="FXV982" s="337"/>
      <c r="FXW982" s="336"/>
      <c r="FXX982" s="337"/>
      <c r="FXY982" s="336"/>
      <c r="FXZ982" s="337"/>
      <c r="FYA982" s="336"/>
      <c r="FYB982" s="337"/>
      <c r="FYC982" s="336"/>
      <c r="FYD982" s="337"/>
      <c r="FYE982" s="336"/>
      <c r="FYF982" s="337"/>
      <c r="FYG982" s="336"/>
      <c r="FYH982" s="337"/>
      <c r="FYI982" s="336"/>
      <c r="FYJ982" s="337"/>
      <c r="FYK982" s="336"/>
      <c r="FYL982" s="337"/>
      <c r="FYM982" s="336"/>
      <c r="FYN982" s="337"/>
      <c r="FYO982" s="336"/>
      <c r="FYP982" s="337"/>
      <c r="FYQ982" s="336"/>
      <c r="FYR982" s="337"/>
      <c r="FYS982" s="336"/>
      <c r="FYT982" s="337"/>
      <c r="FYU982" s="336"/>
      <c r="FYV982" s="337"/>
      <c r="FYW982" s="336"/>
      <c r="FYX982" s="337"/>
      <c r="FYY982" s="336"/>
      <c r="FYZ982" s="337"/>
      <c r="FZA982" s="336"/>
      <c r="FZB982" s="337"/>
      <c r="FZC982" s="336"/>
      <c r="FZD982" s="337"/>
      <c r="FZE982" s="336"/>
      <c r="FZF982" s="337"/>
      <c r="FZG982" s="336"/>
      <c r="FZH982" s="337"/>
      <c r="FZI982" s="336"/>
      <c r="FZJ982" s="337"/>
      <c r="FZK982" s="336"/>
      <c r="FZL982" s="337"/>
      <c r="FZM982" s="336"/>
      <c r="FZN982" s="337"/>
      <c r="FZO982" s="336"/>
      <c r="FZP982" s="337"/>
      <c r="FZQ982" s="336"/>
      <c r="FZR982" s="337"/>
      <c r="FZS982" s="336"/>
      <c r="FZT982" s="337"/>
      <c r="FZU982" s="336"/>
      <c r="FZV982" s="337"/>
      <c r="FZW982" s="336"/>
      <c r="FZX982" s="337"/>
      <c r="FZY982" s="336"/>
      <c r="FZZ982" s="337"/>
      <c r="GAA982" s="336"/>
      <c r="GAB982" s="337"/>
      <c r="GAC982" s="336"/>
      <c r="GAD982" s="337"/>
      <c r="GAE982" s="336"/>
      <c r="GAF982" s="337"/>
      <c r="GAG982" s="336"/>
      <c r="GAH982" s="337"/>
      <c r="GAI982" s="336"/>
      <c r="GAJ982" s="337"/>
      <c r="GAK982" s="336"/>
      <c r="GAL982" s="337"/>
      <c r="GAM982" s="336"/>
      <c r="GAN982" s="337"/>
      <c r="GAO982" s="336"/>
      <c r="GAP982" s="337"/>
      <c r="GAQ982" s="336"/>
      <c r="GAR982" s="337"/>
      <c r="GAS982" s="336"/>
      <c r="GAT982" s="337"/>
      <c r="GAU982" s="336"/>
      <c r="GAV982" s="337"/>
      <c r="GAW982" s="336"/>
      <c r="GAX982" s="337"/>
      <c r="GAY982" s="336"/>
      <c r="GAZ982" s="337"/>
      <c r="GBA982" s="336"/>
      <c r="GBB982" s="337"/>
      <c r="GBC982" s="336"/>
      <c r="GBD982" s="337"/>
      <c r="GBE982" s="336"/>
      <c r="GBF982" s="337"/>
      <c r="GBG982" s="336"/>
      <c r="GBH982" s="337"/>
      <c r="GBI982" s="336"/>
      <c r="GBJ982" s="337"/>
      <c r="GBK982" s="336"/>
      <c r="GBL982" s="337"/>
      <c r="GBM982" s="336"/>
      <c r="GBN982" s="337"/>
      <c r="GBO982" s="336"/>
      <c r="GBP982" s="337"/>
      <c r="GBQ982" s="336"/>
      <c r="GBR982" s="337"/>
      <c r="GBS982" s="336"/>
      <c r="GBT982" s="337"/>
      <c r="GBU982" s="336"/>
      <c r="GBV982" s="337"/>
      <c r="GBW982" s="336"/>
      <c r="GBX982" s="337"/>
      <c r="GBY982" s="336"/>
      <c r="GBZ982" s="337"/>
      <c r="GCA982" s="336"/>
      <c r="GCB982" s="337"/>
      <c r="GCC982" s="336"/>
      <c r="GCD982" s="337"/>
      <c r="GCE982" s="336"/>
      <c r="GCF982" s="337"/>
      <c r="GCG982" s="336"/>
      <c r="GCH982" s="337"/>
      <c r="GCI982" s="336"/>
      <c r="GCJ982" s="337"/>
      <c r="GCK982" s="336"/>
      <c r="GCL982" s="337"/>
      <c r="GCM982" s="336"/>
      <c r="GCN982" s="337"/>
      <c r="GCO982" s="336"/>
      <c r="GCP982" s="337"/>
      <c r="GCQ982" s="336"/>
      <c r="GCR982" s="337"/>
      <c r="GCS982" s="336"/>
      <c r="GCT982" s="337"/>
      <c r="GCU982" s="336"/>
      <c r="GCV982" s="337"/>
      <c r="GCW982" s="336"/>
      <c r="GCX982" s="337"/>
      <c r="GCY982" s="336"/>
      <c r="GCZ982" s="337"/>
      <c r="GDA982" s="336"/>
      <c r="GDB982" s="337"/>
      <c r="GDC982" s="336"/>
      <c r="GDD982" s="337"/>
      <c r="GDE982" s="336"/>
      <c r="GDF982" s="337"/>
      <c r="GDG982" s="336"/>
      <c r="GDH982" s="337"/>
      <c r="GDI982" s="336"/>
      <c r="GDJ982" s="337"/>
      <c r="GDK982" s="336"/>
      <c r="GDL982" s="337"/>
      <c r="GDM982" s="336"/>
      <c r="GDN982" s="337"/>
      <c r="GDO982" s="336"/>
      <c r="GDP982" s="337"/>
      <c r="GDQ982" s="336"/>
      <c r="GDR982" s="337"/>
      <c r="GDS982" s="336"/>
      <c r="GDT982" s="337"/>
      <c r="GDU982" s="336"/>
      <c r="GDV982" s="337"/>
      <c r="GDW982" s="336"/>
      <c r="GDX982" s="337"/>
      <c r="GDY982" s="336"/>
      <c r="GDZ982" s="337"/>
      <c r="GEA982" s="336"/>
      <c r="GEB982" s="337"/>
      <c r="GEC982" s="336"/>
      <c r="GED982" s="337"/>
      <c r="GEE982" s="336"/>
      <c r="GEF982" s="337"/>
      <c r="GEG982" s="336"/>
      <c r="GEH982" s="337"/>
      <c r="GEI982" s="336"/>
      <c r="GEJ982" s="337"/>
      <c r="GEK982" s="336"/>
      <c r="GEL982" s="337"/>
      <c r="GEM982" s="336"/>
      <c r="GEN982" s="337"/>
      <c r="GEO982" s="336"/>
      <c r="GEP982" s="337"/>
      <c r="GEQ982" s="336"/>
      <c r="GER982" s="337"/>
      <c r="GES982" s="336"/>
      <c r="GET982" s="337"/>
      <c r="GEU982" s="336"/>
      <c r="GEV982" s="337"/>
      <c r="GEW982" s="336"/>
      <c r="GEX982" s="337"/>
      <c r="GEY982" s="336"/>
      <c r="GEZ982" s="337"/>
      <c r="GFA982" s="336"/>
      <c r="GFB982" s="337"/>
      <c r="GFC982" s="336"/>
      <c r="GFD982" s="337"/>
      <c r="GFE982" s="336"/>
      <c r="GFF982" s="337"/>
      <c r="GFG982" s="336"/>
      <c r="GFH982" s="337"/>
      <c r="GFI982" s="336"/>
      <c r="GFJ982" s="337"/>
      <c r="GFK982" s="336"/>
      <c r="GFL982" s="337"/>
      <c r="GFM982" s="336"/>
      <c r="GFN982" s="337"/>
      <c r="GFO982" s="336"/>
      <c r="GFP982" s="337"/>
      <c r="GFQ982" s="336"/>
      <c r="GFR982" s="337"/>
      <c r="GFS982" s="336"/>
      <c r="GFT982" s="337"/>
      <c r="GFU982" s="336"/>
      <c r="GFV982" s="337"/>
      <c r="GFW982" s="336"/>
      <c r="GFX982" s="337"/>
      <c r="GFY982" s="336"/>
      <c r="GFZ982" s="337"/>
      <c r="GGA982" s="336"/>
      <c r="GGB982" s="337"/>
      <c r="GGC982" s="336"/>
      <c r="GGD982" s="337"/>
      <c r="GGE982" s="336"/>
      <c r="GGF982" s="337"/>
      <c r="GGG982" s="336"/>
      <c r="GGH982" s="337"/>
      <c r="GGI982" s="336"/>
      <c r="GGJ982" s="337"/>
      <c r="GGK982" s="336"/>
      <c r="GGL982" s="337"/>
      <c r="GGM982" s="336"/>
      <c r="GGN982" s="337"/>
      <c r="GGO982" s="336"/>
      <c r="GGP982" s="337"/>
      <c r="GGQ982" s="336"/>
      <c r="GGR982" s="337"/>
      <c r="GGS982" s="336"/>
      <c r="GGT982" s="337"/>
      <c r="GGU982" s="336"/>
      <c r="GGV982" s="337"/>
      <c r="GGW982" s="336"/>
      <c r="GGX982" s="337"/>
      <c r="GGY982" s="336"/>
      <c r="GGZ982" s="337"/>
      <c r="GHA982" s="336"/>
      <c r="GHB982" s="337"/>
      <c r="GHC982" s="336"/>
      <c r="GHD982" s="337"/>
      <c r="GHE982" s="336"/>
      <c r="GHF982" s="337"/>
      <c r="GHG982" s="336"/>
      <c r="GHH982" s="337"/>
      <c r="GHI982" s="336"/>
      <c r="GHJ982" s="337"/>
      <c r="GHK982" s="336"/>
      <c r="GHL982" s="337"/>
      <c r="GHM982" s="336"/>
      <c r="GHN982" s="337"/>
      <c r="GHO982" s="336"/>
      <c r="GHP982" s="337"/>
      <c r="GHQ982" s="336"/>
      <c r="GHR982" s="337"/>
      <c r="GHS982" s="336"/>
      <c r="GHT982" s="337"/>
      <c r="GHU982" s="336"/>
      <c r="GHV982" s="337"/>
      <c r="GHW982" s="336"/>
      <c r="GHX982" s="337"/>
      <c r="GHY982" s="336"/>
      <c r="GHZ982" s="337"/>
      <c r="GIA982" s="336"/>
      <c r="GIB982" s="337"/>
      <c r="GIC982" s="336"/>
      <c r="GID982" s="337"/>
      <c r="GIE982" s="336"/>
      <c r="GIF982" s="337"/>
      <c r="GIG982" s="336"/>
      <c r="GIH982" s="337"/>
      <c r="GII982" s="336"/>
      <c r="GIJ982" s="337"/>
      <c r="GIK982" s="336"/>
      <c r="GIL982" s="337"/>
      <c r="GIM982" s="336"/>
      <c r="GIN982" s="337"/>
      <c r="GIO982" s="336"/>
      <c r="GIP982" s="337"/>
      <c r="GIQ982" s="336"/>
      <c r="GIR982" s="337"/>
      <c r="GIS982" s="336"/>
      <c r="GIT982" s="337"/>
      <c r="GIU982" s="336"/>
      <c r="GIV982" s="337"/>
      <c r="GIW982" s="336"/>
      <c r="GIX982" s="337"/>
      <c r="GIY982" s="336"/>
      <c r="GIZ982" s="337"/>
      <c r="GJA982" s="336"/>
      <c r="GJB982" s="337"/>
      <c r="GJC982" s="336"/>
      <c r="GJD982" s="337"/>
      <c r="GJE982" s="336"/>
      <c r="GJF982" s="337"/>
      <c r="GJG982" s="336"/>
      <c r="GJH982" s="337"/>
      <c r="GJI982" s="336"/>
      <c r="GJJ982" s="337"/>
      <c r="GJK982" s="336"/>
      <c r="GJL982" s="337"/>
      <c r="GJM982" s="336"/>
      <c r="GJN982" s="337"/>
      <c r="GJO982" s="336"/>
      <c r="GJP982" s="337"/>
      <c r="GJQ982" s="336"/>
      <c r="GJR982" s="337"/>
      <c r="GJS982" s="336"/>
      <c r="GJT982" s="337"/>
      <c r="GJU982" s="336"/>
      <c r="GJV982" s="337"/>
      <c r="GJW982" s="336"/>
      <c r="GJX982" s="337"/>
      <c r="GJY982" s="336"/>
      <c r="GJZ982" s="337"/>
      <c r="GKA982" s="336"/>
      <c r="GKB982" s="337"/>
      <c r="GKC982" s="336"/>
      <c r="GKD982" s="337"/>
      <c r="GKE982" s="336"/>
      <c r="GKF982" s="337"/>
      <c r="GKG982" s="336"/>
      <c r="GKH982" s="337"/>
      <c r="GKI982" s="336"/>
      <c r="GKJ982" s="337"/>
      <c r="GKK982" s="336"/>
      <c r="GKL982" s="337"/>
      <c r="GKM982" s="336"/>
      <c r="GKN982" s="337"/>
      <c r="GKO982" s="336"/>
      <c r="GKP982" s="337"/>
      <c r="GKQ982" s="336"/>
      <c r="GKR982" s="337"/>
      <c r="GKS982" s="336"/>
      <c r="GKT982" s="337"/>
      <c r="GKU982" s="336"/>
      <c r="GKV982" s="337"/>
      <c r="GKW982" s="336"/>
      <c r="GKX982" s="337"/>
      <c r="GKY982" s="336"/>
      <c r="GKZ982" s="337"/>
      <c r="GLA982" s="336"/>
      <c r="GLB982" s="337"/>
      <c r="GLC982" s="336"/>
      <c r="GLD982" s="337"/>
      <c r="GLE982" s="336"/>
      <c r="GLF982" s="337"/>
      <c r="GLG982" s="336"/>
      <c r="GLH982" s="337"/>
      <c r="GLI982" s="336"/>
      <c r="GLJ982" s="337"/>
      <c r="GLK982" s="336"/>
      <c r="GLL982" s="337"/>
      <c r="GLM982" s="336"/>
      <c r="GLN982" s="337"/>
      <c r="GLO982" s="336"/>
      <c r="GLP982" s="337"/>
      <c r="GLQ982" s="336"/>
      <c r="GLR982" s="337"/>
      <c r="GLS982" s="336"/>
      <c r="GLT982" s="337"/>
      <c r="GLU982" s="336"/>
      <c r="GLV982" s="337"/>
      <c r="GLW982" s="336"/>
      <c r="GLX982" s="337"/>
      <c r="GLY982" s="336"/>
      <c r="GLZ982" s="337"/>
      <c r="GMA982" s="336"/>
      <c r="GMB982" s="337"/>
      <c r="GMC982" s="336"/>
      <c r="GMD982" s="337"/>
      <c r="GME982" s="336"/>
      <c r="GMF982" s="337"/>
      <c r="GMG982" s="336"/>
      <c r="GMH982" s="337"/>
      <c r="GMI982" s="336"/>
      <c r="GMJ982" s="337"/>
      <c r="GMK982" s="336"/>
      <c r="GML982" s="337"/>
      <c r="GMM982" s="336"/>
      <c r="GMN982" s="337"/>
      <c r="GMO982" s="336"/>
      <c r="GMP982" s="337"/>
      <c r="GMQ982" s="336"/>
      <c r="GMR982" s="337"/>
      <c r="GMS982" s="336"/>
      <c r="GMT982" s="337"/>
      <c r="GMU982" s="336"/>
      <c r="GMV982" s="337"/>
      <c r="GMW982" s="336"/>
      <c r="GMX982" s="337"/>
      <c r="GMY982" s="336"/>
      <c r="GMZ982" s="337"/>
      <c r="GNA982" s="336"/>
      <c r="GNB982" s="337"/>
      <c r="GNC982" s="336"/>
      <c r="GND982" s="337"/>
      <c r="GNE982" s="336"/>
      <c r="GNF982" s="337"/>
      <c r="GNG982" s="336"/>
      <c r="GNH982" s="337"/>
      <c r="GNI982" s="336"/>
      <c r="GNJ982" s="337"/>
      <c r="GNK982" s="336"/>
      <c r="GNL982" s="337"/>
      <c r="GNM982" s="336"/>
      <c r="GNN982" s="337"/>
      <c r="GNO982" s="336"/>
      <c r="GNP982" s="337"/>
      <c r="GNQ982" s="336"/>
      <c r="GNR982" s="337"/>
      <c r="GNS982" s="336"/>
      <c r="GNT982" s="337"/>
      <c r="GNU982" s="336"/>
      <c r="GNV982" s="337"/>
      <c r="GNW982" s="336"/>
      <c r="GNX982" s="337"/>
      <c r="GNY982" s="336"/>
      <c r="GNZ982" s="337"/>
      <c r="GOA982" s="336"/>
      <c r="GOB982" s="337"/>
      <c r="GOC982" s="336"/>
      <c r="GOD982" s="337"/>
      <c r="GOE982" s="336"/>
      <c r="GOF982" s="337"/>
      <c r="GOG982" s="336"/>
      <c r="GOH982" s="337"/>
      <c r="GOI982" s="336"/>
      <c r="GOJ982" s="337"/>
      <c r="GOK982" s="336"/>
      <c r="GOL982" s="337"/>
      <c r="GOM982" s="336"/>
      <c r="GON982" s="337"/>
      <c r="GOO982" s="336"/>
      <c r="GOP982" s="337"/>
      <c r="GOQ982" s="336"/>
      <c r="GOR982" s="337"/>
      <c r="GOS982" s="336"/>
      <c r="GOT982" s="337"/>
      <c r="GOU982" s="336"/>
      <c r="GOV982" s="337"/>
      <c r="GOW982" s="336"/>
      <c r="GOX982" s="337"/>
      <c r="GOY982" s="336"/>
      <c r="GOZ982" s="337"/>
      <c r="GPA982" s="336"/>
      <c r="GPB982" s="337"/>
      <c r="GPC982" s="336"/>
      <c r="GPD982" s="337"/>
      <c r="GPE982" s="336"/>
      <c r="GPF982" s="337"/>
      <c r="GPG982" s="336"/>
      <c r="GPH982" s="337"/>
      <c r="GPI982" s="336"/>
      <c r="GPJ982" s="337"/>
      <c r="GPK982" s="336"/>
      <c r="GPL982" s="337"/>
      <c r="GPM982" s="336"/>
      <c r="GPN982" s="337"/>
      <c r="GPO982" s="336"/>
      <c r="GPP982" s="337"/>
      <c r="GPQ982" s="336"/>
      <c r="GPR982" s="337"/>
      <c r="GPS982" s="336"/>
      <c r="GPT982" s="337"/>
      <c r="GPU982" s="336"/>
      <c r="GPV982" s="337"/>
      <c r="GPW982" s="336"/>
      <c r="GPX982" s="337"/>
      <c r="GPY982" s="336"/>
      <c r="GPZ982" s="337"/>
      <c r="GQA982" s="336"/>
      <c r="GQB982" s="337"/>
      <c r="GQC982" s="336"/>
      <c r="GQD982" s="337"/>
      <c r="GQE982" s="336"/>
      <c r="GQF982" s="337"/>
      <c r="GQG982" s="336"/>
      <c r="GQH982" s="337"/>
      <c r="GQI982" s="336"/>
      <c r="GQJ982" s="337"/>
      <c r="GQK982" s="336"/>
      <c r="GQL982" s="337"/>
      <c r="GQM982" s="336"/>
      <c r="GQN982" s="337"/>
      <c r="GQO982" s="336"/>
      <c r="GQP982" s="337"/>
      <c r="GQQ982" s="336"/>
      <c r="GQR982" s="337"/>
      <c r="GQS982" s="336"/>
      <c r="GQT982" s="337"/>
      <c r="GQU982" s="336"/>
      <c r="GQV982" s="337"/>
      <c r="GQW982" s="336"/>
      <c r="GQX982" s="337"/>
      <c r="GQY982" s="336"/>
      <c r="GQZ982" s="337"/>
      <c r="GRA982" s="336"/>
      <c r="GRB982" s="337"/>
      <c r="GRC982" s="336"/>
      <c r="GRD982" s="337"/>
      <c r="GRE982" s="336"/>
      <c r="GRF982" s="337"/>
      <c r="GRG982" s="336"/>
      <c r="GRH982" s="337"/>
      <c r="GRI982" s="336"/>
      <c r="GRJ982" s="337"/>
      <c r="GRK982" s="336"/>
      <c r="GRL982" s="337"/>
      <c r="GRM982" s="336"/>
      <c r="GRN982" s="337"/>
      <c r="GRO982" s="336"/>
      <c r="GRP982" s="337"/>
      <c r="GRQ982" s="336"/>
      <c r="GRR982" s="337"/>
      <c r="GRS982" s="336"/>
      <c r="GRT982" s="337"/>
      <c r="GRU982" s="336"/>
      <c r="GRV982" s="337"/>
      <c r="GRW982" s="336"/>
      <c r="GRX982" s="337"/>
      <c r="GRY982" s="336"/>
      <c r="GRZ982" s="337"/>
      <c r="GSA982" s="336"/>
      <c r="GSB982" s="337"/>
      <c r="GSC982" s="336"/>
      <c r="GSD982" s="337"/>
      <c r="GSE982" s="336"/>
      <c r="GSF982" s="337"/>
      <c r="GSG982" s="336"/>
      <c r="GSH982" s="337"/>
      <c r="GSI982" s="336"/>
      <c r="GSJ982" s="337"/>
      <c r="GSK982" s="336"/>
      <c r="GSL982" s="337"/>
      <c r="GSM982" s="336"/>
      <c r="GSN982" s="337"/>
      <c r="GSO982" s="336"/>
      <c r="GSP982" s="337"/>
      <c r="GSQ982" s="336"/>
      <c r="GSR982" s="337"/>
      <c r="GSS982" s="336"/>
      <c r="GST982" s="337"/>
      <c r="GSU982" s="336"/>
      <c r="GSV982" s="337"/>
      <c r="GSW982" s="336"/>
      <c r="GSX982" s="337"/>
      <c r="GSY982" s="336"/>
      <c r="GSZ982" s="337"/>
      <c r="GTA982" s="336"/>
      <c r="GTB982" s="337"/>
      <c r="GTC982" s="336"/>
      <c r="GTD982" s="337"/>
      <c r="GTE982" s="336"/>
      <c r="GTF982" s="337"/>
      <c r="GTG982" s="336"/>
      <c r="GTH982" s="337"/>
      <c r="GTI982" s="336"/>
      <c r="GTJ982" s="337"/>
      <c r="GTK982" s="336"/>
      <c r="GTL982" s="337"/>
      <c r="GTM982" s="336"/>
      <c r="GTN982" s="337"/>
      <c r="GTO982" s="336"/>
      <c r="GTP982" s="337"/>
      <c r="GTQ982" s="336"/>
      <c r="GTR982" s="337"/>
      <c r="GTS982" s="336"/>
      <c r="GTT982" s="337"/>
      <c r="GTU982" s="336"/>
      <c r="GTV982" s="337"/>
      <c r="GTW982" s="336"/>
      <c r="GTX982" s="337"/>
      <c r="GTY982" s="336"/>
      <c r="GTZ982" s="337"/>
      <c r="GUA982" s="336"/>
      <c r="GUB982" s="337"/>
      <c r="GUC982" s="336"/>
      <c r="GUD982" s="337"/>
      <c r="GUE982" s="336"/>
      <c r="GUF982" s="337"/>
      <c r="GUG982" s="336"/>
      <c r="GUH982" s="337"/>
      <c r="GUI982" s="336"/>
      <c r="GUJ982" s="337"/>
      <c r="GUK982" s="336"/>
      <c r="GUL982" s="337"/>
      <c r="GUM982" s="336"/>
      <c r="GUN982" s="337"/>
      <c r="GUO982" s="336"/>
      <c r="GUP982" s="337"/>
      <c r="GUQ982" s="336"/>
      <c r="GUR982" s="337"/>
      <c r="GUS982" s="336"/>
      <c r="GUT982" s="337"/>
      <c r="GUU982" s="336"/>
      <c r="GUV982" s="337"/>
      <c r="GUW982" s="336"/>
      <c r="GUX982" s="337"/>
      <c r="GUY982" s="336"/>
      <c r="GUZ982" s="337"/>
      <c r="GVA982" s="336"/>
      <c r="GVB982" s="337"/>
      <c r="GVC982" s="336"/>
      <c r="GVD982" s="337"/>
      <c r="GVE982" s="336"/>
      <c r="GVF982" s="337"/>
      <c r="GVG982" s="336"/>
      <c r="GVH982" s="337"/>
      <c r="GVI982" s="336"/>
      <c r="GVJ982" s="337"/>
      <c r="GVK982" s="336"/>
      <c r="GVL982" s="337"/>
      <c r="GVM982" s="336"/>
      <c r="GVN982" s="337"/>
      <c r="GVO982" s="336"/>
      <c r="GVP982" s="337"/>
      <c r="GVQ982" s="336"/>
      <c r="GVR982" s="337"/>
      <c r="GVS982" s="336"/>
      <c r="GVT982" s="337"/>
      <c r="GVU982" s="336"/>
      <c r="GVV982" s="337"/>
      <c r="GVW982" s="336"/>
      <c r="GVX982" s="337"/>
      <c r="GVY982" s="336"/>
      <c r="GVZ982" s="337"/>
      <c r="GWA982" s="336"/>
      <c r="GWB982" s="337"/>
      <c r="GWC982" s="336"/>
      <c r="GWD982" s="337"/>
      <c r="GWE982" s="336"/>
      <c r="GWF982" s="337"/>
      <c r="GWG982" s="336"/>
      <c r="GWH982" s="337"/>
      <c r="GWI982" s="336"/>
      <c r="GWJ982" s="337"/>
      <c r="GWK982" s="336"/>
      <c r="GWL982" s="337"/>
      <c r="GWM982" s="336"/>
      <c r="GWN982" s="337"/>
      <c r="GWO982" s="336"/>
      <c r="GWP982" s="337"/>
      <c r="GWQ982" s="336"/>
      <c r="GWR982" s="337"/>
      <c r="GWS982" s="336"/>
      <c r="GWT982" s="337"/>
      <c r="GWU982" s="336"/>
      <c r="GWV982" s="337"/>
      <c r="GWW982" s="336"/>
      <c r="GWX982" s="337"/>
      <c r="GWY982" s="336"/>
      <c r="GWZ982" s="337"/>
      <c r="GXA982" s="336"/>
      <c r="GXB982" s="337"/>
      <c r="GXC982" s="336"/>
      <c r="GXD982" s="337"/>
      <c r="GXE982" s="336"/>
      <c r="GXF982" s="337"/>
      <c r="GXG982" s="336"/>
      <c r="GXH982" s="337"/>
      <c r="GXI982" s="336"/>
      <c r="GXJ982" s="337"/>
      <c r="GXK982" s="336"/>
      <c r="GXL982" s="337"/>
      <c r="GXM982" s="336"/>
      <c r="GXN982" s="337"/>
      <c r="GXO982" s="336"/>
      <c r="GXP982" s="337"/>
      <c r="GXQ982" s="336"/>
      <c r="GXR982" s="337"/>
      <c r="GXS982" s="336"/>
      <c r="GXT982" s="337"/>
      <c r="GXU982" s="336"/>
      <c r="GXV982" s="337"/>
      <c r="GXW982" s="336"/>
      <c r="GXX982" s="337"/>
      <c r="GXY982" s="336"/>
      <c r="GXZ982" s="337"/>
      <c r="GYA982" s="336"/>
      <c r="GYB982" s="337"/>
      <c r="GYC982" s="336"/>
      <c r="GYD982" s="337"/>
      <c r="GYE982" s="336"/>
      <c r="GYF982" s="337"/>
      <c r="GYG982" s="336"/>
      <c r="GYH982" s="337"/>
      <c r="GYI982" s="336"/>
      <c r="GYJ982" s="337"/>
      <c r="GYK982" s="336"/>
      <c r="GYL982" s="337"/>
      <c r="GYM982" s="336"/>
      <c r="GYN982" s="337"/>
      <c r="GYO982" s="336"/>
      <c r="GYP982" s="337"/>
      <c r="GYQ982" s="336"/>
      <c r="GYR982" s="337"/>
      <c r="GYS982" s="336"/>
      <c r="GYT982" s="337"/>
      <c r="GYU982" s="336"/>
      <c r="GYV982" s="337"/>
      <c r="GYW982" s="336"/>
      <c r="GYX982" s="337"/>
      <c r="GYY982" s="336"/>
      <c r="GYZ982" s="337"/>
      <c r="GZA982" s="336"/>
      <c r="GZB982" s="337"/>
      <c r="GZC982" s="336"/>
      <c r="GZD982" s="337"/>
      <c r="GZE982" s="336"/>
      <c r="GZF982" s="337"/>
      <c r="GZG982" s="336"/>
      <c r="GZH982" s="337"/>
      <c r="GZI982" s="336"/>
      <c r="GZJ982" s="337"/>
      <c r="GZK982" s="336"/>
      <c r="GZL982" s="337"/>
      <c r="GZM982" s="336"/>
      <c r="GZN982" s="337"/>
      <c r="GZO982" s="336"/>
      <c r="GZP982" s="337"/>
      <c r="GZQ982" s="336"/>
      <c r="GZR982" s="337"/>
      <c r="GZS982" s="336"/>
      <c r="GZT982" s="337"/>
      <c r="GZU982" s="336"/>
      <c r="GZV982" s="337"/>
      <c r="GZW982" s="336"/>
      <c r="GZX982" s="337"/>
      <c r="GZY982" s="336"/>
      <c r="GZZ982" s="337"/>
      <c r="HAA982" s="336"/>
      <c r="HAB982" s="337"/>
      <c r="HAC982" s="336"/>
      <c r="HAD982" s="337"/>
      <c r="HAE982" s="336"/>
      <c r="HAF982" s="337"/>
      <c r="HAG982" s="336"/>
      <c r="HAH982" s="337"/>
      <c r="HAI982" s="336"/>
      <c r="HAJ982" s="337"/>
      <c r="HAK982" s="336"/>
      <c r="HAL982" s="337"/>
      <c r="HAM982" s="336"/>
      <c r="HAN982" s="337"/>
      <c r="HAO982" s="336"/>
      <c r="HAP982" s="337"/>
      <c r="HAQ982" s="336"/>
      <c r="HAR982" s="337"/>
      <c r="HAS982" s="336"/>
      <c r="HAT982" s="337"/>
      <c r="HAU982" s="336"/>
      <c r="HAV982" s="337"/>
      <c r="HAW982" s="336"/>
      <c r="HAX982" s="337"/>
      <c r="HAY982" s="336"/>
      <c r="HAZ982" s="337"/>
      <c r="HBA982" s="336"/>
      <c r="HBB982" s="337"/>
      <c r="HBC982" s="336"/>
      <c r="HBD982" s="337"/>
      <c r="HBE982" s="336"/>
      <c r="HBF982" s="337"/>
      <c r="HBG982" s="336"/>
      <c r="HBH982" s="337"/>
      <c r="HBI982" s="336"/>
      <c r="HBJ982" s="337"/>
      <c r="HBK982" s="336"/>
      <c r="HBL982" s="337"/>
      <c r="HBM982" s="336"/>
      <c r="HBN982" s="337"/>
      <c r="HBO982" s="336"/>
      <c r="HBP982" s="337"/>
      <c r="HBQ982" s="336"/>
      <c r="HBR982" s="337"/>
      <c r="HBS982" s="336"/>
      <c r="HBT982" s="337"/>
      <c r="HBU982" s="336"/>
      <c r="HBV982" s="337"/>
      <c r="HBW982" s="336"/>
      <c r="HBX982" s="337"/>
      <c r="HBY982" s="336"/>
      <c r="HBZ982" s="337"/>
      <c r="HCA982" s="336"/>
      <c r="HCB982" s="337"/>
      <c r="HCC982" s="336"/>
      <c r="HCD982" s="337"/>
      <c r="HCE982" s="336"/>
      <c r="HCF982" s="337"/>
      <c r="HCG982" s="336"/>
      <c r="HCH982" s="337"/>
      <c r="HCI982" s="336"/>
      <c r="HCJ982" s="337"/>
      <c r="HCK982" s="336"/>
      <c r="HCL982" s="337"/>
      <c r="HCM982" s="336"/>
      <c r="HCN982" s="337"/>
      <c r="HCO982" s="336"/>
      <c r="HCP982" s="337"/>
      <c r="HCQ982" s="336"/>
      <c r="HCR982" s="337"/>
      <c r="HCS982" s="336"/>
      <c r="HCT982" s="337"/>
      <c r="HCU982" s="336"/>
      <c r="HCV982" s="337"/>
      <c r="HCW982" s="336"/>
      <c r="HCX982" s="337"/>
      <c r="HCY982" s="336"/>
      <c r="HCZ982" s="337"/>
      <c r="HDA982" s="336"/>
      <c r="HDB982" s="337"/>
      <c r="HDC982" s="336"/>
      <c r="HDD982" s="337"/>
      <c r="HDE982" s="336"/>
      <c r="HDF982" s="337"/>
      <c r="HDG982" s="336"/>
      <c r="HDH982" s="337"/>
      <c r="HDI982" s="336"/>
      <c r="HDJ982" s="337"/>
      <c r="HDK982" s="336"/>
      <c r="HDL982" s="337"/>
      <c r="HDM982" s="336"/>
      <c r="HDN982" s="337"/>
      <c r="HDO982" s="336"/>
      <c r="HDP982" s="337"/>
      <c r="HDQ982" s="336"/>
      <c r="HDR982" s="337"/>
      <c r="HDS982" s="336"/>
      <c r="HDT982" s="337"/>
      <c r="HDU982" s="336"/>
      <c r="HDV982" s="337"/>
      <c r="HDW982" s="336"/>
      <c r="HDX982" s="337"/>
      <c r="HDY982" s="336"/>
      <c r="HDZ982" s="337"/>
      <c r="HEA982" s="336"/>
      <c r="HEB982" s="337"/>
      <c r="HEC982" s="336"/>
      <c r="HED982" s="337"/>
      <c r="HEE982" s="336"/>
      <c r="HEF982" s="337"/>
      <c r="HEG982" s="336"/>
      <c r="HEH982" s="337"/>
      <c r="HEI982" s="336"/>
      <c r="HEJ982" s="337"/>
      <c r="HEK982" s="336"/>
      <c r="HEL982" s="337"/>
      <c r="HEM982" s="336"/>
      <c r="HEN982" s="337"/>
      <c r="HEO982" s="336"/>
      <c r="HEP982" s="337"/>
      <c r="HEQ982" s="336"/>
      <c r="HER982" s="337"/>
      <c r="HES982" s="336"/>
      <c r="HET982" s="337"/>
      <c r="HEU982" s="336"/>
      <c r="HEV982" s="337"/>
      <c r="HEW982" s="336"/>
      <c r="HEX982" s="337"/>
      <c r="HEY982" s="336"/>
      <c r="HEZ982" s="337"/>
      <c r="HFA982" s="336"/>
      <c r="HFB982" s="337"/>
      <c r="HFC982" s="336"/>
      <c r="HFD982" s="337"/>
      <c r="HFE982" s="336"/>
      <c r="HFF982" s="337"/>
      <c r="HFG982" s="336"/>
      <c r="HFH982" s="337"/>
      <c r="HFI982" s="336"/>
      <c r="HFJ982" s="337"/>
      <c r="HFK982" s="336"/>
      <c r="HFL982" s="337"/>
      <c r="HFM982" s="336"/>
      <c r="HFN982" s="337"/>
      <c r="HFO982" s="336"/>
      <c r="HFP982" s="337"/>
      <c r="HFQ982" s="336"/>
      <c r="HFR982" s="337"/>
      <c r="HFS982" s="336"/>
      <c r="HFT982" s="337"/>
      <c r="HFU982" s="336"/>
      <c r="HFV982" s="337"/>
      <c r="HFW982" s="336"/>
      <c r="HFX982" s="337"/>
      <c r="HFY982" s="336"/>
      <c r="HFZ982" s="337"/>
      <c r="HGA982" s="336"/>
      <c r="HGB982" s="337"/>
      <c r="HGC982" s="336"/>
      <c r="HGD982" s="337"/>
      <c r="HGE982" s="336"/>
      <c r="HGF982" s="337"/>
      <c r="HGG982" s="336"/>
      <c r="HGH982" s="337"/>
      <c r="HGI982" s="336"/>
      <c r="HGJ982" s="337"/>
      <c r="HGK982" s="336"/>
      <c r="HGL982" s="337"/>
      <c r="HGM982" s="336"/>
      <c r="HGN982" s="337"/>
      <c r="HGO982" s="336"/>
      <c r="HGP982" s="337"/>
      <c r="HGQ982" s="336"/>
      <c r="HGR982" s="337"/>
      <c r="HGS982" s="336"/>
      <c r="HGT982" s="337"/>
      <c r="HGU982" s="336"/>
      <c r="HGV982" s="337"/>
      <c r="HGW982" s="336"/>
      <c r="HGX982" s="337"/>
      <c r="HGY982" s="336"/>
      <c r="HGZ982" s="337"/>
      <c r="HHA982" s="336"/>
      <c r="HHB982" s="337"/>
      <c r="HHC982" s="336"/>
      <c r="HHD982" s="337"/>
      <c r="HHE982" s="336"/>
      <c r="HHF982" s="337"/>
      <c r="HHG982" s="336"/>
      <c r="HHH982" s="337"/>
      <c r="HHI982" s="336"/>
      <c r="HHJ982" s="337"/>
      <c r="HHK982" s="336"/>
      <c r="HHL982" s="337"/>
      <c r="HHM982" s="336"/>
      <c r="HHN982" s="337"/>
      <c r="HHO982" s="336"/>
      <c r="HHP982" s="337"/>
      <c r="HHQ982" s="336"/>
      <c r="HHR982" s="337"/>
      <c r="HHS982" s="336"/>
      <c r="HHT982" s="337"/>
      <c r="HHU982" s="336"/>
      <c r="HHV982" s="337"/>
      <c r="HHW982" s="336"/>
      <c r="HHX982" s="337"/>
      <c r="HHY982" s="336"/>
      <c r="HHZ982" s="337"/>
      <c r="HIA982" s="336"/>
      <c r="HIB982" s="337"/>
      <c r="HIC982" s="336"/>
      <c r="HID982" s="337"/>
      <c r="HIE982" s="336"/>
      <c r="HIF982" s="337"/>
      <c r="HIG982" s="336"/>
      <c r="HIH982" s="337"/>
      <c r="HII982" s="336"/>
      <c r="HIJ982" s="337"/>
      <c r="HIK982" s="336"/>
      <c r="HIL982" s="337"/>
      <c r="HIM982" s="336"/>
      <c r="HIN982" s="337"/>
      <c r="HIO982" s="336"/>
      <c r="HIP982" s="337"/>
      <c r="HIQ982" s="336"/>
      <c r="HIR982" s="337"/>
      <c r="HIS982" s="336"/>
      <c r="HIT982" s="337"/>
      <c r="HIU982" s="336"/>
      <c r="HIV982" s="337"/>
      <c r="HIW982" s="336"/>
      <c r="HIX982" s="337"/>
      <c r="HIY982" s="336"/>
      <c r="HIZ982" s="337"/>
      <c r="HJA982" s="336"/>
      <c r="HJB982" s="337"/>
      <c r="HJC982" s="336"/>
      <c r="HJD982" s="337"/>
      <c r="HJE982" s="336"/>
      <c r="HJF982" s="337"/>
      <c r="HJG982" s="336"/>
      <c r="HJH982" s="337"/>
      <c r="HJI982" s="336"/>
      <c r="HJJ982" s="337"/>
      <c r="HJK982" s="336"/>
      <c r="HJL982" s="337"/>
      <c r="HJM982" s="336"/>
      <c r="HJN982" s="337"/>
      <c r="HJO982" s="336"/>
      <c r="HJP982" s="337"/>
      <c r="HJQ982" s="336"/>
      <c r="HJR982" s="337"/>
      <c r="HJS982" s="336"/>
      <c r="HJT982" s="337"/>
      <c r="HJU982" s="336"/>
      <c r="HJV982" s="337"/>
      <c r="HJW982" s="336"/>
      <c r="HJX982" s="337"/>
      <c r="HJY982" s="336"/>
      <c r="HJZ982" s="337"/>
      <c r="HKA982" s="336"/>
      <c r="HKB982" s="337"/>
      <c r="HKC982" s="336"/>
      <c r="HKD982" s="337"/>
      <c r="HKE982" s="336"/>
      <c r="HKF982" s="337"/>
      <c r="HKG982" s="336"/>
      <c r="HKH982" s="337"/>
      <c r="HKI982" s="336"/>
      <c r="HKJ982" s="337"/>
      <c r="HKK982" s="336"/>
      <c r="HKL982" s="337"/>
      <c r="HKM982" s="336"/>
      <c r="HKN982" s="337"/>
      <c r="HKO982" s="336"/>
      <c r="HKP982" s="337"/>
      <c r="HKQ982" s="336"/>
      <c r="HKR982" s="337"/>
      <c r="HKS982" s="336"/>
      <c r="HKT982" s="337"/>
      <c r="HKU982" s="336"/>
      <c r="HKV982" s="337"/>
      <c r="HKW982" s="336"/>
      <c r="HKX982" s="337"/>
      <c r="HKY982" s="336"/>
      <c r="HKZ982" s="337"/>
      <c r="HLA982" s="336"/>
      <c r="HLB982" s="337"/>
      <c r="HLC982" s="336"/>
      <c r="HLD982" s="337"/>
      <c r="HLE982" s="336"/>
      <c r="HLF982" s="337"/>
      <c r="HLG982" s="336"/>
      <c r="HLH982" s="337"/>
      <c r="HLI982" s="336"/>
      <c r="HLJ982" s="337"/>
      <c r="HLK982" s="336"/>
      <c r="HLL982" s="337"/>
      <c r="HLM982" s="336"/>
      <c r="HLN982" s="337"/>
      <c r="HLO982" s="336"/>
      <c r="HLP982" s="337"/>
      <c r="HLQ982" s="336"/>
      <c r="HLR982" s="337"/>
      <c r="HLS982" s="336"/>
      <c r="HLT982" s="337"/>
      <c r="HLU982" s="336"/>
      <c r="HLV982" s="337"/>
      <c r="HLW982" s="336"/>
      <c r="HLX982" s="337"/>
      <c r="HLY982" s="336"/>
      <c r="HLZ982" s="337"/>
      <c r="HMA982" s="336"/>
      <c r="HMB982" s="337"/>
      <c r="HMC982" s="336"/>
      <c r="HMD982" s="337"/>
      <c r="HME982" s="336"/>
      <c r="HMF982" s="337"/>
      <c r="HMG982" s="336"/>
      <c r="HMH982" s="337"/>
      <c r="HMI982" s="336"/>
      <c r="HMJ982" s="337"/>
      <c r="HMK982" s="336"/>
      <c r="HML982" s="337"/>
      <c r="HMM982" s="336"/>
      <c r="HMN982" s="337"/>
      <c r="HMO982" s="336"/>
      <c r="HMP982" s="337"/>
      <c r="HMQ982" s="336"/>
      <c r="HMR982" s="337"/>
      <c r="HMS982" s="336"/>
      <c r="HMT982" s="337"/>
      <c r="HMU982" s="336"/>
      <c r="HMV982" s="337"/>
      <c r="HMW982" s="336"/>
      <c r="HMX982" s="337"/>
      <c r="HMY982" s="336"/>
      <c r="HMZ982" s="337"/>
      <c r="HNA982" s="336"/>
      <c r="HNB982" s="337"/>
      <c r="HNC982" s="336"/>
      <c r="HND982" s="337"/>
      <c r="HNE982" s="336"/>
      <c r="HNF982" s="337"/>
      <c r="HNG982" s="336"/>
      <c r="HNH982" s="337"/>
      <c r="HNI982" s="336"/>
      <c r="HNJ982" s="337"/>
      <c r="HNK982" s="336"/>
      <c r="HNL982" s="337"/>
      <c r="HNM982" s="336"/>
      <c r="HNN982" s="337"/>
      <c r="HNO982" s="336"/>
      <c r="HNP982" s="337"/>
      <c r="HNQ982" s="336"/>
      <c r="HNR982" s="337"/>
      <c r="HNS982" s="336"/>
      <c r="HNT982" s="337"/>
      <c r="HNU982" s="336"/>
      <c r="HNV982" s="337"/>
      <c r="HNW982" s="336"/>
      <c r="HNX982" s="337"/>
      <c r="HNY982" s="336"/>
      <c r="HNZ982" s="337"/>
      <c r="HOA982" s="336"/>
      <c r="HOB982" s="337"/>
      <c r="HOC982" s="336"/>
      <c r="HOD982" s="337"/>
      <c r="HOE982" s="336"/>
      <c r="HOF982" s="337"/>
      <c r="HOG982" s="336"/>
      <c r="HOH982" s="337"/>
      <c r="HOI982" s="336"/>
      <c r="HOJ982" s="337"/>
      <c r="HOK982" s="336"/>
      <c r="HOL982" s="337"/>
      <c r="HOM982" s="336"/>
      <c r="HON982" s="337"/>
      <c r="HOO982" s="336"/>
      <c r="HOP982" s="337"/>
      <c r="HOQ982" s="336"/>
      <c r="HOR982" s="337"/>
      <c r="HOS982" s="336"/>
      <c r="HOT982" s="337"/>
      <c r="HOU982" s="336"/>
      <c r="HOV982" s="337"/>
      <c r="HOW982" s="336"/>
      <c r="HOX982" s="337"/>
      <c r="HOY982" s="336"/>
      <c r="HOZ982" s="337"/>
      <c r="HPA982" s="336"/>
      <c r="HPB982" s="337"/>
      <c r="HPC982" s="336"/>
      <c r="HPD982" s="337"/>
      <c r="HPE982" s="336"/>
      <c r="HPF982" s="337"/>
      <c r="HPG982" s="336"/>
      <c r="HPH982" s="337"/>
      <c r="HPI982" s="336"/>
      <c r="HPJ982" s="337"/>
      <c r="HPK982" s="336"/>
      <c r="HPL982" s="337"/>
      <c r="HPM982" s="336"/>
      <c r="HPN982" s="337"/>
      <c r="HPO982" s="336"/>
      <c r="HPP982" s="337"/>
      <c r="HPQ982" s="336"/>
      <c r="HPR982" s="337"/>
      <c r="HPS982" s="336"/>
      <c r="HPT982" s="337"/>
      <c r="HPU982" s="336"/>
      <c r="HPV982" s="337"/>
      <c r="HPW982" s="336"/>
      <c r="HPX982" s="337"/>
      <c r="HPY982" s="336"/>
      <c r="HPZ982" s="337"/>
      <c r="HQA982" s="336"/>
      <c r="HQB982" s="337"/>
      <c r="HQC982" s="336"/>
      <c r="HQD982" s="337"/>
      <c r="HQE982" s="336"/>
      <c r="HQF982" s="337"/>
      <c r="HQG982" s="336"/>
      <c r="HQH982" s="337"/>
      <c r="HQI982" s="336"/>
      <c r="HQJ982" s="337"/>
      <c r="HQK982" s="336"/>
      <c r="HQL982" s="337"/>
      <c r="HQM982" s="336"/>
      <c r="HQN982" s="337"/>
      <c r="HQO982" s="336"/>
      <c r="HQP982" s="337"/>
      <c r="HQQ982" s="336"/>
      <c r="HQR982" s="337"/>
      <c r="HQS982" s="336"/>
      <c r="HQT982" s="337"/>
      <c r="HQU982" s="336"/>
      <c r="HQV982" s="337"/>
      <c r="HQW982" s="336"/>
      <c r="HQX982" s="337"/>
      <c r="HQY982" s="336"/>
      <c r="HQZ982" s="337"/>
      <c r="HRA982" s="336"/>
      <c r="HRB982" s="337"/>
      <c r="HRC982" s="336"/>
      <c r="HRD982" s="337"/>
      <c r="HRE982" s="336"/>
      <c r="HRF982" s="337"/>
      <c r="HRG982" s="336"/>
      <c r="HRH982" s="337"/>
      <c r="HRI982" s="336"/>
      <c r="HRJ982" s="337"/>
      <c r="HRK982" s="336"/>
      <c r="HRL982" s="337"/>
      <c r="HRM982" s="336"/>
      <c r="HRN982" s="337"/>
      <c r="HRO982" s="336"/>
      <c r="HRP982" s="337"/>
      <c r="HRQ982" s="336"/>
      <c r="HRR982" s="337"/>
      <c r="HRS982" s="336"/>
      <c r="HRT982" s="337"/>
      <c r="HRU982" s="336"/>
      <c r="HRV982" s="337"/>
      <c r="HRW982" s="336"/>
      <c r="HRX982" s="337"/>
      <c r="HRY982" s="336"/>
      <c r="HRZ982" s="337"/>
      <c r="HSA982" s="336"/>
      <c r="HSB982" s="337"/>
      <c r="HSC982" s="336"/>
      <c r="HSD982" s="337"/>
      <c r="HSE982" s="336"/>
      <c r="HSF982" s="337"/>
      <c r="HSG982" s="336"/>
      <c r="HSH982" s="337"/>
      <c r="HSI982" s="336"/>
      <c r="HSJ982" s="337"/>
      <c r="HSK982" s="336"/>
      <c r="HSL982" s="337"/>
      <c r="HSM982" s="336"/>
      <c r="HSN982" s="337"/>
      <c r="HSO982" s="336"/>
      <c r="HSP982" s="337"/>
      <c r="HSQ982" s="336"/>
      <c r="HSR982" s="337"/>
      <c r="HSS982" s="336"/>
      <c r="HST982" s="337"/>
      <c r="HSU982" s="336"/>
      <c r="HSV982" s="337"/>
      <c r="HSW982" s="336"/>
      <c r="HSX982" s="337"/>
      <c r="HSY982" s="336"/>
      <c r="HSZ982" s="337"/>
      <c r="HTA982" s="336"/>
      <c r="HTB982" s="337"/>
      <c r="HTC982" s="336"/>
      <c r="HTD982" s="337"/>
      <c r="HTE982" s="336"/>
      <c r="HTF982" s="337"/>
      <c r="HTG982" s="336"/>
      <c r="HTH982" s="337"/>
      <c r="HTI982" s="336"/>
      <c r="HTJ982" s="337"/>
      <c r="HTK982" s="336"/>
      <c r="HTL982" s="337"/>
      <c r="HTM982" s="336"/>
      <c r="HTN982" s="337"/>
      <c r="HTO982" s="336"/>
      <c r="HTP982" s="337"/>
      <c r="HTQ982" s="336"/>
      <c r="HTR982" s="337"/>
      <c r="HTS982" s="336"/>
      <c r="HTT982" s="337"/>
      <c r="HTU982" s="336"/>
      <c r="HTV982" s="337"/>
      <c r="HTW982" s="336"/>
      <c r="HTX982" s="337"/>
      <c r="HTY982" s="336"/>
      <c r="HTZ982" s="337"/>
      <c r="HUA982" s="336"/>
      <c r="HUB982" s="337"/>
      <c r="HUC982" s="336"/>
      <c r="HUD982" s="337"/>
      <c r="HUE982" s="336"/>
      <c r="HUF982" s="337"/>
      <c r="HUG982" s="336"/>
      <c r="HUH982" s="337"/>
      <c r="HUI982" s="336"/>
      <c r="HUJ982" s="337"/>
      <c r="HUK982" s="336"/>
      <c r="HUL982" s="337"/>
      <c r="HUM982" s="336"/>
      <c r="HUN982" s="337"/>
      <c r="HUO982" s="336"/>
      <c r="HUP982" s="337"/>
      <c r="HUQ982" s="336"/>
      <c r="HUR982" s="337"/>
      <c r="HUS982" s="336"/>
      <c r="HUT982" s="337"/>
      <c r="HUU982" s="336"/>
      <c r="HUV982" s="337"/>
      <c r="HUW982" s="336"/>
      <c r="HUX982" s="337"/>
      <c r="HUY982" s="336"/>
      <c r="HUZ982" s="337"/>
      <c r="HVA982" s="336"/>
      <c r="HVB982" s="337"/>
      <c r="HVC982" s="336"/>
      <c r="HVD982" s="337"/>
      <c r="HVE982" s="336"/>
      <c r="HVF982" s="337"/>
      <c r="HVG982" s="336"/>
      <c r="HVH982" s="337"/>
      <c r="HVI982" s="336"/>
      <c r="HVJ982" s="337"/>
      <c r="HVK982" s="336"/>
      <c r="HVL982" s="337"/>
      <c r="HVM982" s="336"/>
      <c r="HVN982" s="337"/>
      <c r="HVO982" s="336"/>
      <c r="HVP982" s="337"/>
      <c r="HVQ982" s="336"/>
      <c r="HVR982" s="337"/>
      <c r="HVS982" s="336"/>
      <c r="HVT982" s="337"/>
      <c r="HVU982" s="336"/>
      <c r="HVV982" s="337"/>
      <c r="HVW982" s="336"/>
      <c r="HVX982" s="337"/>
      <c r="HVY982" s="336"/>
      <c r="HVZ982" s="337"/>
      <c r="HWA982" s="336"/>
      <c r="HWB982" s="337"/>
      <c r="HWC982" s="336"/>
      <c r="HWD982" s="337"/>
      <c r="HWE982" s="336"/>
      <c r="HWF982" s="337"/>
      <c r="HWG982" s="336"/>
      <c r="HWH982" s="337"/>
      <c r="HWI982" s="336"/>
      <c r="HWJ982" s="337"/>
      <c r="HWK982" s="336"/>
      <c r="HWL982" s="337"/>
      <c r="HWM982" s="336"/>
      <c r="HWN982" s="337"/>
      <c r="HWO982" s="336"/>
      <c r="HWP982" s="337"/>
      <c r="HWQ982" s="336"/>
      <c r="HWR982" s="337"/>
      <c r="HWS982" s="336"/>
      <c r="HWT982" s="337"/>
      <c r="HWU982" s="336"/>
      <c r="HWV982" s="337"/>
      <c r="HWW982" s="336"/>
      <c r="HWX982" s="337"/>
      <c r="HWY982" s="336"/>
      <c r="HWZ982" s="337"/>
      <c r="HXA982" s="336"/>
      <c r="HXB982" s="337"/>
      <c r="HXC982" s="336"/>
      <c r="HXD982" s="337"/>
      <c r="HXE982" s="336"/>
      <c r="HXF982" s="337"/>
      <c r="HXG982" s="336"/>
      <c r="HXH982" s="337"/>
      <c r="HXI982" s="336"/>
      <c r="HXJ982" s="337"/>
      <c r="HXK982" s="336"/>
      <c r="HXL982" s="337"/>
      <c r="HXM982" s="336"/>
      <c r="HXN982" s="337"/>
      <c r="HXO982" s="336"/>
      <c r="HXP982" s="337"/>
      <c r="HXQ982" s="336"/>
      <c r="HXR982" s="337"/>
      <c r="HXS982" s="336"/>
      <c r="HXT982" s="337"/>
      <c r="HXU982" s="336"/>
      <c r="HXV982" s="337"/>
      <c r="HXW982" s="336"/>
      <c r="HXX982" s="337"/>
      <c r="HXY982" s="336"/>
      <c r="HXZ982" s="337"/>
      <c r="HYA982" s="336"/>
      <c r="HYB982" s="337"/>
      <c r="HYC982" s="336"/>
      <c r="HYD982" s="337"/>
      <c r="HYE982" s="336"/>
      <c r="HYF982" s="337"/>
      <c r="HYG982" s="336"/>
      <c r="HYH982" s="337"/>
      <c r="HYI982" s="336"/>
      <c r="HYJ982" s="337"/>
      <c r="HYK982" s="336"/>
      <c r="HYL982" s="337"/>
      <c r="HYM982" s="336"/>
      <c r="HYN982" s="337"/>
      <c r="HYO982" s="336"/>
      <c r="HYP982" s="337"/>
      <c r="HYQ982" s="336"/>
      <c r="HYR982" s="337"/>
      <c r="HYS982" s="336"/>
      <c r="HYT982" s="337"/>
      <c r="HYU982" s="336"/>
      <c r="HYV982" s="337"/>
      <c r="HYW982" s="336"/>
      <c r="HYX982" s="337"/>
      <c r="HYY982" s="336"/>
      <c r="HYZ982" s="337"/>
      <c r="HZA982" s="336"/>
      <c r="HZB982" s="337"/>
      <c r="HZC982" s="336"/>
      <c r="HZD982" s="337"/>
      <c r="HZE982" s="336"/>
      <c r="HZF982" s="337"/>
      <c r="HZG982" s="336"/>
      <c r="HZH982" s="337"/>
      <c r="HZI982" s="336"/>
      <c r="HZJ982" s="337"/>
      <c r="HZK982" s="336"/>
      <c r="HZL982" s="337"/>
      <c r="HZM982" s="336"/>
      <c r="HZN982" s="337"/>
      <c r="HZO982" s="336"/>
      <c r="HZP982" s="337"/>
      <c r="HZQ982" s="336"/>
      <c r="HZR982" s="337"/>
      <c r="HZS982" s="336"/>
      <c r="HZT982" s="337"/>
      <c r="HZU982" s="336"/>
      <c r="HZV982" s="337"/>
      <c r="HZW982" s="336"/>
      <c r="HZX982" s="337"/>
      <c r="HZY982" s="336"/>
      <c r="HZZ982" s="337"/>
      <c r="IAA982" s="336"/>
      <c r="IAB982" s="337"/>
      <c r="IAC982" s="336"/>
      <c r="IAD982" s="337"/>
      <c r="IAE982" s="336"/>
      <c r="IAF982" s="337"/>
      <c r="IAG982" s="336"/>
      <c r="IAH982" s="337"/>
      <c r="IAI982" s="336"/>
      <c r="IAJ982" s="337"/>
      <c r="IAK982" s="336"/>
      <c r="IAL982" s="337"/>
      <c r="IAM982" s="336"/>
      <c r="IAN982" s="337"/>
      <c r="IAO982" s="336"/>
      <c r="IAP982" s="337"/>
      <c r="IAQ982" s="336"/>
      <c r="IAR982" s="337"/>
      <c r="IAS982" s="336"/>
      <c r="IAT982" s="337"/>
      <c r="IAU982" s="336"/>
      <c r="IAV982" s="337"/>
      <c r="IAW982" s="336"/>
      <c r="IAX982" s="337"/>
      <c r="IAY982" s="336"/>
      <c r="IAZ982" s="337"/>
      <c r="IBA982" s="336"/>
      <c r="IBB982" s="337"/>
      <c r="IBC982" s="336"/>
      <c r="IBD982" s="337"/>
      <c r="IBE982" s="336"/>
      <c r="IBF982" s="337"/>
      <c r="IBG982" s="336"/>
      <c r="IBH982" s="337"/>
      <c r="IBI982" s="336"/>
      <c r="IBJ982" s="337"/>
      <c r="IBK982" s="336"/>
      <c r="IBL982" s="337"/>
      <c r="IBM982" s="336"/>
      <c r="IBN982" s="337"/>
      <c r="IBO982" s="336"/>
      <c r="IBP982" s="337"/>
      <c r="IBQ982" s="336"/>
      <c r="IBR982" s="337"/>
      <c r="IBS982" s="336"/>
      <c r="IBT982" s="337"/>
      <c r="IBU982" s="336"/>
      <c r="IBV982" s="337"/>
      <c r="IBW982" s="336"/>
      <c r="IBX982" s="337"/>
      <c r="IBY982" s="336"/>
      <c r="IBZ982" s="337"/>
      <c r="ICA982" s="336"/>
      <c r="ICB982" s="337"/>
      <c r="ICC982" s="336"/>
      <c r="ICD982" s="337"/>
      <c r="ICE982" s="336"/>
      <c r="ICF982" s="337"/>
      <c r="ICG982" s="336"/>
      <c r="ICH982" s="337"/>
      <c r="ICI982" s="336"/>
      <c r="ICJ982" s="337"/>
      <c r="ICK982" s="336"/>
      <c r="ICL982" s="337"/>
      <c r="ICM982" s="336"/>
      <c r="ICN982" s="337"/>
      <c r="ICO982" s="336"/>
      <c r="ICP982" s="337"/>
      <c r="ICQ982" s="336"/>
      <c r="ICR982" s="337"/>
      <c r="ICS982" s="336"/>
      <c r="ICT982" s="337"/>
      <c r="ICU982" s="336"/>
      <c r="ICV982" s="337"/>
      <c r="ICW982" s="336"/>
      <c r="ICX982" s="337"/>
      <c r="ICY982" s="336"/>
      <c r="ICZ982" s="337"/>
      <c r="IDA982" s="336"/>
      <c r="IDB982" s="337"/>
      <c r="IDC982" s="336"/>
      <c r="IDD982" s="337"/>
      <c r="IDE982" s="336"/>
      <c r="IDF982" s="337"/>
      <c r="IDG982" s="336"/>
      <c r="IDH982" s="337"/>
      <c r="IDI982" s="336"/>
      <c r="IDJ982" s="337"/>
      <c r="IDK982" s="336"/>
      <c r="IDL982" s="337"/>
      <c r="IDM982" s="336"/>
      <c r="IDN982" s="337"/>
      <c r="IDO982" s="336"/>
      <c r="IDP982" s="337"/>
      <c r="IDQ982" s="336"/>
      <c r="IDR982" s="337"/>
      <c r="IDS982" s="336"/>
      <c r="IDT982" s="337"/>
      <c r="IDU982" s="336"/>
      <c r="IDV982" s="337"/>
      <c r="IDW982" s="336"/>
      <c r="IDX982" s="337"/>
      <c r="IDY982" s="336"/>
      <c r="IDZ982" s="337"/>
      <c r="IEA982" s="336"/>
      <c r="IEB982" s="337"/>
      <c r="IEC982" s="336"/>
      <c r="IED982" s="337"/>
      <c r="IEE982" s="336"/>
      <c r="IEF982" s="337"/>
      <c r="IEG982" s="336"/>
      <c r="IEH982" s="337"/>
      <c r="IEI982" s="336"/>
      <c r="IEJ982" s="337"/>
      <c r="IEK982" s="336"/>
      <c r="IEL982" s="337"/>
      <c r="IEM982" s="336"/>
      <c r="IEN982" s="337"/>
      <c r="IEO982" s="336"/>
      <c r="IEP982" s="337"/>
      <c r="IEQ982" s="336"/>
      <c r="IER982" s="337"/>
      <c r="IES982" s="336"/>
      <c r="IET982" s="337"/>
      <c r="IEU982" s="336"/>
      <c r="IEV982" s="337"/>
      <c r="IEW982" s="336"/>
      <c r="IEX982" s="337"/>
      <c r="IEY982" s="336"/>
      <c r="IEZ982" s="337"/>
      <c r="IFA982" s="336"/>
      <c r="IFB982" s="337"/>
      <c r="IFC982" s="336"/>
      <c r="IFD982" s="337"/>
      <c r="IFE982" s="336"/>
      <c r="IFF982" s="337"/>
      <c r="IFG982" s="336"/>
      <c r="IFH982" s="337"/>
      <c r="IFI982" s="336"/>
      <c r="IFJ982" s="337"/>
      <c r="IFK982" s="336"/>
      <c r="IFL982" s="337"/>
      <c r="IFM982" s="336"/>
      <c r="IFN982" s="337"/>
      <c r="IFO982" s="336"/>
      <c r="IFP982" s="337"/>
      <c r="IFQ982" s="336"/>
      <c r="IFR982" s="337"/>
      <c r="IFS982" s="336"/>
      <c r="IFT982" s="337"/>
      <c r="IFU982" s="336"/>
      <c r="IFV982" s="337"/>
      <c r="IFW982" s="336"/>
      <c r="IFX982" s="337"/>
      <c r="IFY982" s="336"/>
      <c r="IFZ982" s="337"/>
      <c r="IGA982" s="336"/>
      <c r="IGB982" s="337"/>
      <c r="IGC982" s="336"/>
      <c r="IGD982" s="337"/>
      <c r="IGE982" s="336"/>
      <c r="IGF982" s="337"/>
      <c r="IGG982" s="336"/>
      <c r="IGH982" s="337"/>
      <c r="IGI982" s="336"/>
      <c r="IGJ982" s="337"/>
      <c r="IGK982" s="336"/>
      <c r="IGL982" s="337"/>
      <c r="IGM982" s="336"/>
      <c r="IGN982" s="337"/>
      <c r="IGO982" s="336"/>
      <c r="IGP982" s="337"/>
      <c r="IGQ982" s="336"/>
      <c r="IGR982" s="337"/>
      <c r="IGS982" s="336"/>
      <c r="IGT982" s="337"/>
      <c r="IGU982" s="336"/>
      <c r="IGV982" s="337"/>
      <c r="IGW982" s="336"/>
      <c r="IGX982" s="337"/>
      <c r="IGY982" s="336"/>
      <c r="IGZ982" s="337"/>
      <c r="IHA982" s="336"/>
      <c r="IHB982" s="337"/>
      <c r="IHC982" s="336"/>
      <c r="IHD982" s="337"/>
      <c r="IHE982" s="336"/>
      <c r="IHF982" s="337"/>
      <c r="IHG982" s="336"/>
      <c r="IHH982" s="337"/>
      <c r="IHI982" s="336"/>
      <c r="IHJ982" s="337"/>
      <c r="IHK982" s="336"/>
      <c r="IHL982" s="337"/>
      <c r="IHM982" s="336"/>
      <c r="IHN982" s="337"/>
      <c r="IHO982" s="336"/>
      <c r="IHP982" s="337"/>
      <c r="IHQ982" s="336"/>
      <c r="IHR982" s="337"/>
      <c r="IHS982" s="336"/>
      <c r="IHT982" s="337"/>
      <c r="IHU982" s="336"/>
      <c r="IHV982" s="337"/>
      <c r="IHW982" s="336"/>
      <c r="IHX982" s="337"/>
      <c r="IHY982" s="336"/>
      <c r="IHZ982" s="337"/>
      <c r="IIA982" s="336"/>
      <c r="IIB982" s="337"/>
      <c r="IIC982" s="336"/>
      <c r="IID982" s="337"/>
      <c r="IIE982" s="336"/>
      <c r="IIF982" s="337"/>
      <c r="IIG982" s="336"/>
      <c r="IIH982" s="337"/>
      <c r="III982" s="336"/>
      <c r="IIJ982" s="337"/>
      <c r="IIK982" s="336"/>
      <c r="IIL982" s="337"/>
      <c r="IIM982" s="336"/>
      <c r="IIN982" s="337"/>
      <c r="IIO982" s="336"/>
      <c r="IIP982" s="337"/>
      <c r="IIQ982" s="336"/>
      <c r="IIR982" s="337"/>
      <c r="IIS982" s="336"/>
      <c r="IIT982" s="337"/>
      <c r="IIU982" s="336"/>
      <c r="IIV982" s="337"/>
      <c r="IIW982" s="336"/>
      <c r="IIX982" s="337"/>
      <c r="IIY982" s="336"/>
      <c r="IIZ982" s="337"/>
      <c r="IJA982" s="336"/>
      <c r="IJB982" s="337"/>
      <c r="IJC982" s="336"/>
      <c r="IJD982" s="337"/>
      <c r="IJE982" s="336"/>
      <c r="IJF982" s="337"/>
      <c r="IJG982" s="336"/>
      <c r="IJH982" s="337"/>
      <c r="IJI982" s="336"/>
      <c r="IJJ982" s="337"/>
      <c r="IJK982" s="336"/>
      <c r="IJL982" s="337"/>
      <c r="IJM982" s="336"/>
      <c r="IJN982" s="337"/>
      <c r="IJO982" s="336"/>
      <c r="IJP982" s="337"/>
      <c r="IJQ982" s="336"/>
      <c r="IJR982" s="337"/>
      <c r="IJS982" s="336"/>
      <c r="IJT982" s="337"/>
      <c r="IJU982" s="336"/>
      <c r="IJV982" s="337"/>
      <c r="IJW982" s="336"/>
      <c r="IJX982" s="337"/>
      <c r="IJY982" s="336"/>
      <c r="IJZ982" s="337"/>
      <c r="IKA982" s="336"/>
      <c r="IKB982" s="337"/>
      <c r="IKC982" s="336"/>
      <c r="IKD982" s="337"/>
      <c r="IKE982" s="336"/>
      <c r="IKF982" s="337"/>
      <c r="IKG982" s="336"/>
      <c r="IKH982" s="337"/>
      <c r="IKI982" s="336"/>
      <c r="IKJ982" s="337"/>
      <c r="IKK982" s="336"/>
      <c r="IKL982" s="337"/>
      <c r="IKM982" s="336"/>
      <c r="IKN982" s="337"/>
      <c r="IKO982" s="336"/>
      <c r="IKP982" s="337"/>
      <c r="IKQ982" s="336"/>
      <c r="IKR982" s="337"/>
      <c r="IKS982" s="336"/>
      <c r="IKT982" s="337"/>
      <c r="IKU982" s="336"/>
      <c r="IKV982" s="337"/>
      <c r="IKW982" s="336"/>
      <c r="IKX982" s="337"/>
      <c r="IKY982" s="336"/>
      <c r="IKZ982" s="337"/>
      <c r="ILA982" s="336"/>
      <c r="ILB982" s="337"/>
      <c r="ILC982" s="336"/>
      <c r="ILD982" s="337"/>
      <c r="ILE982" s="336"/>
      <c r="ILF982" s="337"/>
      <c r="ILG982" s="336"/>
      <c r="ILH982" s="337"/>
      <c r="ILI982" s="336"/>
      <c r="ILJ982" s="337"/>
      <c r="ILK982" s="336"/>
      <c r="ILL982" s="337"/>
      <c r="ILM982" s="336"/>
      <c r="ILN982" s="337"/>
      <c r="ILO982" s="336"/>
      <c r="ILP982" s="337"/>
      <c r="ILQ982" s="336"/>
      <c r="ILR982" s="337"/>
      <c r="ILS982" s="336"/>
      <c r="ILT982" s="337"/>
      <c r="ILU982" s="336"/>
      <c r="ILV982" s="337"/>
      <c r="ILW982" s="336"/>
      <c r="ILX982" s="337"/>
      <c r="ILY982" s="336"/>
      <c r="ILZ982" s="337"/>
      <c r="IMA982" s="336"/>
      <c r="IMB982" s="337"/>
      <c r="IMC982" s="336"/>
      <c r="IMD982" s="337"/>
      <c r="IME982" s="336"/>
      <c r="IMF982" s="337"/>
      <c r="IMG982" s="336"/>
      <c r="IMH982" s="337"/>
      <c r="IMI982" s="336"/>
      <c r="IMJ982" s="337"/>
      <c r="IMK982" s="336"/>
      <c r="IML982" s="337"/>
      <c r="IMM982" s="336"/>
      <c r="IMN982" s="337"/>
      <c r="IMO982" s="336"/>
      <c r="IMP982" s="337"/>
      <c r="IMQ982" s="336"/>
      <c r="IMR982" s="337"/>
      <c r="IMS982" s="336"/>
      <c r="IMT982" s="337"/>
      <c r="IMU982" s="336"/>
      <c r="IMV982" s="337"/>
      <c r="IMW982" s="336"/>
      <c r="IMX982" s="337"/>
      <c r="IMY982" s="336"/>
      <c r="IMZ982" s="337"/>
      <c r="INA982" s="336"/>
      <c r="INB982" s="337"/>
      <c r="INC982" s="336"/>
      <c r="IND982" s="337"/>
      <c r="INE982" s="336"/>
      <c r="INF982" s="337"/>
      <c r="ING982" s="336"/>
      <c r="INH982" s="337"/>
      <c r="INI982" s="336"/>
      <c r="INJ982" s="337"/>
      <c r="INK982" s="336"/>
      <c r="INL982" s="337"/>
      <c r="INM982" s="336"/>
      <c r="INN982" s="337"/>
      <c r="INO982" s="336"/>
      <c r="INP982" s="337"/>
      <c r="INQ982" s="336"/>
      <c r="INR982" s="337"/>
      <c r="INS982" s="336"/>
      <c r="INT982" s="337"/>
      <c r="INU982" s="336"/>
      <c r="INV982" s="337"/>
      <c r="INW982" s="336"/>
      <c r="INX982" s="337"/>
      <c r="INY982" s="336"/>
      <c r="INZ982" s="337"/>
      <c r="IOA982" s="336"/>
      <c r="IOB982" s="337"/>
      <c r="IOC982" s="336"/>
      <c r="IOD982" s="337"/>
      <c r="IOE982" s="336"/>
      <c r="IOF982" s="337"/>
      <c r="IOG982" s="336"/>
      <c r="IOH982" s="337"/>
      <c r="IOI982" s="336"/>
      <c r="IOJ982" s="337"/>
      <c r="IOK982" s="336"/>
      <c r="IOL982" s="337"/>
      <c r="IOM982" s="336"/>
      <c r="ION982" s="337"/>
      <c r="IOO982" s="336"/>
      <c r="IOP982" s="337"/>
      <c r="IOQ982" s="336"/>
      <c r="IOR982" s="337"/>
      <c r="IOS982" s="336"/>
      <c r="IOT982" s="337"/>
      <c r="IOU982" s="336"/>
      <c r="IOV982" s="337"/>
      <c r="IOW982" s="336"/>
      <c r="IOX982" s="337"/>
      <c r="IOY982" s="336"/>
      <c r="IOZ982" s="337"/>
      <c r="IPA982" s="336"/>
      <c r="IPB982" s="337"/>
      <c r="IPC982" s="336"/>
      <c r="IPD982" s="337"/>
      <c r="IPE982" s="336"/>
      <c r="IPF982" s="337"/>
      <c r="IPG982" s="336"/>
      <c r="IPH982" s="337"/>
      <c r="IPI982" s="336"/>
      <c r="IPJ982" s="337"/>
      <c r="IPK982" s="336"/>
      <c r="IPL982" s="337"/>
      <c r="IPM982" s="336"/>
      <c r="IPN982" s="337"/>
      <c r="IPO982" s="336"/>
      <c r="IPP982" s="337"/>
      <c r="IPQ982" s="336"/>
      <c r="IPR982" s="337"/>
      <c r="IPS982" s="336"/>
      <c r="IPT982" s="337"/>
      <c r="IPU982" s="336"/>
      <c r="IPV982" s="337"/>
      <c r="IPW982" s="336"/>
      <c r="IPX982" s="337"/>
      <c r="IPY982" s="336"/>
      <c r="IPZ982" s="337"/>
      <c r="IQA982" s="336"/>
      <c r="IQB982" s="337"/>
      <c r="IQC982" s="336"/>
      <c r="IQD982" s="337"/>
      <c r="IQE982" s="336"/>
      <c r="IQF982" s="337"/>
      <c r="IQG982" s="336"/>
      <c r="IQH982" s="337"/>
      <c r="IQI982" s="336"/>
      <c r="IQJ982" s="337"/>
      <c r="IQK982" s="336"/>
      <c r="IQL982" s="337"/>
      <c r="IQM982" s="336"/>
      <c r="IQN982" s="337"/>
      <c r="IQO982" s="336"/>
      <c r="IQP982" s="337"/>
      <c r="IQQ982" s="336"/>
      <c r="IQR982" s="337"/>
      <c r="IQS982" s="336"/>
      <c r="IQT982" s="337"/>
      <c r="IQU982" s="336"/>
      <c r="IQV982" s="337"/>
      <c r="IQW982" s="336"/>
      <c r="IQX982" s="337"/>
      <c r="IQY982" s="336"/>
      <c r="IQZ982" s="337"/>
      <c r="IRA982" s="336"/>
      <c r="IRB982" s="337"/>
      <c r="IRC982" s="336"/>
      <c r="IRD982" s="337"/>
      <c r="IRE982" s="336"/>
      <c r="IRF982" s="337"/>
      <c r="IRG982" s="336"/>
      <c r="IRH982" s="337"/>
      <c r="IRI982" s="336"/>
      <c r="IRJ982" s="337"/>
      <c r="IRK982" s="336"/>
      <c r="IRL982" s="337"/>
      <c r="IRM982" s="336"/>
      <c r="IRN982" s="337"/>
      <c r="IRO982" s="336"/>
      <c r="IRP982" s="337"/>
      <c r="IRQ982" s="336"/>
      <c r="IRR982" s="337"/>
      <c r="IRS982" s="336"/>
      <c r="IRT982" s="337"/>
      <c r="IRU982" s="336"/>
      <c r="IRV982" s="337"/>
      <c r="IRW982" s="336"/>
      <c r="IRX982" s="337"/>
      <c r="IRY982" s="336"/>
      <c r="IRZ982" s="337"/>
      <c r="ISA982" s="336"/>
      <c r="ISB982" s="337"/>
      <c r="ISC982" s="336"/>
      <c r="ISD982" s="337"/>
      <c r="ISE982" s="336"/>
      <c r="ISF982" s="337"/>
      <c r="ISG982" s="336"/>
      <c r="ISH982" s="337"/>
      <c r="ISI982" s="336"/>
      <c r="ISJ982" s="337"/>
      <c r="ISK982" s="336"/>
      <c r="ISL982" s="337"/>
      <c r="ISM982" s="336"/>
      <c r="ISN982" s="337"/>
      <c r="ISO982" s="336"/>
      <c r="ISP982" s="337"/>
      <c r="ISQ982" s="336"/>
      <c r="ISR982" s="337"/>
      <c r="ISS982" s="336"/>
      <c r="IST982" s="337"/>
      <c r="ISU982" s="336"/>
      <c r="ISV982" s="337"/>
      <c r="ISW982" s="336"/>
      <c r="ISX982" s="337"/>
      <c r="ISY982" s="336"/>
      <c r="ISZ982" s="337"/>
      <c r="ITA982" s="336"/>
      <c r="ITB982" s="337"/>
      <c r="ITC982" s="336"/>
      <c r="ITD982" s="337"/>
      <c r="ITE982" s="336"/>
      <c r="ITF982" s="337"/>
      <c r="ITG982" s="336"/>
      <c r="ITH982" s="337"/>
      <c r="ITI982" s="336"/>
      <c r="ITJ982" s="337"/>
      <c r="ITK982" s="336"/>
      <c r="ITL982" s="337"/>
      <c r="ITM982" s="336"/>
      <c r="ITN982" s="337"/>
      <c r="ITO982" s="336"/>
      <c r="ITP982" s="337"/>
      <c r="ITQ982" s="336"/>
      <c r="ITR982" s="337"/>
      <c r="ITS982" s="336"/>
      <c r="ITT982" s="337"/>
      <c r="ITU982" s="336"/>
      <c r="ITV982" s="337"/>
      <c r="ITW982" s="336"/>
      <c r="ITX982" s="337"/>
      <c r="ITY982" s="336"/>
      <c r="ITZ982" s="337"/>
      <c r="IUA982" s="336"/>
      <c r="IUB982" s="337"/>
      <c r="IUC982" s="336"/>
      <c r="IUD982" s="337"/>
      <c r="IUE982" s="336"/>
      <c r="IUF982" s="337"/>
      <c r="IUG982" s="336"/>
      <c r="IUH982" s="337"/>
      <c r="IUI982" s="336"/>
      <c r="IUJ982" s="337"/>
      <c r="IUK982" s="336"/>
      <c r="IUL982" s="337"/>
      <c r="IUM982" s="336"/>
      <c r="IUN982" s="337"/>
      <c r="IUO982" s="336"/>
      <c r="IUP982" s="337"/>
      <c r="IUQ982" s="336"/>
      <c r="IUR982" s="337"/>
      <c r="IUS982" s="336"/>
      <c r="IUT982" s="337"/>
      <c r="IUU982" s="336"/>
      <c r="IUV982" s="337"/>
      <c r="IUW982" s="336"/>
      <c r="IUX982" s="337"/>
      <c r="IUY982" s="336"/>
      <c r="IUZ982" s="337"/>
      <c r="IVA982" s="336"/>
      <c r="IVB982" s="337"/>
      <c r="IVC982" s="336"/>
      <c r="IVD982" s="337"/>
      <c r="IVE982" s="336"/>
      <c r="IVF982" s="337"/>
      <c r="IVG982" s="336"/>
      <c r="IVH982" s="337"/>
      <c r="IVI982" s="336"/>
      <c r="IVJ982" s="337"/>
      <c r="IVK982" s="336"/>
      <c r="IVL982" s="337"/>
      <c r="IVM982" s="336"/>
      <c r="IVN982" s="337"/>
      <c r="IVO982" s="336"/>
      <c r="IVP982" s="337"/>
      <c r="IVQ982" s="336"/>
      <c r="IVR982" s="337"/>
      <c r="IVS982" s="336"/>
      <c r="IVT982" s="337"/>
      <c r="IVU982" s="336"/>
      <c r="IVV982" s="337"/>
      <c r="IVW982" s="336"/>
      <c r="IVX982" s="337"/>
      <c r="IVY982" s="336"/>
      <c r="IVZ982" s="337"/>
      <c r="IWA982" s="336"/>
      <c r="IWB982" s="337"/>
      <c r="IWC982" s="336"/>
      <c r="IWD982" s="337"/>
      <c r="IWE982" s="336"/>
      <c r="IWF982" s="337"/>
      <c r="IWG982" s="336"/>
      <c r="IWH982" s="337"/>
      <c r="IWI982" s="336"/>
      <c r="IWJ982" s="337"/>
      <c r="IWK982" s="336"/>
      <c r="IWL982" s="337"/>
      <c r="IWM982" s="336"/>
      <c r="IWN982" s="337"/>
      <c r="IWO982" s="336"/>
      <c r="IWP982" s="337"/>
      <c r="IWQ982" s="336"/>
      <c r="IWR982" s="337"/>
      <c r="IWS982" s="336"/>
      <c r="IWT982" s="337"/>
      <c r="IWU982" s="336"/>
      <c r="IWV982" s="337"/>
      <c r="IWW982" s="336"/>
      <c r="IWX982" s="337"/>
      <c r="IWY982" s="336"/>
      <c r="IWZ982" s="337"/>
      <c r="IXA982" s="336"/>
      <c r="IXB982" s="337"/>
      <c r="IXC982" s="336"/>
      <c r="IXD982" s="337"/>
      <c r="IXE982" s="336"/>
      <c r="IXF982" s="337"/>
      <c r="IXG982" s="336"/>
      <c r="IXH982" s="337"/>
      <c r="IXI982" s="336"/>
      <c r="IXJ982" s="337"/>
      <c r="IXK982" s="336"/>
      <c r="IXL982" s="337"/>
      <c r="IXM982" s="336"/>
      <c r="IXN982" s="337"/>
      <c r="IXO982" s="336"/>
      <c r="IXP982" s="337"/>
      <c r="IXQ982" s="336"/>
      <c r="IXR982" s="337"/>
      <c r="IXS982" s="336"/>
      <c r="IXT982" s="337"/>
      <c r="IXU982" s="336"/>
      <c r="IXV982" s="337"/>
      <c r="IXW982" s="336"/>
      <c r="IXX982" s="337"/>
      <c r="IXY982" s="336"/>
      <c r="IXZ982" s="337"/>
      <c r="IYA982" s="336"/>
      <c r="IYB982" s="337"/>
      <c r="IYC982" s="336"/>
      <c r="IYD982" s="337"/>
      <c r="IYE982" s="336"/>
      <c r="IYF982" s="337"/>
      <c r="IYG982" s="336"/>
      <c r="IYH982" s="337"/>
      <c r="IYI982" s="336"/>
      <c r="IYJ982" s="337"/>
      <c r="IYK982" s="336"/>
      <c r="IYL982" s="337"/>
      <c r="IYM982" s="336"/>
      <c r="IYN982" s="337"/>
      <c r="IYO982" s="336"/>
      <c r="IYP982" s="337"/>
      <c r="IYQ982" s="336"/>
      <c r="IYR982" s="337"/>
      <c r="IYS982" s="336"/>
      <c r="IYT982" s="337"/>
      <c r="IYU982" s="336"/>
      <c r="IYV982" s="337"/>
      <c r="IYW982" s="336"/>
      <c r="IYX982" s="337"/>
      <c r="IYY982" s="336"/>
      <c r="IYZ982" s="337"/>
      <c r="IZA982" s="336"/>
      <c r="IZB982" s="337"/>
      <c r="IZC982" s="336"/>
      <c r="IZD982" s="337"/>
      <c r="IZE982" s="336"/>
      <c r="IZF982" s="337"/>
      <c r="IZG982" s="336"/>
      <c r="IZH982" s="337"/>
      <c r="IZI982" s="336"/>
      <c r="IZJ982" s="337"/>
      <c r="IZK982" s="336"/>
      <c r="IZL982" s="337"/>
      <c r="IZM982" s="336"/>
      <c r="IZN982" s="337"/>
      <c r="IZO982" s="336"/>
      <c r="IZP982" s="337"/>
      <c r="IZQ982" s="336"/>
      <c r="IZR982" s="337"/>
      <c r="IZS982" s="336"/>
      <c r="IZT982" s="337"/>
      <c r="IZU982" s="336"/>
      <c r="IZV982" s="337"/>
      <c r="IZW982" s="336"/>
      <c r="IZX982" s="337"/>
      <c r="IZY982" s="336"/>
      <c r="IZZ982" s="337"/>
      <c r="JAA982" s="336"/>
      <c r="JAB982" s="337"/>
      <c r="JAC982" s="336"/>
      <c r="JAD982" s="337"/>
      <c r="JAE982" s="336"/>
      <c r="JAF982" s="337"/>
      <c r="JAG982" s="336"/>
      <c r="JAH982" s="337"/>
      <c r="JAI982" s="336"/>
      <c r="JAJ982" s="337"/>
      <c r="JAK982" s="336"/>
      <c r="JAL982" s="337"/>
      <c r="JAM982" s="336"/>
      <c r="JAN982" s="337"/>
      <c r="JAO982" s="336"/>
      <c r="JAP982" s="337"/>
      <c r="JAQ982" s="336"/>
      <c r="JAR982" s="337"/>
      <c r="JAS982" s="336"/>
      <c r="JAT982" s="337"/>
      <c r="JAU982" s="336"/>
      <c r="JAV982" s="337"/>
      <c r="JAW982" s="336"/>
      <c r="JAX982" s="337"/>
      <c r="JAY982" s="336"/>
      <c r="JAZ982" s="337"/>
      <c r="JBA982" s="336"/>
      <c r="JBB982" s="337"/>
      <c r="JBC982" s="336"/>
      <c r="JBD982" s="337"/>
      <c r="JBE982" s="336"/>
      <c r="JBF982" s="337"/>
      <c r="JBG982" s="336"/>
      <c r="JBH982" s="337"/>
      <c r="JBI982" s="336"/>
      <c r="JBJ982" s="337"/>
      <c r="JBK982" s="336"/>
      <c r="JBL982" s="337"/>
      <c r="JBM982" s="336"/>
      <c r="JBN982" s="337"/>
      <c r="JBO982" s="336"/>
      <c r="JBP982" s="337"/>
      <c r="JBQ982" s="336"/>
      <c r="JBR982" s="337"/>
      <c r="JBS982" s="336"/>
      <c r="JBT982" s="337"/>
      <c r="JBU982" s="336"/>
      <c r="JBV982" s="337"/>
      <c r="JBW982" s="336"/>
      <c r="JBX982" s="337"/>
      <c r="JBY982" s="336"/>
      <c r="JBZ982" s="337"/>
      <c r="JCA982" s="336"/>
      <c r="JCB982" s="337"/>
      <c r="JCC982" s="336"/>
      <c r="JCD982" s="337"/>
      <c r="JCE982" s="336"/>
      <c r="JCF982" s="337"/>
      <c r="JCG982" s="336"/>
      <c r="JCH982" s="337"/>
      <c r="JCI982" s="336"/>
      <c r="JCJ982" s="337"/>
      <c r="JCK982" s="336"/>
      <c r="JCL982" s="337"/>
      <c r="JCM982" s="336"/>
      <c r="JCN982" s="337"/>
      <c r="JCO982" s="336"/>
      <c r="JCP982" s="337"/>
      <c r="JCQ982" s="336"/>
      <c r="JCR982" s="337"/>
      <c r="JCS982" s="336"/>
      <c r="JCT982" s="337"/>
      <c r="JCU982" s="336"/>
      <c r="JCV982" s="337"/>
      <c r="JCW982" s="336"/>
      <c r="JCX982" s="337"/>
      <c r="JCY982" s="336"/>
      <c r="JCZ982" s="337"/>
      <c r="JDA982" s="336"/>
      <c r="JDB982" s="337"/>
      <c r="JDC982" s="336"/>
      <c r="JDD982" s="337"/>
      <c r="JDE982" s="336"/>
      <c r="JDF982" s="337"/>
      <c r="JDG982" s="336"/>
      <c r="JDH982" s="337"/>
      <c r="JDI982" s="336"/>
      <c r="JDJ982" s="337"/>
      <c r="JDK982" s="336"/>
      <c r="JDL982" s="337"/>
      <c r="JDM982" s="336"/>
      <c r="JDN982" s="337"/>
      <c r="JDO982" s="336"/>
      <c r="JDP982" s="337"/>
      <c r="JDQ982" s="336"/>
      <c r="JDR982" s="337"/>
      <c r="JDS982" s="336"/>
      <c r="JDT982" s="337"/>
      <c r="JDU982" s="336"/>
      <c r="JDV982" s="337"/>
      <c r="JDW982" s="336"/>
      <c r="JDX982" s="337"/>
      <c r="JDY982" s="336"/>
      <c r="JDZ982" s="337"/>
      <c r="JEA982" s="336"/>
      <c r="JEB982" s="337"/>
      <c r="JEC982" s="336"/>
      <c r="JED982" s="337"/>
      <c r="JEE982" s="336"/>
      <c r="JEF982" s="337"/>
      <c r="JEG982" s="336"/>
      <c r="JEH982" s="337"/>
      <c r="JEI982" s="336"/>
      <c r="JEJ982" s="337"/>
      <c r="JEK982" s="336"/>
      <c r="JEL982" s="337"/>
      <c r="JEM982" s="336"/>
      <c r="JEN982" s="337"/>
      <c r="JEO982" s="336"/>
      <c r="JEP982" s="337"/>
      <c r="JEQ982" s="336"/>
      <c r="JER982" s="337"/>
      <c r="JES982" s="336"/>
      <c r="JET982" s="337"/>
      <c r="JEU982" s="336"/>
      <c r="JEV982" s="337"/>
      <c r="JEW982" s="336"/>
      <c r="JEX982" s="337"/>
      <c r="JEY982" s="336"/>
      <c r="JEZ982" s="337"/>
      <c r="JFA982" s="336"/>
      <c r="JFB982" s="337"/>
      <c r="JFC982" s="336"/>
      <c r="JFD982" s="337"/>
      <c r="JFE982" s="336"/>
      <c r="JFF982" s="337"/>
      <c r="JFG982" s="336"/>
      <c r="JFH982" s="337"/>
      <c r="JFI982" s="336"/>
      <c r="JFJ982" s="337"/>
      <c r="JFK982" s="336"/>
      <c r="JFL982" s="337"/>
      <c r="JFM982" s="336"/>
      <c r="JFN982" s="337"/>
      <c r="JFO982" s="336"/>
      <c r="JFP982" s="337"/>
      <c r="JFQ982" s="336"/>
      <c r="JFR982" s="337"/>
      <c r="JFS982" s="336"/>
      <c r="JFT982" s="337"/>
      <c r="JFU982" s="336"/>
      <c r="JFV982" s="337"/>
      <c r="JFW982" s="336"/>
      <c r="JFX982" s="337"/>
      <c r="JFY982" s="336"/>
      <c r="JFZ982" s="337"/>
      <c r="JGA982" s="336"/>
      <c r="JGB982" s="337"/>
      <c r="JGC982" s="336"/>
      <c r="JGD982" s="337"/>
      <c r="JGE982" s="336"/>
      <c r="JGF982" s="337"/>
      <c r="JGG982" s="336"/>
      <c r="JGH982" s="337"/>
      <c r="JGI982" s="336"/>
      <c r="JGJ982" s="337"/>
      <c r="JGK982" s="336"/>
      <c r="JGL982" s="337"/>
      <c r="JGM982" s="336"/>
      <c r="JGN982" s="337"/>
      <c r="JGO982" s="336"/>
      <c r="JGP982" s="337"/>
      <c r="JGQ982" s="336"/>
      <c r="JGR982" s="337"/>
      <c r="JGS982" s="336"/>
      <c r="JGT982" s="337"/>
      <c r="JGU982" s="336"/>
      <c r="JGV982" s="337"/>
      <c r="JGW982" s="336"/>
      <c r="JGX982" s="337"/>
      <c r="JGY982" s="336"/>
      <c r="JGZ982" s="337"/>
      <c r="JHA982" s="336"/>
      <c r="JHB982" s="337"/>
      <c r="JHC982" s="336"/>
      <c r="JHD982" s="337"/>
      <c r="JHE982" s="336"/>
      <c r="JHF982" s="337"/>
      <c r="JHG982" s="336"/>
      <c r="JHH982" s="337"/>
      <c r="JHI982" s="336"/>
      <c r="JHJ982" s="337"/>
      <c r="JHK982" s="336"/>
      <c r="JHL982" s="337"/>
      <c r="JHM982" s="336"/>
      <c r="JHN982" s="337"/>
      <c r="JHO982" s="336"/>
      <c r="JHP982" s="337"/>
      <c r="JHQ982" s="336"/>
      <c r="JHR982" s="337"/>
      <c r="JHS982" s="336"/>
      <c r="JHT982" s="337"/>
      <c r="JHU982" s="336"/>
      <c r="JHV982" s="337"/>
      <c r="JHW982" s="336"/>
      <c r="JHX982" s="337"/>
      <c r="JHY982" s="336"/>
      <c r="JHZ982" s="337"/>
      <c r="JIA982" s="336"/>
      <c r="JIB982" s="337"/>
      <c r="JIC982" s="336"/>
      <c r="JID982" s="337"/>
      <c r="JIE982" s="336"/>
      <c r="JIF982" s="337"/>
      <c r="JIG982" s="336"/>
      <c r="JIH982" s="337"/>
      <c r="JII982" s="336"/>
      <c r="JIJ982" s="337"/>
      <c r="JIK982" s="336"/>
      <c r="JIL982" s="337"/>
      <c r="JIM982" s="336"/>
      <c r="JIN982" s="337"/>
      <c r="JIO982" s="336"/>
      <c r="JIP982" s="337"/>
      <c r="JIQ982" s="336"/>
      <c r="JIR982" s="337"/>
      <c r="JIS982" s="336"/>
      <c r="JIT982" s="337"/>
      <c r="JIU982" s="336"/>
      <c r="JIV982" s="337"/>
      <c r="JIW982" s="336"/>
      <c r="JIX982" s="337"/>
      <c r="JIY982" s="336"/>
      <c r="JIZ982" s="337"/>
      <c r="JJA982" s="336"/>
      <c r="JJB982" s="337"/>
      <c r="JJC982" s="336"/>
      <c r="JJD982" s="337"/>
      <c r="JJE982" s="336"/>
      <c r="JJF982" s="337"/>
      <c r="JJG982" s="336"/>
      <c r="JJH982" s="337"/>
      <c r="JJI982" s="336"/>
      <c r="JJJ982" s="337"/>
      <c r="JJK982" s="336"/>
      <c r="JJL982" s="337"/>
      <c r="JJM982" s="336"/>
      <c r="JJN982" s="337"/>
      <c r="JJO982" s="336"/>
      <c r="JJP982" s="337"/>
      <c r="JJQ982" s="336"/>
      <c r="JJR982" s="337"/>
      <c r="JJS982" s="336"/>
      <c r="JJT982" s="337"/>
      <c r="JJU982" s="336"/>
      <c r="JJV982" s="337"/>
      <c r="JJW982" s="336"/>
      <c r="JJX982" s="337"/>
      <c r="JJY982" s="336"/>
      <c r="JJZ982" s="337"/>
      <c r="JKA982" s="336"/>
      <c r="JKB982" s="337"/>
      <c r="JKC982" s="336"/>
      <c r="JKD982" s="337"/>
      <c r="JKE982" s="336"/>
      <c r="JKF982" s="337"/>
      <c r="JKG982" s="336"/>
      <c r="JKH982" s="337"/>
      <c r="JKI982" s="336"/>
      <c r="JKJ982" s="337"/>
      <c r="JKK982" s="336"/>
      <c r="JKL982" s="337"/>
      <c r="JKM982" s="336"/>
      <c r="JKN982" s="337"/>
      <c r="JKO982" s="336"/>
      <c r="JKP982" s="337"/>
      <c r="JKQ982" s="336"/>
      <c r="JKR982" s="337"/>
      <c r="JKS982" s="336"/>
      <c r="JKT982" s="337"/>
      <c r="JKU982" s="336"/>
      <c r="JKV982" s="337"/>
      <c r="JKW982" s="336"/>
      <c r="JKX982" s="337"/>
      <c r="JKY982" s="336"/>
      <c r="JKZ982" s="337"/>
      <c r="JLA982" s="336"/>
      <c r="JLB982" s="337"/>
      <c r="JLC982" s="336"/>
      <c r="JLD982" s="337"/>
      <c r="JLE982" s="336"/>
      <c r="JLF982" s="337"/>
      <c r="JLG982" s="336"/>
      <c r="JLH982" s="337"/>
      <c r="JLI982" s="336"/>
      <c r="JLJ982" s="337"/>
      <c r="JLK982" s="336"/>
      <c r="JLL982" s="337"/>
      <c r="JLM982" s="336"/>
      <c r="JLN982" s="337"/>
      <c r="JLO982" s="336"/>
      <c r="JLP982" s="337"/>
      <c r="JLQ982" s="336"/>
      <c r="JLR982" s="337"/>
      <c r="JLS982" s="336"/>
      <c r="JLT982" s="337"/>
      <c r="JLU982" s="336"/>
      <c r="JLV982" s="337"/>
      <c r="JLW982" s="336"/>
      <c r="JLX982" s="337"/>
      <c r="JLY982" s="336"/>
      <c r="JLZ982" s="337"/>
      <c r="JMA982" s="336"/>
      <c r="JMB982" s="337"/>
      <c r="JMC982" s="336"/>
      <c r="JMD982" s="337"/>
      <c r="JME982" s="336"/>
      <c r="JMF982" s="337"/>
      <c r="JMG982" s="336"/>
      <c r="JMH982" s="337"/>
      <c r="JMI982" s="336"/>
      <c r="JMJ982" s="337"/>
      <c r="JMK982" s="336"/>
      <c r="JML982" s="337"/>
      <c r="JMM982" s="336"/>
      <c r="JMN982" s="337"/>
      <c r="JMO982" s="336"/>
      <c r="JMP982" s="337"/>
      <c r="JMQ982" s="336"/>
      <c r="JMR982" s="337"/>
      <c r="JMS982" s="336"/>
      <c r="JMT982" s="337"/>
      <c r="JMU982" s="336"/>
      <c r="JMV982" s="337"/>
      <c r="JMW982" s="336"/>
      <c r="JMX982" s="337"/>
      <c r="JMY982" s="336"/>
      <c r="JMZ982" s="337"/>
      <c r="JNA982" s="336"/>
      <c r="JNB982" s="337"/>
      <c r="JNC982" s="336"/>
      <c r="JND982" s="337"/>
      <c r="JNE982" s="336"/>
      <c r="JNF982" s="337"/>
      <c r="JNG982" s="336"/>
      <c r="JNH982" s="337"/>
      <c r="JNI982" s="336"/>
      <c r="JNJ982" s="337"/>
      <c r="JNK982" s="336"/>
      <c r="JNL982" s="337"/>
      <c r="JNM982" s="336"/>
      <c r="JNN982" s="337"/>
      <c r="JNO982" s="336"/>
      <c r="JNP982" s="337"/>
      <c r="JNQ982" s="336"/>
      <c r="JNR982" s="337"/>
      <c r="JNS982" s="336"/>
      <c r="JNT982" s="337"/>
      <c r="JNU982" s="336"/>
      <c r="JNV982" s="337"/>
      <c r="JNW982" s="336"/>
      <c r="JNX982" s="337"/>
      <c r="JNY982" s="336"/>
      <c r="JNZ982" s="337"/>
      <c r="JOA982" s="336"/>
      <c r="JOB982" s="337"/>
      <c r="JOC982" s="336"/>
      <c r="JOD982" s="337"/>
      <c r="JOE982" s="336"/>
      <c r="JOF982" s="337"/>
      <c r="JOG982" s="336"/>
      <c r="JOH982" s="337"/>
      <c r="JOI982" s="336"/>
      <c r="JOJ982" s="337"/>
      <c r="JOK982" s="336"/>
      <c r="JOL982" s="337"/>
      <c r="JOM982" s="336"/>
      <c r="JON982" s="337"/>
      <c r="JOO982" s="336"/>
      <c r="JOP982" s="337"/>
      <c r="JOQ982" s="336"/>
      <c r="JOR982" s="337"/>
      <c r="JOS982" s="336"/>
      <c r="JOT982" s="337"/>
      <c r="JOU982" s="336"/>
      <c r="JOV982" s="337"/>
      <c r="JOW982" s="336"/>
      <c r="JOX982" s="337"/>
      <c r="JOY982" s="336"/>
      <c r="JOZ982" s="337"/>
      <c r="JPA982" s="336"/>
      <c r="JPB982" s="337"/>
      <c r="JPC982" s="336"/>
      <c r="JPD982" s="337"/>
      <c r="JPE982" s="336"/>
      <c r="JPF982" s="337"/>
      <c r="JPG982" s="336"/>
      <c r="JPH982" s="337"/>
      <c r="JPI982" s="336"/>
      <c r="JPJ982" s="337"/>
      <c r="JPK982" s="336"/>
      <c r="JPL982" s="337"/>
      <c r="JPM982" s="336"/>
      <c r="JPN982" s="337"/>
      <c r="JPO982" s="336"/>
      <c r="JPP982" s="337"/>
      <c r="JPQ982" s="336"/>
      <c r="JPR982" s="337"/>
      <c r="JPS982" s="336"/>
      <c r="JPT982" s="337"/>
      <c r="JPU982" s="336"/>
      <c r="JPV982" s="337"/>
      <c r="JPW982" s="336"/>
      <c r="JPX982" s="337"/>
      <c r="JPY982" s="336"/>
      <c r="JPZ982" s="337"/>
      <c r="JQA982" s="336"/>
      <c r="JQB982" s="337"/>
      <c r="JQC982" s="336"/>
      <c r="JQD982" s="337"/>
      <c r="JQE982" s="336"/>
      <c r="JQF982" s="337"/>
      <c r="JQG982" s="336"/>
      <c r="JQH982" s="337"/>
      <c r="JQI982" s="336"/>
      <c r="JQJ982" s="337"/>
      <c r="JQK982" s="336"/>
      <c r="JQL982" s="337"/>
      <c r="JQM982" s="336"/>
      <c r="JQN982" s="337"/>
      <c r="JQO982" s="336"/>
      <c r="JQP982" s="337"/>
      <c r="JQQ982" s="336"/>
      <c r="JQR982" s="337"/>
      <c r="JQS982" s="336"/>
      <c r="JQT982" s="337"/>
      <c r="JQU982" s="336"/>
      <c r="JQV982" s="337"/>
      <c r="JQW982" s="336"/>
      <c r="JQX982" s="337"/>
      <c r="JQY982" s="336"/>
      <c r="JQZ982" s="337"/>
      <c r="JRA982" s="336"/>
      <c r="JRB982" s="337"/>
      <c r="JRC982" s="336"/>
      <c r="JRD982" s="337"/>
      <c r="JRE982" s="336"/>
      <c r="JRF982" s="337"/>
      <c r="JRG982" s="336"/>
      <c r="JRH982" s="337"/>
      <c r="JRI982" s="336"/>
      <c r="JRJ982" s="337"/>
      <c r="JRK982" s="336"/>
      <c r="JRL982" s="337"/>
      <c r="JRM982" s="336"/>
      <c r="JRN982" s="337"/>
      <c r="JRO982" s="336"/>
      <c r="JRP982" s="337"/>
      <c r="JRQ982" s="336"/>
      <c r="JRR982" s="337"/>
      <c r="JRS982" s="336"/>
      <c r="JRT982" s="337"/>
      <c r="JRU982" s="336"/>
      <c r="JRV982" s="337"/>
      <c r="JRW982" s="336"/>
      <c r="JRX982" s="337"/>
      <c r="JRY982" s="336"/>
      <c r="JRZ982" s="337"/>
      <c r="JSA982" s="336"/>
      <c r="JSB982" s="337"/>
      <c r="JSC982" s="336"/>
      <c r="JSD982" s="337"/>
      <c r="JSE982" s="336"/>
      <c r="JSF982" s="337"/>
      <c r="JSG982" s="336"/>
      <c r="JSH982" s="337"/>
      <c r="JSI982" s="336"/>
      <c r="JSJ982" s="337"/>
      <c r="JSK982" s="336"/>
      <c r="JSL982" s="337"/>
      <c r="JSM982" s="336"/>
      <c r="JSN982" s="337"/>
      <c r="JSO982" s="336"/>
      <c r="JSP982" s="337"/>
      <c r="JSQ982" s="336"/>
      <c r="JSR982" s="337"/>
      <c r="JSS982" s="336"/>
      <c r="JST982" s="337"/>
      <c r="JSU982" s="336"/>
      <c r="JSV982" s="337"/>
      <c r="JSW982" s="336"/>
      <c r="JSX982" s="337"/>
      <c r="JSY982" s="336"/>
      <c r="JSZ982" s="337"/>
      <c r="JTA982" s="336"/>
      <c r="JTB982" s="337"/>
      <c r="JTC982" s="336"/>
      <c r="JTD982" s="337"/>
      <c r="JTE982" s="336"/>
      <c r="JTF982" s="337"/>
      <c r="JTG982" s="336"/>
      <c r="JTH982" s="337"/>
      <c r="JTI982" s="336"/>
      <c r="JTJ982" s="337"/>
      <c r="JTK982" s="336"/>
      <c r="JTL982" s="337"/>
      <c r="JTM982" s="336"/>
      <c r="JTN982" s="337"/>
      <c r="JTO982" s="336"/>
      <c r="JTP982" s="337"/>
      <c r="JTQ982" s="336"/>
      <c r="JTR982" s="337"/>
      <c r="JTS982" s="336"/>
      <c r="JTT982" s="337"/>
      <c r="JTU982" s="336"/>
      <c r="JTV982" s="337"/>
      <c r="JTW982" s="336"/>
      <c r="JTX982" s="337"/>
      <c r="JTY982" s="336"/>
      <c r="JTZ982" s="337"/>
      <c r="JUA982" s="336"/>
      <c r="JUB982" s="337"/>
      <c r="JUC982" s="336"/>
      <c r="JUD982" s="337"/>
      <c r="JUE982" s="336"/>
      <c r="JUF982" s="337"/>
      <c r="JUG982" s="336"/>
      <c r="JUH982" s="337"/>
      <c r="JUI982" s="336"/>
      <c r="JUJ982" s="337"/>
      <c r="JUK982" s="336"/>
      <c r="JUL982" s="337"/>
      <c r="JUM982" s="336"/>
      <c r="JUN982" s="337"/>
      <c r="JUO982" s="336"/>
      <c r="JUP982" s="337"/>
      <c r="JUQ982" s="336"/>
      <c r="JUR982" s="337"/>
      <c r="JUS982" s="336"/>
      <c r="JUT982" s="337"/>
      <c r="JUU982" s="336"/>
      <c r="JUV982" s="337"/>
      <c r="JUW982" s="336"/>
      <c r="JUX982" s="337"/>
      <c r="JUY982" s="336"/>
      <c r="JUZ982" s="337"/>
      <c r="JVA982" s="336"/>
      <c r="JVB982" s="337"/>
      <c r="JVC982" s="336"/>
      <c r="JVD982" s="337"/>
      <c r="JVE982" s="336"/>
      <c r="JVF982" s="337"/>
      <c r="JVG982" s="336"/>
      <c r="JVH982" s="337"/>
      <c r="JVI982" s="336"/>
      <c r="JVJ982" s="337"/>
      <c r="JVK982" s="336"/>
      <c r="JVL982" s="337"/>
      <c r="JVM982" s="336"/>
      <c r="JVN982" s="337"/>
      <c r="JVO982" s="336"/>
      <c r="JVP982" s="337"/>
      <c r="JVQ982" s="336"/>
      <c r="JVR982" s="337"/>
      <c r="JVS982" s="336"/>
      <c r="JVT982" s="337"/>
      <c r="JVU982" s="336"/>
      <c r="JVV982" s="337"/>
      <c r="JVW982" s="336"/>
      <c r="JVX982" s="337"/>
      <c r="JVY982" s="336"/>
      <c r="JVZ982" s="337"/>
      <c r="JWA982" s="336"/>
      <c r="JWB982" s="337"/>
      <c r="JWC982" s="336"/>
      <c r="JWD982" s="337"/>
      <c r="JWE982" s="336"/>
      <c r="JWF982" s="337"/>
      <c r="JWG982" s="336"/>
      <c r="JWH982" s="337"/>
      <c r="JWI982" s="336"/>
      <c r="JWJ982" s="337"/>
      <c r="JWK982" s="336"/>
      <c r="JWL982" s="337"/>
      <c r="JWM982" s="336"/>
      <c r="JWN982" s="337"/>
      <c r="JWO982" s="336"/>
      <c r="JWP982" s="337"/>
      <c r="JWQ982" s="336"/>
      <c r="JWR982" s="337"/>
      <c r="JWS982" s="336"/>
      <c r="JWT982" s="337"/>
      <c r="JWU982" s="336"/>
      <c r="JWV982" s="337"/>
      <c r="JWW982" s="336"/>
      <c r="JWX982" s="337"/>
      <c r="JWY982" s="336"/>
      <c r="JWZ982" s="337"/>
      <c r="JXA982" s="336"/>
      <c r="JXB982" s="337"/>
      <c r="JXC982" s="336"/>
      <c r="JXD982" s="337"/>
      <c r="JXE982" s="336"/>
      <c r="JXF982" s="337"/>
      <c r="JXG982" s="336"/>
      <c r="JXH982" s="337"/>
      <c r="JXI982" s="336"/>
      <c r="JXJ982" s="337"/>
      <c r="JXK982" s="336"/>
      <c r="JXL982" s="337"/>
      <c r="JXM982" s="336"/>
      <c r="JXN982" s="337"/>
      <c r="JXO982" s="336"/>
      <c r="JXP982" s="337"/>
      <c r="JXQ982" s="336"/>
      <c r="JXR982" s="337"/>
      <c r="JXS982" s="336"/>
      <c r="JXT982" s="337"/>
      <c r="JXU982" s="336"/>
      <c r="JXV982" s="337"/>
      <c r="JXW982" s="336"/>
      <c r="JXX982" s="337"/>
      <c r="JXY982" s="336"/>
      <c r="JXZ982" s="337"/>
      <c r="JYA982" s="336"/>
      <c r="JYB982" s="337"/>
      <c r="JYC982" s="336"/>
      <c r="JYD982" s="337"/>
      <c r="JYE982" s="336"/>
      <c r="JYF982" s="337"/>
      <c r="JYG982" s="336"/>
      <c r="JYH982" s="337"/>
      <c r="JYI982" s="336"/>
      <c r="JYJ982" s="337"/>
      <c r="JYK982" s="336"/>
      <c r="JYL982" s="337"/>
      <c r="JYM982" s="336"/>
      <c r="JYN982" s="337"/>
      <c r="JYO982" s="336"/>
      <c r="JYP982" s="337"/>
      <c r="JYQ982" s="336"/>
      <c r="JYR982" s="337"/>
      <c r="JYS982" s="336"/>
      <c r="JYT982" s="337"/>
      <c r="JYU982" s="336"/>
      <c r="JYV982" s="337"/>
      <c r="JYW982" s="336"/>
      <c r="JYX982" s="337"/>
      <c r="JYY982" s="336"/>
      <c r="JYZ982" s="337"/>
      <c r="JZA982" s="336"/>
      <c r="JZB982" s="337"/>
      <c r="JZC982" s="336"/>
      <c r="JZD982" s="337"/>
      <c r="JZE982" s="336"/>
      <c r="JZF982" s="337"/>
      <c r="JZG982" s="336"/>
      <c r="JZH982" s="337"/>
      <c r="JZI982" s="336"/>
      <c r="JZJ982" s="337"/>
      <c r="JZK982" s="336"/>
      <c r="JZL982" s="337"/>
      <c r="JZM982" s="336"/>
      <c r="JZN982" s="337"/>
      <c r="JZO982" s="336"/>
      <c r="JZP982" s="337"/>
      <c r="JZQ982" s="336"/>
      <c r="JZR982" s="337"/>
      <c r="JZS982" s="336"/>
      <c r="JZT982" s="337"/>
      <c r="JZU982" s="336"/>
      <c r="JZV982" s="337"/>
      <c r="JZW982" s="336"/>
      <c r="JZX982" s="337"/>
      <c r="JZY982" s="336"/>
      <c r="JZZ982" s="337"/>
      <c r="KAA982" s="336"/>
      <c r="KAB982" s="337"/>
      <c r="KAC982" s="336"/>
      <c r="KAD982" s="337"/>
      <c r="KAE982" s="336"/>
      <c r="KAF982" s="337"/>
      <c r="KAG982" s="336"/>
      <c r="KAH982" s="337"/>
      <c r="KAI982" s="336"/>
      <c r="KAJ982" s="337"/>
      <c r="KAK982" s="336"/>
      <c r="KAL982" s="337"/>
      <c r="KAM982" s="336"/>
      <c r="KAN982" s="337"/>
      <c r="KAO982" s="336"/>
      <c r="KAP982" s="337"/>
      <c r="KAQ982" s="336"/>
      <c r="KAR982" s="337"/>
      <c r="KAS982" s="336"/>
      <c r="KAT982" s="337"/>
      <c r="KAU982" s="336"/>
      <c r="KAV982" s="337"/>
      <c r="KAW982" s="336"/>
      <c r="KAX982" s="337"/>
      <c r="KAY982" s="336"/>
      <c r="KAZ982" s="337"/>
      <c r="KBA982" s="336"/>
      <c r="KBB982" s="337"/>
      <c r="KBC982" s="336"/>
      <c r="KBD982" s="337"/>
      <c r="KBE982" s="336"/>
      <c r="KBF982" s="337"/>
      <c r="KBG982" s="336"/>
      <c r="KBH982" s="337"/>
      <c r="KBI982" s="336"/>
      <c r="KBJ982" s="337"/>
      <c r="KBK982" s="336"/>
      <c r="KBL982" s="337"/>
      <c r="KBM982" s="336"/>
      <c r="KBN982" s="337"/>
      <c r="KBO982" s="336"/>
      <c r="KBP982" s="337"/>
      <c r="KBQ982" s="336"/>
      <c r="KBR982" s="337"/>
      <c r="KBS982" s="336"/>
      <c r="KBT982" s="337"/>
      <c r="KBU982" s="336"/>
      <c r="KBV982" s="337"/>
      <c r="KBW982" s="336"/>
      <c r="KBX982" s="337"/>
      <c r="KBY982" s="336"/>
      <c r="KBZ982" s="337"/>
      <c r="KCA982" s="336"/>
      <c r="KCB982" s="337"/>
      <c r="KCC982" s="336"/>
      <c r="KCD982" s="337"/>
      <c r="KCE982" s="336"/>
      <c r="KCF982" s="337"/>
      <c r="KCG982" s="336"/>
      <c r="KCH982" s="337"/>
      <c r="KCI982" s="336"/>
      <c r="KCJ982" s="337"/>
      <c r="KCK982" s="336"/>
      <c r="KCL982" s="337"/>
      <c r="KCM982" s="336"/>
      <c r="KCN982" s="337"/>
      <c r="KCO982" s="336"/>
      <c r="KCP982" s="337"/>
      <c r="KCQ982" s="336"/>
      <c r="KCR982" s="337"/>
      <c r="KCS982" s="336"/>
      <c r="KCT982" s="337"/>
      <c r="KCU982" s="336"/>
      <c r="KCV982" s="337"/>
      <c r="KCW982" s="336"/>
      <c r="KCX982" s="337"/>
      <c r="KCY982" s="336"/>
      <c r="KCZ982" s="337"/>
      <c r="KDA982" s="336"/>
      <c r="KDB982" s="337"/>
      <c r="KDC982" s="336"/>
      <c r="KDD982" s="337"/>
      <c r="KDE982" s="336"/>
      <c r="KDF982" s="337"/>
      <c r="KDG982" s="336"/>
      <c r="KDH982" s="337"/>
      <c r="KDI982" s="336"/>
      <c r="KDJ982" s="337"/>
      <c r="KDK982" s="336"/>
      <c r="KDL982" s="337"/>
      <c r="KDM982" s="336"/>
      <c r="KDN982" s="337"/>
      <c r="KDO982" s="336"/>
      <c r="KDP982" s="337"/>
      <c r="KDQ982" s="336"/>
      <c r="KDR982" s="337"/>
      <c r="KDS982" s="336"/>
      <c r="KDT982" s="337"/>
      <c r="KDU982" s="336"/>
      <c r="KDV982" s="337"/>
      <c r="KDW982" s="336"/>
      <c r="KDX982" s="337"/>
      <c r="KDY982" s="336"/>
      <c r="KDZ982" s="337"/>
      <c r="KEA982" s="336"/>
      <c r="KEB982" s="337"/>
      <c r="KEC982" s="336"/>
      <c r="KED982" s="337"/>
      <c r="KEE982" s="336"/>
      <c r="KEF982" s="337"/>
      <c r="KEG982" s="336"/>
      <c r="KEH982" s="337"/>
      <c r="KEI982" s="336"/>
      <c r="KEJ982" s="337"/>
      <c r="KEK982" s="336"/>
      <c r="KEL982" s="337"/>
      <c r="KEM982" s="336"/>
      <c r="KEN982" s="337"/>
      <c r="KEO982" s="336"/>
      <c r="KEP982" s="337"/>
      <c r="KEQ982" s="336"/>
      <c r="KER982" s="337"/>
      <c r="KES982" s="336"/>
      <c r="KET982" s="337"/>
      <c r="KEU982" s="336"/>
      <c r="KEV982" s="337"/>
      <c r="KEW982" s="336"/>
      <c r="KEX982" s="337"/>
      <c r="KEY982" s="336"/>
      <c r="KEZ982" s="337"/>
      <c r="KFA982" s="336"/>
      <c r="KFB982" s="337"/>
      <c r="KFC982" s="336"/>
      <c r="KFD982" s="337"/>
      <c r="KFE982" s="336"/>
      <c r="KFF982" s="337"/>
      <c r="KFG982" s="336"/>
      <c r="KFH982" s="337"/>
      <c r="KFI982" s="336"/>
      <c r="KFJ982" s="337"/>
      <c r="KFK982" s="336"/>
      <c r="KFL982" s="337"/>
      <c r="KFM982" s="336"/>
      <c r="KFN982" s="337"/>
      <c r="KFO982" s="336"/>
      <c r="KFP982" s="337"/>
      <c r="KFQ982" s="336"/>
      <c r="KFR982" s="337"/>
      <c r="KFS982" s="336"/>
      <c r="KFT982" s="337"/>
      <c r="KFU982" s="336"/>
      <c r="KFV982" s="337"/>
      <c r="KFW982" s="336"/>
      <c r="KFX982" s="337"/>
      <c r="KFY982" s="336"/>
      <c r="KFZ982" s="337"/>
      <c r="KGA982" s="336"/>
      <c r="KGB982" s="337"/>
      <c r="KGC982" s="336"/>
      <c r="KGD982" s="337"/>
      <c r="KGE982" s="336"/>
      <c r="KGF982" s="337"/>
      <c r="KGG982" s="336"/>
      <c r="KGH982" s="337"/>
      <c r="KGI982" s="336"/>
      <c r="KGJ982" s="337"/>
      <c r="KGK982" s="336"/>
      <c r="KGL982" s="337"/>
      <c r="KGM982" s="336"/>
      <c r="KGN982" s="337"/>
      <c r="KGO982" s="336"/>
      <c r="KGP982" s="337"/>
      <c r="KGQ982" s="336"/>
      <c r="KGR982" s="337"/>
      <c r="KGS982" s="336"/>
      <c r="KGT982" s="337"/>
      <c r="KGU982" s="336"/>
      <c r="KGV982" s="337"/>
      <c r="KGW982" s="336"/>
      <c r="KGX982" s="337"/>
      <c r="KGY982" s="336"/>
      <c r="KGZ982" s="337"/>
      <c r="KHA982" s="336"/>
      <c r="KHB982" s="337"/>
      <c r="KHC982" s="336"/>
      <c r="KHD982" s="337"/>
      <c r="KHE982" s="336"/>
      <c r="KHF982" s="337"/>
      <c r="KHG982" s="336"/>
      <c r="KHH982" s="337"/>
      <c r="KHI982" s="336"/>
      <c r="KHJ982" s="337"/>
      <c r="KHK982" s="336"/>
      <c r="KHL982" s="337"/>
      <c r="KHM982" s="336"/>
      <c r="KHN982" s="337"/>
      <c r="KHO982" s="336"/>
      <c r="KHP982" s="337"/>
      <c r="KHQ982" s="336"/>
      <c r="KHR982" s="337"/>
      <c r="KHS982" s="336"/>
      <c r="KHT982" s="337"/>
      <c r="KHU982" s="336"/>
      <c r="KHV982" s="337"/>
      <c r="KHW982" s="336"/>
      <c r="KHX982" s="337"/>
      <c r="KHY982" s="336"/>
      <c r="KHZ982" s="337"/>
      <c r="KIA982" s="336"/>
      <c r="KIB982" s="337"/>
      <c r="KIC982" s="336"/>
      <c r="KID982" s="337"/>
      <c r="KIE982" s="336"/>
      <c r="KIF982" s="337"/>
      <c r="KIG982" s="336"/>
      <c r="KIH982" s="337"/>
      <c r="KII982" s="336"/>
      <c r="KIJ982" s="337"/>
      <c r="KIK982" s="336"/>
      <c r="KIL982" s="337"/>
      <c r="KIM982" s="336"/>
      <c r="KIN982" s="337"/>
      <c r="KIO982" s="336"/>
      <c r="KIP982" s="337"/>
      <c r="KIQ982" s="336"/>
      <c r="KIR982" s="337"/>
      <c r="KIS982" s="336"/>
      <c r="KIT982" s="337"/>
      <c r="KIU982" s="336"/>
      <c r="KIV982" s="337"/>
      <c r="KIW982" s="336"/>
      <c r="KIX982" s="337"/>
      <c r="KIY982" s="336"/>
      <c r="KIZ982" s="337"/>
      <c r="KJA982" s="336"/>
      <c r="KJB982" s="337"/>
      <c r="KJC982" s="336"/>
      <c r="KJD982" s="337"/>
      <c r="KJE982" s="336"/>
      <c r="KJF982" s="337"/>
      <c r="KJG982" s="336"/>
      <c r="KJH982" s="337"/>
      <c r="KJI982" s="336"/>
      <c r="KJJ982" s="337"/>
      <c r="KJK982" s="336"/>
      <c r="KJL982" s="337"/>
      <c r="KJM982" s="336"/>
      <c r="KJN982" s="337"/>
      <c r="KJO982" s="336"/>
      <c r="KJP982" s="337"/>
      <c r="KJQ982" s="336"/>
      <c r="KJR982" s="337"/>
      <c r="KJS982" s="336"/>
      <c r="KJT982" s="337"/>
      <c r="KJU982" s="336"/>
      <c r="KJV982" s="337"/>
      <c r="KJW982" s="336"/>
      <c r="KJX982" s="337"/>
      <c r="KJY982" s="336"/>
      <c r="KJZ982" s="337"/>
      <c r="KKA982" s="336"/>
      <c r="KKB982" s="337"/>
      <c r="KKC982" s="336"/>
      <c r="KKD982" s="337"/>
      <c r="KKE982" s="336"/>
      <c r="KKF982" s="337"/>
      <c r="KKG982" s="336"/>
      <c r="KKH982" s="337"/>
      <c r="KKI982" s="336"/>
      <c r="KKJ982" s="337"/>
      <c r="KKK982" s="336"/>
      <c r="KKL982" s="337"/>
      <c r="KKM982" s="336"/>
      <c r="KKN982" s="337"/>
      <c r="KKO982" s="336"/>
      <c r="KKP982" s="337"/>
      <c r="KKQ982" s="336"/>
      <c r="KKR982" s="337"/>
      <c r="KKS982" s="336"/>
      <c r="KKT982" s="337"/>
      <c r="KKU982" s="336"/>
      <c r="KKV982" s="337"/>
      <c r="KKW982" s="336"/>
      <c r="KKX982" s="337"/>
      <c r="KKY982" s="336"/>
      <c r="KKZ982" s="337"/>
      <c r="KLA982" s="336"/>
      <c r="KLB982" s="337"/>
      <c r="KLC982" s="336"/>
      <c r="KLD982" s="337"/>
      <c r="KLE982" s="336"/>
      <c r="KLF982" s="337"/>
      <c r="KLG982" s="336"/>
      <c r="KLH982" s="337"/>
      <c r="KLI982" s="336"/>
      <c r="KLJ982" s="337"/>
      <c r="KLK982" s="336"/>
      <c r="KLL982" s="337"/>
      <c r="KLM982" s="336"/>
      <c r="KLN982" s="337"/>
      <c r="KLO982" s="336"/>
      <c r="KLP982" s="337"/>
      <c r="KLQ982" s="336"/>
      <c r="KLR982" s="337"/>
      <c r="KLS982" s="336"/>
      <c r="KLT982" s="337"/>
      <c r="KLU982" s="336"/>
      <c r="KLV982" s="337"/>
      <c r="KLW982" s="336"/>
      <c r="KLX982" s="337"/>
      <c r="KLY982" s="336"/>
      <c r="KLZ982" s="337"/>
      <c r="KMA982" s="336"/>
      <c r="KMB982" s="337"/>
      <c r="KMC982" s="336"/>
      <c r="KMD982" s="337"/>
      <c r="KME982" s="336"/>
      <c r="KMF982" s="337"/>
      <c r="KMG982" s="336"/>
      <c r="KMH982" s="337"/>
      <c r="KMI982" s="336"/>
      <c r="KMJ982" s="337"/>
      <c r="KMK982" s="336"/>
      <c r="KML982" s="337"/>
      <c r="KMM982" s="336"/>
      <c r="KMN982" s="337"/>
      <c r="KMO982" s="336"/>
      <c r="KMP982" s="337"/>
      <c r="KMQ982" s="336"/>
      <c r="KMR982" s="337"/>
      <c r="KMS982" s="336"/>
      <c r="KMT982" s="337"/>
      <c r="KMU982" s="336"/>
      <c r="KMV982" s="337"/>
      <c r="KMW982" s="336"/>
      <c r="KMX982" s="337"/>
      <c r="KMY982" s="336"/>
      <c r="KMZ982" s="337"/>
      <c r="KNA982" s="336"/>
      <c r="KNB982" s="337"/>
      <c r="KNC982" s="336"/>
      <c r="KND982" s="337"/>
      <c r="KNE982" s="336"/>
      <c r="KNF982" s="337"/>
      <c r="KNG982" s="336"/>
      <c r="KNH982" s="337"/>
      <c r="KNI982" s="336"/>
      <c r="KNJ982" s="337"/>
      <c r="KNK982" s="336"/>
      <c r="KNL982" s="337"/>
      <c r="KNM982" s="336"/>
      <c r="KNN982" s="337"/>
      <c r="KNO982" s="336"/>
      <c r="KNP982" s="337"/>
      <c r="KNQ982" s="336"/>
      <c r="KNR982" s="337"/>
      <c r="KNS982" s="336"/>
      <c r="KNT982" s="337"/>
      <c r="KNU982" s="336"/>
      <c r="KNV982" s="337"/>
      <c r="KNW982" s="336"/>
      <c r="KNX982" s="337"/>
      <c r="KNY982" s="336"/>
      <c r="KNZ982" s="337"/>
      <c r="KOA982" s="336"/>
      <c r="KOB982" s="337"/>
      <c r="KOC982" s="336"/>
      <c r="KOD982" s="337"/>
      <c r="KOE982" s="336"/>
      <c r="KOF982" s="337"/>
      <c r="KOG982" s="336"/>
      <c r="KOH982" s="337"/>
      <c r="KOI982" s="336"/>
      <c r="KOJ982" s="337"/>
      <c r="KOK982" s="336"/>
      <c r="KOL982" s="337"/>
      <c r="KOM982" s="336"/>
      <c r="KON982" s="337"/>
      <c r="KOO982" s="336"/>
      <c r="KOP982" s="337"/>
      <c r="KOQ982" s="336"/>
      <c r="KOR982" s="337"/>
      <c r="KOS982" s="336"/>
      <c r="KOT982" s="337"/>
      <c r="KOU982" s="336"/>
      <c r="KOV982" s="337"/>
      <c r="KOW982" s="336"/>
      <c r="KOX982" s="337"/>
      <c r="KOY982" s="336"/>
      <c r="KOZ982" s="337"/>
      <c r="KPA982" s="336"/>
      <c r="KPB982" s="337"/>
      <c r="KPC982" s="336"/>
      <c r="KPD982" s="337"/>
      <c r="KPE982" s="336"/>
      <c r="KPF982" s="337"/>
      <c r="KPG982" s="336"/>
      <c r="KPH982" s="337"/>
      <c r="KPI982" s="336"/>
      <c r="KPJ982" s="337"/>
      <c r="KPK982" s="336"/>
      <c r="KPL982" s="337"/>
      <c r="KPM982" s="336"/>
      <c r="KPN982" s="337"/>
      <c r="KPO982" s="336"/>
      <c r="KPP982" s="337"/>
      <c r="KPQ982" s="336"/>
      <c r="KPR982" s="337"/>
      <c r="KPS982" s="336"/>
      <c r="KPT982" s="337"/>
      <c r="KPU982" s="336"/>
      <c r="KPV982" s="337"/>
      <c r="KPW982" s="336"/>
      <c r="KPX982" s="337"/>
      <c r="KPY982" s="336"/>
      <c r="KPZ982" s="337"/>
      <c r="KQA982" s="336"/>
      <c r="KQB982" s="337"/>
      <c r="KQC982" s="336"/>
      <c r="KQD982" s="337"/>
      <c r="KQE982" s="336"/>
      <c r="KQF982" s="337"/>
      <c r="KQG982" s="336"/>
      <c r="KQH982" s="337"/>
      <c r="KQI982" s="336"/>
      <c r="KQJ982" s="337"/>
      <c r="KQK982" s="336"/>
      <c r="KQL982" s="337"/>
      <c r="KQM982" s="336"/>
      <c r="KQN982" s="337"/>
      <c r="KQO982" s="336"/>
      <c r="KQP982" s="337"/>
      <c r="KQQ982" s="336"/>
      <c r="KQR982" s="337"/>
      <c r="KQS982" s="336"/>
      <c r="KQT982" s="337"/>
      <c r="KQU982" s="336"/>
      <c r="KQV982" s="337"/>
      <c r="KQW982" s="336"/>
      <c r="KQX982" s="337"/>
      <c r="KQY982" s="336"/>
      <c r="KQZ982" s="337"/>
      <c r="KRA982" s="336"/>
      <c r="KRB982" s="337"/>
      <c r="KRC982" s="336"/>
      <c r="KRD982" s="337"/>
      <c r="KRE982" s="336"/>
      <c r="KRF982" s="337"/>
      <c r="KRG982" s="336"/>
      <c r="KRH982" s="337"/>
      <c r="KRI982" s="336"/>
      <c r="KRJ982" s="337"/>
      <c r="KRK982" s="336"/>
      <c r="KRL982" s="337"/>
      <c r="KRM982" s="336"/>
      <c r="KRN982" s="337"/>
      <c r="KRO982" s="336"/>
      <c r="KRP982" s="337"/>
      <c r="KRQ982" s="336"/>
      <c r="KRR982" s="337"/>
      <c r="KRS982" s="336"/>
      <c r="KRT982" s="337"/>
      <c r="KRU982" s="336"/>
      <c r="KRV982" s="337"/>
      <c r="KRW982" s="336"/>
      <c r="KRX982" s="337"/>
      <c r="KRY982" s="336"/>
      <c r="KRZ982" s="337"/>
      <c r="KSA982" s="336"/>
      <c r="KSB982" s="337"/>
      <c r="KSC982" s="336"/>
      <c r="KSD982" s="337"/>
      <c r="KSE982" s="336"/>
      <c r="KSF982" s="337"/>
      <c r="KSG982" s="336"/>
      <c r="KSH982" s="337"/>
      <c r="KSI982" s="336"/>
      <c r="KSJ982" s="337"/>
      <c r="KSK982" s="336"/>
      <c r="KSL982" s="337"/>
      <c r="KSM982" s="336"/>
      <c r="KSN982" s="337"/>
      <c r="KSO982" s="336"/>
      <c r="KSP982" s="337"/>
      <c r="KSQ982" s="336"/>
      <c r="KSR982" s="337"/>
      <c r="KSS982" s="336"/>
      <c r="KST982" s="337"/>
      <c r="KSU982" s="336"/>
      <c r="KSV982" s="337"/>
      <c r="KSW982" s="336"/>
      <c r="KSX982" s="337"/>
      <c r="KSY982" s="336"/>
      <c r="KSZ982" s="337"/>
      <c r="KTA982" s="336"/>
      <c r="KTB982" s="337"/>
      <c r="KTC982" s="336"/>
      <c r="KTD982" s="337"/>
      <c r="KTE982" s="336"/>
      <c r="KTF982" s="337"/>
      <c r="KTG982" s="336"/>
      <c r="KTH982" s="337"/>
      <c r="KTI982" s="336"/>
      <c r="KTJ982" s="337"/>
      <c r="KTK982" s="336"/>
      <c r="KTL982" s="337"/>
      <c r="KTM982" s="336"/>
      <c r="KTN982" s="337"/>
      <c r="KTO982" s="336"/>
      <c r="KTP982" s="337"/>
      <c r="KTQ982" s="336"/>
      <c r="KTR982" s="337"/>
      <c r="KTS982" s="336"/>
      <c r="KTT982" s="337"/>
      <c r="KTU982" s="336"/>
      <c r="KTV982" s="337"/>
      <c r="KTW982" s="336"/>
      <c r="KTX982" s="337"/>
      <c r="KTY982" s="336"/>
      <c r="KTZ982" s="337"/>
      <c r="KUA982" s="336"/>
      <c r="KUB982" s="337"/>
      <c r="KUC982" s="336"/>
      <c r="KUD982" s="337"/>
      <c r="KUE982" s="336"/>
      <c r="KUF982" s="337"/>
      <c r="KUG982" s="336"/>
      <c r="KUH982" s="337"/>
      <c r="KUI982" s="336"/>
      <c r="KUJ982" s="337"/>
      <c r="KUK982" s="336"/>
      <c r="KUL982" s="337"/>
      <c r="KUM982" s="336"/>
      <c r="KUN982" s="337"/>
      <c r="KUO982" s="336"/>
      <c r="KUP982" s="337"/>
      <c r="KUQ982" s="336"/>
      <c r="KUR982" s="337"/>
      <c r="KUS982" s="336"/>
      <c r="KUT982" s="337"/>
      <c r="KUU982" s="336"/>
      <c r="KUV982" s="337"/>
      <c r="KUW982" s="336"/>
      <c r="KUX982" s="337"/>
      <c r="KUY982" s="336"/>
      <c r="KUZ982" s="337"/>
      <c r="KVA982" s="336"/>
      <c r="KVB982" s="337"/>
      <c r="KVC982" s="336"/>
      <c r="KVD982" s="337"/>
      <c r="KVE982" s="336"/>
      <c r="KVF982" s="337"/>
      <c r="KVG982" s="336"/>
      <c r="KVH982" s="337"/>
      <c r="KVI982" s="336"/>
      <c r="KVJ982" s="337"/>
      <c r="KVK982" s="336"/>
      <c r="KVL982" s="337"/>
      <c r="KVM982" s="336"/>
      <c r="KVN982" s="337"/>
      <c r="KVO982" s="336"/>
      <c r="KVP982" s="337"/>
      <c r="KVQ982" s="336"/>
      <c r="KVR982" s="337"/>
      <c r="KVS982" s="336"/>
      <c r="KVT982" s="337"/>
      <c r="KVU982" s="336"/>
      <c r="KVV982" s="337"/>
      <c r="KVW982" s="336"/>
      <c r="KVX982" s="337"/>
      <c r="KVY982" s="336"/>
      <c r="KVZ982" s="337"/>
      <c r="KWA982" s="336"/>
      <c r="KWB982" s="337"/>
      <c r="KWC982" s="336"/>
      <c r="KWD982" s="337"/>
      <c r="KWE982" s="336"/>
      <c r="KWF982" s="337"/>
      <c r="KWG982" s="336"/>
      <c r="KWH982" s="337"/>
      <c r="KWI982" s="336"/>
      <c r="KWJ982" s="337"/>
      <c r="KWK982" s="336"/>
      <c r="KWL982" s="337"/>
      <c r="KWM982" s="336"/>
      <c r="KWN982" s="337"/>
      <c r="KWO982" s="336"/>
      <c r="KWP982" s="337"/>
      <c r="KWQ982" s="336"/>
      <c r="KWR982" s="337"/>
      <c r="KWS982" s="336"/>
      <c r="KWT982" s="337"/>
      <c r="KWU982" s="336"/>
      <c r="KWV982" s="337"/>
      <c r="KWW982" s="336"/>
      <c r="KWX982" s="337"/>
      <c r="KWY982" s="336"/>
      <c r="KWZ982" s="337"/>
      <c r="KXA982" s="336"/>
      <c r="KXB982" s="337"/>
      <c r="KXC982" s="336"/>
      <c r="KXD982" s="337"/>
      <c r="KXE982" s="336"/>
      <c r="KXF982" s="337"/>
      <c r="KXG982" s="336"/>
      <c r="KXH982" s="337"/>
      <c r="KXI982" s="336"/>
      <c r="KXJ982" s="337"/>
      <c r="KXK982" s="336"/>
      <c r="KXL982" s="337"/>
      <c r="KXM982" s="336"/>
      <c r="KXN982" s="337"/>
      <c r="KXO982" s="336"/>
      <c r="KXP982" s="337"/>
      <c r="KXQ982" s="336"/>
      <c r="KXR982" s="337"/>
      <c r="KXS982" s="336"/>
      <c r="KXT982" s="337"/>
      <c r="KXU982" s="336"/>
      <c r="KXV982" s="337"/>
      <c r="KXW982" s="336"/>
      <c r="KXX982" s="337"/>
      <c r="KXY982" s="336"/>
      <c r="KXZ982" s="337"/>
      <c r="KYA982" s="336"/>
      <c r="KYB982" s="337"/>
      <c r="KYC982" s="336"/>
      <c r="KYD982" s="337"/>
      <c r="KYE982" s="336"/>
      <c r="KYF982" s="337"/>
      <c r="KYG982" s="336"/>
      <c r="KYH982" s="337"/>
      <c r="KYI982" s="336"/>
      <c r="KYJ982" s="337"/>
      <c r="KYK982" s="336"/>
      <c r="KYL982" s="337"/>
      <c r="KYM982" s="336"/>
      <c r="KYN982" s="337"/>
      <c r="KYO982" s="336"/>
      <c r="KYP982" s="337"/>
      <c r="KYQ982" s="336"/>
      <c r="KYR982" s="337"/>
      <c r="KYS982" s="336"/>
      <c r="KYT982" s="337"/>
      <c r="KYU982" s="336"/>
      <c r="KYV982" s="337"/>
      <c r="KYW982" s="336"/>
      <c r="KYX982" s="337"/>
      <c r="KYY982" s="336"/>
      <c r="KYZ982" s="337"/>
      <c r="KZA982" s="336"/>
      <c r="KZB982" s="337"/>
      <c r="KZC982" s="336"/>
      <c r="KZD982" s="337"/>
      <c r="KZE982" s="336"/>
      <c r="KZF982" s="337"/>
      <c r="KZG982" s="336"/>
      <c r="KZH982" s="337"/>
      <c r="KZI982" s="336"/>
      <c r="KZJ982" s="337"/>
      <c r="KZK982" s="336"/>
      <c r="KZL982" s="337"/>
      <c r="KZM982" s="336"/>
      <c r="KZN982" s="337"/>
      <c r="KZO982" s="336"/>
      <c r="KZP982" s="337"/>
      <c r="KZQ982" s="336"/>
      <c r="KZR982" s="337"/>
      <c r="KZS982" s="336"/>
      <c r="KZT982" s="337"/>
      <c r="KZU982" s="336"/>
      <c r="KZV982" s="337"/>
      <c r="KZW982" s="336"/>
      <c r="KZX982" s="337"/>
      <c r="KZY982" s="336"/>
      <c r="KZZ982" s="337"/>
      <c r="LAA982" s="336"/>
      <c r="LAB982" s="337"/>
      <c r="LAC982" s="336"/>
      <c r="LAD982" s="337"/>
      <c r="LAE982" s="336"/>
      <c r="LAF982" s="337"/>
      <c r="LAG982" s="336"/>
      <c r="LAH982" s="337"/>
      <c r="LAI982" s="336"/>
      <c r="LAJ982" s="337"/>
      <c r="LAK982" s="336"/>
      <c r="LAL982" s="337"/>
      <c r="LAM982" s="336"/>
      <c r="LAN982" s="337"/>
      <c r="LAO982" s="336"/>
      <c r="LAP982" s="337"/>
      <c r="LAQ982" s="336"/>
      <c r="LAR982" s="337"/>
      <c r="LAS982" s="336"/>
      <c r="LAT982" s="337"/>
      <c r="LAU982" s="336"/>
      <c r="LAV982" s="337"/>
      <c r="LAW982" s="336"/>
      <c r="LAX982" s="337"/>
      <c r="LAY982" s="336"/>
      <c r="LAZ982" s="337"/>
      <c r="LBA982" s="336"/>
      <c r="LBB982" s="337"/>
      <c r="LBC982" s="336"/>
      <c r="LBD982" s="337"/>
      <c r="LBE982" s="336"/>
      <c r="LBF982" s="337"/>
      <c r="LBG982" s="336"/>
      <c r="LBH982" s="337"/>
      <c r="LBI982" s="336"/>
      <c r="LBJ982" s="337"/>
      <c r="LBK982" s="336"/>
      <c r="LBL982" s="337"/>
      <c r="LBM982" s="336"/>
      <c r="LBN982" s="337"/>
      <c r="LBO982" s="336"/>
      <c r="LBP982" s="337"/>
      <c r="LBQ982" s="336"/>
      <c r="LBR982" s="337"/>
      <c r="LBS982" s="336"/>
      <c r="LBT982" s="337"/>
      <c r="LBU982" s="336"/>
      <c r="LBV982" s="337"/>
      <c r="LBW982" s="336"/>
      <c r="LBX982" s="337"/>
      <c r="LBY982" s="336"/>
      <c r="LBZ982" s="337"/>
      <c r="LCA982" s="336"/>
      <c r="LCB982" s="337"/>
      <c r="LCC982" s="336"/>
      <c r="LCD982" s="337"/>
      <c r="LCE982" s="336"/>
      <c r="LCF982" s="337"/>
      <c r="LCG982" s="336"/>
      <c r="LCH982" s="337"/>
      <c r="LCI982" s="336"/>
      <c r="LCJ982" s="337"/>
      <c r="LCK982" s="336"/>
      <c r="LCL982" s="337"/>
      <c r="LCM982" s="336"/>
      <c r="LCN982" s="337"/>
      <c r="LCO982" s="336"/>
      <c r="LCP982" s="337"/>
      <c r="LCQ982" s="336"/>
      <c r="LCR982" s="337"/>
      <c r="LCS982" s="336"/>
      <c r="LCT982" s="337"/>
      <c r="LCU982" s="336"/>
      <c r="LCV982" s="337"/>
      <c r="LCW982" s="336"/>
      <c r="LCX982" s="337"/>
      <c r="LCY982" s="336"/>
      <c r="LCZ982" s="337"/>
      <c r="LDA982" s="336"/>
      <c r="LDB982" s="337"/>
      <c r="LDC982" s="336"/>
      <c r="LDD982" s="337"/>
      <c r="LDE982" s="336"/>
      <c r="LDF982" s="337"/>
      <c r="LDG982" s="336"/>
      <c r="LDH982" s="337"/>
      <c r="LDI982" s="336"/>
      <c r="LDJ982" s="337"/>
      <c r="LDK982" s="336"/>
      <c r="LDL982" s="337"/>
      <c r="LDM982" s="336"/>
      <c r="LDN982" s="337"/>
      <c r="LDO982" s="336"/>
      <c r="LDP982" s="337"/>
      <c r="LDQ982" s="336"/>
      <c r="LDR982" s="337"/>
      <c r="LDS982" s="336"/>
      <c r="LDT982" s="337"/>
      <c r="LDU982" s="336"/>
      <c r="LDV982" s="337"/>
      <c r="LDW982" s="336"/>
      <c r="LDX982" s="337"/>
      <c r="LDY982" s="336"/>
      <c r="LDZ982" s="337"/>
      <c r="LEA982" s="336"/>
      <c r="LEB982" s="337"/>
      <c r="LEC982" s="336"/>
      <c r="LED982" s="337"/>
      <c r="LEE982" s="336"/>
      <c r="LEF982" s="337"/>
      <c r="LEG982" s="336"/>
      <c r="LEH982" s="337"/>
      <c r="LEI982" s="336"/>
      <c r="LEJ982" s="337"/>
      <c r="LEK982" s="336"/>
      <c r="LEL982" s="337"/>
      <c r="LEM982" s="336"/>
      <c r="LEN982" s="337"/>
      <c r="LEO982" s="336"/>
      <c r="LEP982" s="337"/>
      <c r="LEQ982" s="336"/>
      <c r="LER982" s="337"/>
      <c r="LES982" s="336"/>
      <c r="LET982" s="337"/>
      <c r="LEU982" s="336"/>
      <c r="LEV982" s="337"/>
      <c r="LEW982" s="336"/>
      <c r="LEX982" s="337"/>
      <c r="LEY982" s="336"/>
      <c r="LEZ982" s="337"/>
      <c r="LFA982" s="336"/>
      <c r="LFB982" s="337"/>
      <c r="LFC982" s="336"/>
      <c r="LFD982" s="337"/>
      <c r="LFE982" s="336"/>
      <c r="LFF982" s="337"/>
      <c r="LFG982" s="336"/>
      <c r="LFH982" s="337"/>
      <c r="LFI982" s="336"/>
      <c r="LFJ982" s="337"/>
      <c r="LFK982" s="336"/>
      <c r="LFL982" s="337"/>
      <c r="LFM982" s="336"/>
      <c r="LFN982" s="337"/>
      <c r="LFO982" s="336"/>
      <c r="LFP982" s="337"/>
      <c r="LFQ982" s="336"/>
      <c r="LFR982" s="337"/>
      <c r="LFS982" s="336"/>
      <c r="LFT982" s="337"/>
      <c r="LFU982" s="336"/>
      <c r="LFV982" s="337"/>
      <c r="LFW982" s="336"/>
      <c r="LFX982" s="337"/>
      <c r="LFY982" s="336"/>
      <c r="LFZ982" s="337"/>
      <c r="LGA982" s="336"/>
      <c r="LGB982" s="337"/>
      <c r="LGC982" s="336"/>
      <c r="LGD982" s="337"/>
      <c r="LGE982" s="336"/>
      <c r="LGF982" s="337"/>
      <c r="LGG982" s="336"/>
      <c r="LGH982" s="337"/>
      <c r="LGI982" s="336"/>
      <c r="LGJ982" s="337"/>
      <c r="LGK982" s="336"/>
      <c r="LGL982" s="337"/>
      <c r="LGM982" s="336"/>
      <c r="LGN982" s="337"/>
      <c r="LGO982" s="336"/>
      <c r="LGP982" s="337"/>
      <c r="LGQ982" s="336"/>
      <c r="LGR982" s="337"/>
      <c r="LGS982" s="336"/>
      <c r="LGT982" s="337"/>
      <c r="LGU982" s="336"/>
      <c r="LGV982" s="337"/>
      <c r="LGW982" s="336"/>
      <c r="LGX982" s="337"/>
      <c r="LGY982" s="336"/>
      <c r="LGZ982" s="337"/>
      <c r="LHA982" s="336"/>
      <c r="LHB982" s="337"/>
      <c r="LHC982" s="336"/>
      <c r="LHD982" s="337"/>
      <c r="LHE982" s="336"/>
      <c r="LHF982" s="337"/>
      <c r="LHG982" s="336"/>
      <c r="LHH982" s="337"/>
      <c r="LHI982" s="336"/>
      <c r="LHJ982" s="337"/>
      <c r="LHK982" s="336"/>
      <c r="LHL982" s="337"/>
      <c r="LHM982" s="336"/>
      <c r="LHN982" s="337"/>
      <c r="LHO982" s="336"/>
      <c r="LHP982" s="337"/>
      <c r="LHQ982" s="336"/>
      <c r="LHR982" s="337"/>
      <c r="LHS982" s="336"/>
      <c r="LHT982" s="337"/>
      <c r="LHU982" s="336"/>
      <c r="LHV982" s="337"/>
      <c r="LHW982" s="336"/>
      <c r="LHX982" s="337"/>
      <c r="LHY982" s="336"/>
      <c r="LHZ982" s="337"/>
      <c r="LIA982" s="336"/>
      <c r="LIB982" s="337"/>
      <c r="LIC982" s="336"/>
      <c r="LID982" s="337"/>
      <c r="LIE982" s="336"/>
      <c r="LIF982" s="337"/>
      <c r="LIG982" s="336"/>
      <c r="LIH982" s="337"/>
      <c r="LII982" s="336"/>
      <c r="LIJ982" s="337"/>
      <c r="LIK982" s="336"/>
      <c r="LIL982" s="337"/>
      <c r="LIM982" s="336"/>
      <c r="LIN982" s="337"/>
      <c r="LIO982" s="336"/>
      <c r="LIP982" s="337"/>
      <c r="LIQ982" s="336"/>
      <c r="LIR982" s="337"/>
      <c r="LIS982" s="336"/>
      <c r="LIT982" s="337"/>
      <c r="LIU982" s="336"/>
      <c r="LIV982" s="337"/>
      <c r="LIW982" s="336"/>
      <c r="LIX982" s="337"/>
      <c r="LIY982" s="336"/>
      <c r="LIZ982" s="337"/>
      <c r="LJA982" s="336"/>
      <c r="LJB982" s="337"/>
      <c r="LJC982" s="336"/>
      <c r="LJD982" s="337"/>
      <c r="LJE982" s="336"/>
      <c r="LJF982" s="337"/>
      <c r="LJG982" s="336"/>
      <c r="LJH982" s="337"/>
      <c r="LJI982" s="336"/>
      <c r="LJJ982" s="337"/>
      <c r="LJK982" s="336"/>
      <c r="LJL982" s="337"/>
      <c r="LJM982" s="336"/>
      <c r="LJN982" s="337"/>
      <c r="LJO982" s="336"/>
      <c r="LJP982" s="337"/>
      <c r="LJQ982" s="336"/>
      <c r="LJR982" s="337"/>
      <c r="LJS982" s="336"/>
      <c r="LJT982" s="337"/>
      <c r="LJU982" s="336"/>
      <c r="LJV982" s="337"/>
      <c r="LJW982" s="336"/>
      <c r="LJX982" s="337"/>
      <c r="LJY982" s="336"/>
      <c r="LJZ982" s="337"/>
      <c r="LKA982" s="336"/>
      <c r="LKB982" s="337"/>
      <c r="LKC982" s="336"/>
      <c r="LKD982" s="337"/>
      <c r="LKE982" s="336"/>
      <c r="LKF982" s="337"/>
      <c r="LKG982" s="336"/>
      <c r="LKH982" s="337"/>
      <c r="LKI982" s="336"/>
      <c r="LKJ982" s="337"/>
      <c r="LKK982" s="336"/>
      <c r="LKL982" s="337"/>
      <c r="LKM982" s="336"/>
      <c r="LKN982" s="337"/>
      <c r="LKO982" s="336"/>
      <c r="LKP982" s="337"/>
      <c r="LKQ982" s="336"/>
      <c r="LKR982" s="337"/>
      <c r="LKS982" s="336"/>
      <c r="LKT982" s="337"/>
      <c r="LKU982" s="336"/>
      <c r="LKV982" s="337"/>
      <c r="LKW982" s="336"/>
      <c r="LKX982" s="337"/>
      <c r="LKY982" s="336"/>
      <c r="LKZ982" s="337"/>
      <c r="LLA982" s="336"/>
      <c r="LLB982" s="337"/>
      <c r="LLC982" s="336"/>
      <c r="LLD982" s="337"/>
      <c r="LLE982" s="336"/>
      <c r="LLF982" s="337"/>
      <c r="LLG982" s="336"/>
      <c r="LLH982" s="337"/>
      <c r="LLI982" s="336"/>
      <c r="LLJ982" s="337"/>
      <c r="LLK982" s="336"/>
      <c r="LLL982" s="337"/>
      <c r="LLM982" s="336"/>
      <c r="LLN982" s="337"/>
      <c r="LLO982" s="336"/>
      <c r="LLP982" s="337"/>
      <c r="LLQ982" s="336"/>
      <c r="LLR982" s="337"/>
      <c r="LLS982" s="336"/>
      <c r="LLT982" s="337"/>
      <c r="LLU982" s="336"/>
      <c r="LLV982" s="337"/>
      <c r="LLW982" s="336"/>
      <c r="LLX982" s="337"/>
      <c r="LLY982" s="336"/>
      <c r="LLZ982" s="337"/>
      <c r="LMA982" s="336"/>
      <c r="LMB982" s="337"/>
      <c r="LMC982" s="336"/>
      <c r="LMD982" s="337"/>
      <c r="LME982" s="336"/>
      <c r="LMF982" s="337"/>
      <c r="LMG982" s="336"/>
      <c r="LMH982" s="337"/>
      <c r="LMI982" s="336"/>
      <c r="LMJ982" s="337"/>
      <c r="LMK982" s="336"/>
      <c r="LML982" s="337"/>
      <c r="LMM982" s="336"/>
      <c r="LMN982" s="337"/>
      <c r="LMO982" s="336"/>
      <c r="LMP982" s="337"/>
      <c r="LMQ982" s="336"/>
      <c r="LMR982" s="337"/>
      <c r="LMS982" s="336"/>
      <c r="LMT982" s="337"/>
      <c r="LMU982" s="336"/>
      <c r="LMV982" s="337"/>
      <c r="LMW982" s="336"/>
      <c r="LMX982" s="337"/>
      <c r="LMY982" s="336"/>
      <c r="LMZ982" s="337"/>
      <c r="LNA982" s="336"/>
      <c r="LNB982" s="337"/>
      <c r="LNC982" s="336"/>
      <c r="LND982" s="337"/>
      <c r="LNE982" s="336"/>
      <c r="LNF982" s="337"/>
      <c r="LNG982" s="336"/>
      <c r="LNH982" s="337"/>
      <c r="LNI982" s="336"/>
      <c r="LNJ982" s="337"/>
      <c r="LNK982" s="336"/>
      <c r="LNL982" s="337"/>
      <c r="LNM982" s="336"/>
      <c r="LNN982" s="337"/>
      <c r="LNO982" s="336"/>
      <c r="LNP982" s="337"/>
      <c r="LNQ982" s="336"/>
      <c r="LNR982" s="337"/>
      <c r="LNS982" s="336"/>
      <c r="LNT982" s="337"/>
      <c r="LNU982" s="336"/>
      <c r="LNV982" s="337"/>
      <c r="LNW982" s="336"/>
      <c r="LNX982" s="337"/>
      <c r="LNY982" s="336"/>
      <c r="LNZ982" s="337"/>
      <c r="LOA982" s="336"/>
      <c r="LOB982" s="337"/>
      <c r="LOC982" s="336"/>
      <c r="LOD982" s="337"/>
      <c r="LOE982" s="336"/>
      <c r="LOF982" s="337"/>
      <c r="LOG982" s="336"/>
      <c r="LOH982" s="337"/>
      <c r="LOI982" s="336"/>
      <c r="LOJ982" s="337"/>
      <c r="LOK982" s="336"/>
      <c r="LOL982" s="337"/>
      <c r="LOM982" s="336"/>
      <c r="LON982" s="337"/>
      <c r="LOO982" s="336"/>
      <c r="LOP982" s="337"/>
      <c r="LOQ982" s="336"/>
      <c r="LOR982" s="337"/>
      <c r="LOS982" s="336"/>
      <c r="LOT982" s="337"/>
      <c r="LOU982" s="336"/>
      <c r="LOV982" s="337"/>
      <c r="LOW982" s="336"/>
      <c r="LOX982" s="337"/>
      <c r="LOY982" s="336"/>
      <c r="LOZ982" s="337"/>
      <c r="LPA982" s="336"/>
      <c r="LPB982" s="337"/>
      <c r="LPC982" s="336"/>
      <c r="LPD982" s="337"/>
      <c r="LPE982" s="336"/>
      <c r="LPF982" s="337"/>
      <c r="LPG982" s="336"/>
      <c r="LPH982" s="337"/>
      <c r="LPI982" s="336"/>
      <c r="LPJ982" s="337"/>
      <c r="LPK982" s="336"/>
      <c r="LPL982" s="337"/>
      <c r="LPM982" s="336"/>
      <c r="LPN982" s="337"/>
      <c r="LPO982" s="336"/>
      <c r="LPP982" s="337"/>
      <c r="LPQ982" s="336"/>
      <c r="LPR982" s="337"/>
      <c r="LPS982" s="336"/>
      <c r="LPT982" s="337"/>
      <c r="LPU982" s="336"/>
      <c r="LPV982" s="337"/>
      <c r="LPW982" s="336"/>
      <c r="LPX982" s="337"/>
      <c r="LPY982" s="336"/>
      <c r="LPZ982" s="337"/>
      <c r="LQA982" s="336"/>
      <c r="LQB982" s="337"/>
      <c r="LQC982" s="336"/>
      <c r="LQD982" s="337"/>
      <c r="LQE982" s="336"/>
      <c r="LQF982" s="337"/>
      <c r="LQG982" s="336"/>
      <c r="LQH982" s="337"/>
      <c r="LQI982" s="336"/>
      <c r="LQJ982" s="337"/>
      <c r="LQK982" s="336"/>
      <c r="LQL982" s="337"/>
      <c r="LQM982" s="336"/>
      <c r="LQN982" s="337"/>
      <c r="LQO982" s="336"/>
      <c r="LQP982" s="337"/>
      <c r="LQQ982" s="336"/>
      <c r="LQR982" s="337"/>
      <c r="LQS982" s="336"/>
      <c r="LQT982" s="337"/>
      <c r="LQU982" s="336"/>
      <c r="LQV982" s="337"/>
      <c r="LQW982" s="336"/>
      <c r="LQX982" s="337"/>
      <c r="LQY982" s="336"/>
      <c r="LQZ982" s="337"/>
      <c r="LRA982" s="336"/>
      <c r="LRB982" s="337"/>
      <c r="LRC982" s="336"/>
      <c r="LRD982" s="337"/>
      <c r="LRE982" s="336"/>
      <c r="LRF982" s="337"/>
      <c r="LRG982" s="336"/>
      <c r="LRH982" s="337"/>
      <c r="LRI982" s="336"/>
      <c r="LRJ982" s="337"/>
      <c r="LRK982" s="336"/>
      <c r="LRL982" s="337"/>
      <c r="LRM982" s="336"/>
      <c r="LRN982" s="337"/>
      <c r="LRO982" s="336"/>
      <c r="LRP982" s="337"/>
      <c r="LRQ982" s="336"/>
      <c r="LRR982" s="337"/>
      <c r="LRS982" s="336"/>
      <c r="LRT982" s="337"/>
      <c r="LRU982" s="336"/>
      <c r="LRV982" s="337"/>
      <c r="LRW982" s="336"/>
      <c r="LRX982" s="337"/>
      <c r="LRY982" s="336"/>
      <c r="LRZ982" s="337"/>
      <c r="LSA982" s="336"/>
      <c r="LSB982" s="337"/>
      <c r="LSC982" s="336"/>
      <c r="LSD982" s="337"/>
      <c r="LSE982" s="336"/>
      <c r="LSF982" s="337"/>
      <c r="LSG982" s="336"/>
      <c r="LSH982" s="337"/>
      <c r="LSI982" s="336"/>
      <c r="LSJ982" s="337"/>
      <c r="LSK982" s="336"/>
      <c r="LSL982" s="337"/>
      <c r="LSM982" s="336"/>
      <c r="LSN982" s="337"/>
      <c r="LSO982" s="336"/>
      <c r="LSP982" s="337"/>
      <c r="LSQ982" s="336"/>
      <c r="LSR982" s="337"/>
      <c r="LSS982" s="336"/>
      <c r="LST982" s="337"/>
      <c r="LSU982" s="336"/>
      <c r="LSV982" s="337"/>
      <c r="LSW982" s="336"/>
      <c r="LSX982" s="337"/>
      <c r="LSY982" s="336"/>
      <c r="LSZ982" s="337"/>
      <c r="LTA982" s="336"/>
      <c r="LTB982" s="337"/>
      <c r="LTC982" s="336"/>
      <c r="LTD982" s="337"/>
      <c r="LTE982" s="336"/>
      <c r="LTF982" s="337"/>
      <c r="LTG982" s="336"/>
      <c r="LTH982" s="337"/>
      <c r="LTI982" s="336"/>
      <c r="LTJ982" s="337"/>
      <c r="LTK982" s="336"/>
      <c r="LTL982" s="337"/>
      <c r="LTM982" s="336"/>
      <c r="LTN982" s="337"/>
      <c r="LTO982" s="336"/>
      <c r="LTP982" s="337"/>
      <c r="LTQ982" s="336"/>
      <c r="LTR982" s="337"/>
      <c r="LTS982" s="336"/>
      <c r="LTT982" s="337"/>
      <c r="LTU982" s="336"/>
      <c r="LTV982" s="337"/>
      <c r="LTW982" s="336"/>
      <c r="LTX982" s="337"/>
      <c r="LTY982" s="336"/>
      <c r="LTZ982" s="337"/>
      <c r="LUA982" s="336"/>
      <c r="LUB982" s="337"/>
      <c r="LUC982" s="336"/>
      <c r="LUD982" s="337"/>
      <c r="LUE982" s="336"/>
      <c r="LUF982" s="337"/>
      <c r="LUG982" s="336"/>
      <c r="LUH982" s="337"/>
      <c r="LUI982" s="336"/>
      <c r="LUJ982" s="337"/>
      <c r="LUK982" s="336"/>
      <c r="LUL982" s="337"/>
      <c r="LUM982" s="336"/>
      <c r="LUN982" s="337"/>
      <c r="LUO982" s="336"/>
      <c r="LUP982" s="337"/>
      <c r="LUQ982" s="336"/>
      <c r="LUR982" s="337"/>
      <c r="LUS982" s="336"/>
      <c r="LUT982" s="337"/>
      <c r="LUU982" s="336"/>
      <c r="LUV982" s="337"/>
      <c r="LUW982" s="336"/>
      <c r="LUX982" s="337"/>
      <c r="LUY982" s="336"/>
      <c r="LUZ982" s="337"/>
      <c r="LVA982" s="336"/>
      <c r="LVB982" s="337"/>
      <c r="LVC982" s="336"/>
      <c r="LVD982" s="337"/>
      <c r="LVE982" s="336"/>
      <c r="LVF982" s="337"/>
      <c r="LVG982" s="336"/>
      <c r="LVH982" s="337"/>
      <c r="LVI982" s="336"/>
      <c r="LVJ982" s="337"/>
      <c r="LVK982" s="336"/>
      <c r="LVL982" s="337"/>
      <c r="LVM982" s="336"/>
      <c r="LVN982" s="337"/>
      <c r="LVO982" s="336"/>
      <c r="LVP982" s="337"/>
      <c r="LVQ982" s="336"/>
      <c r="LVR982" s="337"/>
      <c r="LVS982" s="336"/>
      <c r="LVT982" s="337"/>
      <c r="LVU982" s="336"/>
      <c r="LVV982" s="337"/>
      <c r="LVW982" s="336"/>
      <c r="LVX982" s="337"/>
      <c r="LVY982" s="336"/>
      <c r="LVZ982" s="337"/>
      <c r="LWA982" s="336"/>
      <c r="LWB982" s="337"/>
      <c r="LWC982" s="336"/>
      <c r="LWD982" s="337"/>
      <c r="LWE982" s="336"/>
      <c r="LWF982" s="337"/>
      <c r="LWG982" s="336"/>
      <c r="LWH982" s="337"/>
      <c r="LWI982" s="336"/>
      <c r="LWJ982" s="337"/>
      <c r="LWK982" s="336"/>
      <c r="LWL982" s="337"/>
      <c r="LWM982" s="336"/>
      <c r="LWN982" s="337"/>
      <c r="LWO982" s="336"/>
      <c r="LWP982" s="337"/>
      <c r="LWQ982" s="336"/>
      <c r="LWR982" s="337"/>
      <c r="LWS982" s="336"/>
      <c r="LWT982" s="337"/>
      <c r="LWU982" s="336"/>
      <c r="LWV982" s="337"/>
      <c r="LWW982" s="336"/>
      <c r="LWX982" s="337"/>
      <c r="LWY982" s="336"/>
      <c r="LWZ982" s="337"/>
      <c r="LXA982" s="336"/>
      <c r="LXB982" s="337"/>
      <c r="LXC982" s="336"/>
      <c r="LXD982" s="337"/>
      <c r="LXE982" s="336"/>
      <c r="LXF982" s="337"/>
      <c r="LXG982" s="336"/>
      <c r="LXH982" s="337"/>
      <c r="LXI982" s="336"/>
      <c r="LXJ982" s="337"/>
      <c r="LXK982" s="336"/>
      <c r="LXL982" s="337"/>
      <c r="LXM982" s="336"/>
      <c r="LXN982" s="337"/>
      <c r="LXO982" s="336"/>
      <c r="LXP982" s="337"/>
      <c r="LXQ982" s="336"/>
      <c r="LXR982" s="337"/>
      <c r="LXS982" s="336"/>
      <c r="LXT982" s="337"/>
      <c r="LXU982" s="336"/>
      <c r="LXV982" s="337"/>
      <c r="LXW982" s="336"/>
      <c r="LXX982" s="337"/>
      <c r="LXY982" s="336"/>
      <c r="LXZ982" s="337"/>
      <c r="LYA982" s="336"/>
      <c r="LYB982" s="337"/>
      <c r="LYC982" s="336"/>
      <c r="LYD982" s="337"/>
      <c r="LYE982" s="336"/>
      <c r="LYF982" s="337"/>
      <c r="LYG982" s="336"/>
      <c r="LYH982" s="337"/>
      <c r="LYI982" s="336"/>
      <c r="LYJ982" s="337"/>
      <c r="LYK982" s="336"/>
      <c r="LYL982" s="337"/>
      <c r="LYM982" s="336"/>
      <c r="LYN982" s="337"/>
      <c r="LYO982" s="336"/>
      <c r="LYP982" s="337"/>
      <c r="LYQ982" s="336"/>
      <c r="LYR982" s="337"/>
      <c r="LYS982" s="336"/>
      <c r="LYT982" s="337"/>
      <c r="LYU982" s="336"/>
      <c r="LYV982" s="337"/>
      <c r="LYW982" s="336"/>
      <c r="LYX982" s="337"/>
      <c r="LYY982" s="336"/>
      <c r="LYZ982" s="337"/>
      <c r="LZA982" s="336"/>
      <c r="LZB982" s="337"/>
      <c r="LZC982" s="336"/>
      <c r="LZD982" s="337"/>
      <c r="LZE982" s="336"/>
      <c r="LZF982" s="337"/>
      <c r="LZG982" s="336"/>
      <c r="LZH982" s="337"/>
      <c r="LZI982" s="336"/>
      <c r="LZJ982" s="337"/>
      <c r="LZK982" s="336"/>
      <c r="LZL982" s="337"/>
      <c r="LZM982" s="336"/>
      <c r="LZN982" s="337"/>
      <c r="LZO982" s="336"/>
      <c r="LZP982" s="337"/>
      <c r="LZQ982" s="336"/>
      <c r="LZR982" s="337"/>
      <c r="LZS982" s="336"/>
      <c r="LZT982" s="337"/>
      <c r="LZU982" s="336"/>
      <c r="LZV982" s="337"/>
      <c r="LZW982" s="336"/>
      <c r="LZX982" s="337"/>
      <c r="LZY982" s="336"/>
      <c r="LZZ982" s="337"/>
      <c r="MAA982" s="336"/>
      <c r="MAB982" s="337"/>
      <c r="MAC982" s="336"/>
      <c r="MAD982" s="337"/>
      <c r="MAE982" s="336"/>
      <c r="MAF982" s="337"/>
      <c r="MAG982" s="336"/>
      <c r="MAH982" s="337"/>
      <c r="MAI982" s="336"/>
      <c r="MAJ982" s="337"/>
      <c r="MAK982" s="336"/>
      <c r="MAL982" s="337"/>
      <c r="MAM982" s="336"/>
      <c r="MAN982" s="337"/>
      <c r="MAO982" s="336"/>
      <c r="MAP982" s="337"/>
      <c r="MAQ982" s="336"/>
      <c r="MAR982" s="337"/>
      <c r="MAS982" s="336"/>
      <c r="MAT982" s="337"/>
      <c r="MAU982" s="336"/>
      <c r="MAV982" s="337"/>
      <c r="MAW982" s="336"/>
      <c r="MAX982" s="337"/>
      <c r="MAY982" s="336"/>
      <c r="MAZ982" s="337"/>
      <c r="MBA982" s="336"/>
      <c r="MBB982" s="337"/>
      <c r="MBC982" s="336"/>
      <c r="MBD982" s="337"/>
      <c r="MBE982" s="336"/>
      <c r="MBF982" s="337"/>
      <c r="MBG982" s="336"/>
      <c r="MBH982" s="337"/>
      <c r="MBI982" s="336"/>
      <c r="MBJ982" s="337"/>
      <c r="MBK982" s="336"/>
      <c r="MBL982" s="337"/>
      <c r="MBM982" s="336"/>
      <c r="MBN982" s="337"/>
      <c r="MBO982" s="336"/>
      <c r="MBP982" s="337"/>
      <c r="MBQ982" s="336"/>
      <c r="MBR982" s="337"/>
      <c r="MBS982" s="336"/>
      <c r="MBT982" s="337"/>
      <c r="MBU982" s="336"/>
      <c r="MBV982" s="337"/>
      <c r="MBW982" s="336"/>
      <c r="MBX982" s="337"/>
      <c r="MBY982" s="336"/>
      <c r="MBZ982" s="337"/>
      <c r="MCA982" s="336"/>
      <c r="MCB982" s="337"/>
      <c r="MCC982" s="336"/>
      <c r="MCD982" s="337"/>
      <c r="MCE982" s="336"/>
      <c r="MCF982" s="337"/>
      <c r="MCG982" s="336"/>
      <c r="MCH982" s="337"/>
      <c r="MCI982" s="336"/>
      <c r="MCJ982" s="337"/>
      <c r="MCK982" s="336"/>
      <c r="MCL982" s="337"/>
      <c r="MCM982" s="336"/>
      <c r="MCN982" s="337"/>
      <c r="MCO982" s="336"/>
      <c r="MCP982" s="337"/>
      <c r="MCQ982" s="336"/>
      <c r="MCR982" s="337"/>
      <c r="MCS982" s="336"/>
      <c r="MCT982" s="337"/>
      <c r="MCU982" s="336"/>
      <c r="MCV982" s="337"/>
      <c r="MCW982" s="336"/>
      <c r="MCX982" s="337"/>
      <c r="MCY982" s="336"/>
      <c r="MCZ982" s="337"/>
      <c r="MDA982" s="336"/>
      <c r="MDB982" s="337"/>
      <c r="MDC982" s="336"/>
      <c r="MDD982" s="337"/>
      <c r="MDE982" s="336"/>
      <c r="MDF982" s="337"/>
      <c r="MDG982" s="336"/>
      <c r="MDH982" s="337"/>
      <c r="MDI982" s="336"/>
      <c r="MDJ982" s="337"/>
      <c r="MDK982" s="336"/>
      <c r="MDL982" s="337"/>
      <c r="MDM982" s="336"/>
      <c r="MDN982" s="337"/>
      <c r="MDO982" s="336"/>
      <c r="MDP982" s="337"/>
      <c r="MDQ982" s="336"/>
      <c r="MDR982" s="337"/>
      <c r="MDS982" s="336"/>
      <c r="MDT982" s="337"/>
      <c r="MDU982" s="336"/>
      <c r="MDV982" s="337"/>
      <c r="MDW982" s="336"/>
      <c r="MDX982" s="337"/>
      <c r="MDY982" s="336"/>
      <c r="MDZ982" s="337"/>
      <c r="MEA982" s="336"/>
      <c r="MEB982" s="337"/>
      <c r="MEC982" s="336"/>
      <c r="MED982" s="337"/>
      <c r="MEE982" s="336"/>
      <c r="MEF982" s="337"/>
      <c r="MEG982" s="336"/>
      <c r="MEH982" s="337"/>
      <c r="MEI982" s="336"/>
      <c r="MEJ982" s="337"/>
      <c r="MEK982" s="336"/>
      <c r="MEL982" s="337"/>
      <c r="MEM982" s="336"/>
      <c r="MEN982" s="337"/>
      <c r="MEO982" s="336"/>
      <c r="MEP982" s="337"/>
      <c r="MEQ982" s="336"/>
      <c r="MER982" s="337"/>
      <c r="MES982" s="336"/>
      <c r="MET982" s="337"/>
      <c r="MEU982" s="336"/>
      <c r="MEV982" s="337"/>
      <c r="MEW982" s="336"/>
      <c r="MEX982" s="337"/>
      <c r="MEY982" s="336"/>
      <c r="MEZ982" s="337"/>
      <c r="MFA982" s="336"/>
      <c r="MFB982" s="337"/>
      <c r="MFC982" s="336"/>
      <c r="MFD982" s="337"/>
      <c r="MFE982" s="336"/>
      <c r="MFF982" s="337"/>
      <c r="MFG982" s="336"/>
      <c r="MFH982" s="337"/>
      <c r="MFI982" s="336"/>
      <c r="MFJ982" s="337"/>
      <c r="MFK982" s="336"/>
      <c r="MFL982" s="337"/>
      <c r="MFM982" s="336"/>
      <c r="MFN982" s="337"/>
      <c r="MFO982" s="336"/>
      <c r="MFP982" s="337"/>
      <c r="MFQ982" s="336"/>
      <c r="MFR982" s="337"/>
      <c r="MFS982" s="336"/>
      <c r="MFT982" s="337"/>
      <c r="MFU982" s="336"/>
      <c r="MFV982" s="337"/>
      <c r="MFW982" s="336"/>
      <c r="MFX982" s="337"/>
      <c r="MFY982" s="336"/>
      <c r="MFZ982" s="337"/>
      <c r="MGA982" s="336"/>
      <c r="MGB982" s="337"/>
      <c r="MGC982" s="336"/>
      <c r="MGD982" s="337"/>
      <c r="MGE982" s="336"/>
      <c r="MGF982" s="337"/>
      <c r="MGG982" s="336"/>
      <c r="MGH982" s="337"/>
      <c r="MGI982" s="336"/>
      <c r="MGJ982" s="337"/>
      <c r="MGK982" s="336"/>
      <c r="MGL982" s="337"/>
      <c r="MGM982" s="336"/>
      <c r="MGN982" s="337"/>
      <c r="MGO982" s="336"/>
      <c r="MGP982" s="337"/>
      <c r="MGQ982" s="336"/>
      <c r="MGR982" s="337"/>
      <c r="MGS982" s="336"/>
      <c r="MGT982" s="337"/>
      <c r="MGU982" s="336"/>
      <c r="MGV982" s="337"/>
      <c r="MGW982" s="336"/>
      <c r="MGX982" s="337"/>
      <c r="MGY982" s="336"/>
      <c r="MGZ982" s="337"/>
      <c r="MHA982" s="336"/>
      <c r="MHB982" s="337"/>
      <c r="MHC982" s="336"/>
      <c r="MHD982" s="337"/>
      <c r="MHE982" s="336"/>
      <c r="MHF982" s="337"/>
      <c r="MHG982" s="336"/>
      <c r="MHH982" s="337"/>
      <c r="MHI982" s="336"/>
      <c r="MHJ982" s="337"/>
      <c r="MHK982" s="336"/>
      <c r="MHL982" s="337"/>
      <c r="MHM982" s="336"/>
      <c r="MHN982" s="337"/>
      <c r="MHO982" s="336"/>
      <c r="MHP982" s="337"/>
      <c r="MHQ982" s="336"/>
      <c r="MHR982" s="337"/>
      <c r="MHS982" s="336"/>
      <c r="MHT982" s="337"/>
      <c r="MHU982" s="336"/>
      <c r="MHV982" s="337"/>
      <c r="MHW982" s="336"/>
      <c r="MHX982" s="337"/>
      <c r="MHY982" s="336"/>
      <c r="MHZ982" s="337"/>
      <c r="MIA982" s="336"/>
      <c r="MIB982" s="337"/>
      <c r="MIC982" s="336"/>
      <c r="MID982" s="337"/>
      <c r="MIE982" s="336"/>
      <c r="MIF982" s="337"/>
      <c r="MIG982" s="336"/>
      <c r="MIH982" s="337"/>
      <c r="MII982" s="336"/>
      <c r="MIJ982" s="337"/>
      <c r="MIK982" s="336"/>
      <c r="MIL982" s="337"/>
      <c r="MIM982" s="336"/>
      <c r="MIN982" s="337"/>
      <c r="MIO982" s="336"/>
      <c r="MIP982" s="337"/>
      <c r="MIQ982" s="336"/>
      <c r="MIR982" s="337"/>
      <c r="MIS982" s="336"/>
      <c r="MIT982" s="337"/>
      <c r="MIU982" s="336"/>
      <c r="MIV982" s="337"/>
      <c r="MIW982" s="336"/>
      <c r="MIX982" s="337"/>
      <c r="MIY982" s="336"/>
      <c r="MIZ982" s="337"/>
      <c r="MJA982" s="336"/>
      <c r="MJB982" s="337"/>
      <c r="MJC982" s="336"/>
      <c r="MJD982" s="337"/>
      <c r="MJE982" s="336"/>
      <c r="MJF982" s="337"/>
      <c r="MJG982" s="336"/>
      <c r="MJH982" s="337"/>
      <c r="MJI982" s="336"/>
      <c r="MJJ982" s="337"/>
      <c r="MJK982" s="336"/>
      <c r="MJL982" s="337"/>
      <c r="MJM982" s="336"/>
      <c r="MJN982" s="337"/>
      <c r="MJO982" s="336"/>
      <c r="MJP982" s="337"/>
      <c r="MJQ982" s="336"/>
      <c r="MJR982" s="337"/>
      <c r="MJS982" s="336"/>
      <c r="MJT982" s="337"/>
      <c r="MJU982" s="336"/>
      <c r="MJV982" s="337"/>
      <c r="MJW982" s="336"/>
      <c r="MJX982" s="337"/>
      <c r="MJY982" s="336"/>
      <c r="MJZ982" s="337"/>
      <c r="MKA982" s="336"/>
      <c r="MKB982" s="337"/>
      <c r="MKC982" s="336"/>
      <c r="MKD982" s="337"/>
      <c r="MKE982" s="336"/>
      <c r="MKF982" s="337"/>
      <c r="MKG982" s="336"/>
      <c r="MKH982" s="337"/>
      <c r="MKI982" s="336"/>
      <c r="MKJ982" s="337"/>
      <c r="MKK982" s="336"/>
      <c r="MKL982" s="337"/>
      <c r="MKM982" s="336"/>
      <c r="MKN982" s="337"/>
      <c r="MKO982" s="336"/>
      <c r="MKP982" s="337"/>
      <c r="MKQ982" s="336"/>
      <c r="MKR982" s="337"/>
      <c r="MKS982" s="336"/>
      <c r="MKT982" s="337"/>
      <c r="MKU982" s="336"/>
      <c r="MKV982" s="337"/>
      <c r="MKW982" s="336"/>
      <c r="MKX982" s="337"/>
      <c r="MKY982" s="336"/>
      <c r="MKZ982" s="337"/>
      <c r="MLA982" s="336"/>
      <c r="MLB982" s="337"/>
      <c r="MLC982" s="336"/>
      <c r="MLD982" s="337"/>
      <c r="MLE982" s="336"/>
      <c r="MLF982" s="337"/>
      <c r="MLG982" s="336"/>
      <c r="MLH982" s="337"/>
      <c r="MLI982" s="336"/>
      <c r="MLJ982" s="337"/>
      <c r="MLK982" s="336"/>
      <c r="MLL982" s="337"/>
      <c r="MLM982" s="336"/>
      <c r="MLN982" s="337"/>
      <c r="MLO982" s="336"/>
      <c r="MLP982" s="337"/>
      <c r="MLQ982" s="336"/>
      <c r="MLR982" s="337"/>
      <c r="MLS982" s="336"/>
      <c r="MLT982" s="337"/>
      <c r="MLU982" s="336"/>
      <c r="MLV982" s="337"/>
      <c r="MLW982" s="336"/>
      <c r="MLX982" s="337"/>
      <c r="MLY982" s="336"/>
      <c r="MLZ982" s="337"/>
      <c r="MMA982" s="336"/>
      <c r="MMB982" s="337"/>
      <c r="MMC982" s="336"/>
      <c r="MMD982" s="337"/>
      <c r="MME982" s="336"/>
      <c r="MMF982" s="337"/>
      <c r="MMG982" s="336"/>
      <c r="MMH982" s="337"/>
      <c r="MMI982" s="336"/>
      <c r="MMJ982" s="337"/>
      <c r="MMK982" s="336"/>
      <c r="MML982" s="337"/>
      <c r="MMM982" s="336"/>
      <c r="MMN982" s="337"/>
      <c r="MMO982" s="336"/>
      <c r="MMP982" s="337"/>
      <c r="MMQ982" s="336"/>
      <c r="MMR982" s="337"/>
      <c r="MMS982" s="336"/>
      <c r="MMT982" s="337"/>
      <c r="MMU982" s="336"/>
      <c r="MMV982" s="337"/>
      <c r="MMW982" s="336"/>
      <c r="MMX982" s="337"/>
      <c r="MMY982" s="336"/>
      <c r="MMZ982" s="337"/>
      <c r="MNA982" s="336"/>
      <c r="MNB982" s="337"/>
      <c r="MNC982" s="336"/>
      <c r="MND982" s="337"/>
      <c r="MNE982" s="336"/>
      <c r="MNF982" s="337"/>
      <c r="MNG982" s="336"/>
      <c r="MNH982" s="337"/>
      <c r="MNI982" s="336"/>
      <c r="MNJ982" s="337"/>
      <c r="MNK982" s="336"/>
      <c r="MNL982" s="337"/>
      <c r="MNM982" s="336"/>
      <c r="MNN982" s="337"/>
      <c r="MNO982" s="336"/>
      <c r="MNP982" s="337"/>
      <c r="MNQ982" s="336"/>
      <c r="MNR982" s="337"/>
      <c r="MNS982" s="336"/>
      <c r="MNT982" s="337"/>
      <c r="MNU982" s="336"/>
      <c r="MNV982" s="337"/>
      <c r="MNW982" s="336"/>
      <c r="MNX982" s="337"/>
      <c r="MNY982" s="336"/>
      <c r="MNZ982" s="337"/>
      <c r="MOA982" s="336"/>
      <c r="MOB982" s="337"/>
      <c r="MOC982" s="336"/>
      <c r="MOD982" s="337"/>
      <c r="MOE982" s="336"/>
      <c r="MOF982" s="337"/>
      <c r="MOG982" s="336"/>
      <c r="MOH982" s="337"/>
      <c r="MOI982" s="336"/>
      <c r="MOJ982" s="337"/>
      <c r="MOK982" s="336"/>
      <c r="MOL982" s="337"/>
      <c r="MOM982" s="336"/>
      <c r="MON982" s="337"/>
      <c r="MOO982" s="336"/>
      <c r="MOP982" s="337"/>
      <c r="MOQ982" s="336"/>
      <c r="MOR982" s="337"/>
      <c r="MOS982" s="336"/>
      <c r="MOT982" s="337"/>
      <c r="MOU982" s="336"/>
      <c r="MOV982" s="337"/>
      <c r="MOW982" s="336"/>
      <c r="MOX982" s="337"/>
      <c r="MOY982" s="336"/>
      <c r="MOZ982" s="337"/>
      <c r="MPA982" s="336"/>
      <c r="MPB982" s="337"/>
      <c r="MPC982" s="336"/>
      <c r="MPD982" s="337"/>
      <c r="MPE982" s="336"/>
      <c r="MPF982" s="337"/>
      <c r="MPG982" s="336"/>
      <c r="MPH982" s="337"/>
      <c r="MPI982" s="336"/>
      <c r="MPJ982" s="337"/>
      <c r="MPK982" s="336"/>
      <c r="MPL982" s="337"/>
      <c r="MPM982" s="336"/>
      <c r="MPN982" s="337"/>
      <c r="MPO982" s="336"/>
      <c r="MPP982" s="337"/>
      <c r="MPQ982" s="336"/>
      <c r="MPR982" s="337"/>
      <c r="MPS982" s="336"/>
      <c r="MPT982" s="337"/>
      <c r="MPU982" s="336"/>
      <c r="MPV982" s="337"/>
      <c r="MPW982" s="336"/>
      <c r="MPX982" s="337"/>
      <c r="MPY982" s="336"/>
      <c r="MPZ982" s="337"/>
      <c r="MQA982" s="336"/>
      <c r="MQB982" s="337"/>
      <c r="MQC982" s="336"/>
      <c r="MQD982" s="337"/>
      <c r="MQE982" s="336"/>
      <c r="MQF982" s="337"/>
      <c r="MQG982" s="336"/>
      <c r="MQH982" s="337"/>
      <c r="MQI982" s="336"/>
      <c r="MQJ982" s="337"/>
      <c r="MQK982" s="336"/>
      <c r="MQL982" s="337"/>
      <c r="MQM982" s="336"/>
      <c r="MQN982" s="337"/>
      <c r="MQO982" s="336"/>
      <c r="MQP982" s="337"/>
      <c r="MQQ982" s="336"/>
      <c r="MQR982" s="337"/>
      <c r="MQS982" s="336"/>
      <c r="MQT982" s="337"/>
      <c r="MQU982" s="336"/>
      <c r="MQV982" s="337"/>
      <c r="MQW982" s="336"/>
      <c r="MQX982" s="337"/>
      <c r="MQY982" s="336"/>
      <c r="MQZ982" s="337"/>
      <c r="MRA982" s="336"/>
      <c r="MRB982" s="337"/>
      <c r="MRC982" s="336"/>
      <c r="MRD982" s="337"/>
      <c r="MRE982" s="336"/>
      <c r="MRF982" s="337"/>
      <c r="MRG982" s="336"/>
      <c r="MRH982" s="337"/>
      <c r="MRI982" s="336"/>
      <c r="MRJ982" s="337"/>
      <c r="MRK982" s="336"/>
      <c r="MRL982" s="337"/>
      <c r="MRM982" s="336"/>
      <c r="MRN982" s="337"/>
      <c r="MRO982" s="336"/>
      <c r="MRP982" s="337"/>
      <c r="MRQ982" s="336"/>
      <c r="MRR982" s="337"/>
      <c r="MRS982" s="336"/>
      <c r="MRT982" s="337"/>
      <c r="MRU982" s="336"/>
      <c r="MRV982" s="337"/>
      <c r="MRW982" s="336"/>
      <c r="MRX982" s="337"/>
      <c r="MRY982" s="336"/>
      <c r="MRZ982" s="337"/>
      <c r="MSA982" s="336"/>
      <c r="MSB982" s="337"/>
      <c r="MSC982" s="336"/>
      <c r="MSD982" s="337"/>
      <c r="MSE982" s="336"/>
      <c r="MSF982" s="337"/>
      <c r="MSG982" s="336"/>
      <c r="MSH982" s="337"/>
      <c r="MSI982" s="336"/>
      <c r="MSJ982" s="337"/>
      <c r="MSK982" s="336"/>
      <c r="MSL982" s="337"/>
      <c r="MSM982" s="336"/>
      <c r="MSN982" s="337"/>
      <c r="MSO982" s="336"/>
      <c r="MSP982" s="337"/>
      <c r="MSQ982" s="336"/>
      <c r="MSR982" s="337"/>
      <c r="MSS982" s="336"/>
      <c r="MST982" s="337"/>
      <c r="MSU982" s="336"/>
      <c r="MSV982" s="337"/>
      <c r="MSW982" s="336"/>
      <c r="MSX982" s="337"/>
      <c r="MSY982" s="336"/>
      <c r="MSZ982" s="337"/>
      <c r="MTA982" s="336"/>
      <c r="MTB982" s="337"/>
      <c r="MTC982" s="336"/>
      <c r="MTD982" s="337"/>
      <c r="MTE982" s="336"/>
      <c r="MTF982" s="337"/>
      <c r="MTG982" s="336"/>
      <c r="MTH982" s="337"/>
      <c r="MTI982" s="336"/>
      <c r="MTJ982" s="337"/>
      <c r="MTK982" s="336"/>
      <c r="MTL982" s="337"/>
      <c r="MTM982" s="336"/>
      <c r="MTN982" s="337"/>
      <c r="MTO982" s="336"/>
      <c r="MTP982" s="337"/>
      <c r="MTQ982" s="336"/>
      <c r="MTR982" s="337"/>
      <c r="MTS982" s="336"/>
      <c r="MTT982" s="337"/>
      <c r="MTU982" s="336"/>
      <c r="MTV982" s="337"/>
      <c r="MTW982" s="336"/>
      <c r="MTX982" s="337"/>
      <c r="MTY982" s="336"/>
      <c r="MTZ982" s="337"/>
      <c r="MUA982" s="336"/>
      <c r="MUB982" s="337"/>
      <c r="MUC982" s="336"/>
      <c r="MUD982" s="337"/>
      <c r="MUE982" s="336"/>
      <c r="MUF982" s="337"/>
      <c r="MUG982" s="336"/>
      <c r="MUH982" s="337"/>
      <c r="MUI982" s="336"/>
      <c r="MUJ982" s="337"/>
      <c r="MUK982" s="336"/>
      <c r="MUL982" s="337"/>
      <c r="MUM982" s="336"/>
      <c r="MUN982" s="337"/>
      <c r="MUO982" s="336"/>
      <c r="MUP982" s="337"/>
      <c r="MUQ982" s="336"/>
      <c r="MUR982" s="337"/>
      <c r="MUS982" s="336"/>
      <c r="MUT982" s="337"/>
      <c r="MUU982" s="336"/>
      <c r="MUV982" s="337"/>
      <c r="MUW982" s="336"/>
      <c r="MUX982" s="337"/>
      <c r="MUY982" s="336"/>
      <c r="MUZ982" s="337"/>
      <c r="MVA982" s="336"/>
      <c r="MVB982" s="337"/>
      <c r="MVC982" s="336"/>
      <c r="MVD982" s="337"/>
      <c r="MVE982" s="336"/>
      <c r="MVF982" s="337"/>
      <c r="MVG982" s="336"/>
      <c r="MVH982" s="337"/>
      <c r="MVI982" s="336"/>
      <c r="MVJ982" s="337"/>
      <c r="MVK982" s="336"/>
      <c r="MVL982" s="337"/>
      <c r="MVM982" s="336"/>
      <c r="MVN982" s="337"/>
      <c r="MVO982" s="336"/>
      <c r="MVP982" s="337"/>
      <c r="MVQ982" s="336"/>
      <c r="MVR982" s="337"/>
      <c r="MVS982" s="336"/>
      <c r="MVT982" s="337"/>
      <c r="MVU982" s="336"/>
      <c r="MVV982" s="337"/>
      <c r="MVW982" s="336"/>
      <c r="MVX982" s="337"/>
      <c r="MVY982" s="336"/>
      <c r="MVZ982" s="337"/>
      <c r="MWA982" s="336"/>
      <c r="MWB982" s="337"/>
      <c r="MWC982" s="336"/>
      <c r="MWD982" s="337"/>
      <c r="MWE982" s="336"/>
      <c r="MWF982" s="337"/>
      <c r="MWG982" s="336"/>
      <c r="MWH982" s="337"/>
      <c r="MWI982" s="336"/>
      <c r="MWJ982" s="337"/>
      <c r="MWK982" s="336"/>
      <c r="MWL982" s="337"/>
      <c r="MWM982" s="336"/>
      <c r="MWN982" s="337"/>
      <c r="MWO982" s="336"/>
      <c r="MWP982" s="337"/>
      <c r="MWQ982" s="336"/>
      <c r="MWR982" s="337"/>
      <c r="MWS982" s="336"/>
      <c r="MWT982" s="337"/>
      <c r="MWU982" s="336"/>
      <c r="MWV982" s="337"/>
      <c r="MWW982" s="336"/>
      <c r="MWX982" s="337"/>
      <c r="MWY982" s="336"/>
      <c r="MWZ982" s="337"/>
      <c r="MXA982" s="336"/>
      <c r="MXB982" s="337"/>
      <c r="MXC982" s="336"/>
      <c r="MXD982" s="337"/>
      <c r="MXE982" s="336"/>
      <c r="MXF982" s="337"/>
      <c r="MXG982" s="336"/>
      <c r="MXH982" s="337"/>
      <c r="MXI982" s="336"/>
      <c r="MXJ982" s="337"/>
      <c r="MXK982" s="336"/>
      <c r="MXL982" s="337"/>
      <c r="MXM982" s="336"/>
      <c r="MXN982" s="337"/>
      <c r="MXO982" s="336"/>
      <c r="MXP982" s="337"/>
      <c r="MXQ982" s="336"/>
      <c r="MXR982" s="337"/>
      <c r="MXS982" s="336"/>
      <c r="MXT982" s="337"/>
      <c r="MXU982" s="336"/>
      <c r="MXV982" s="337"/>
      <c r="MXW982" s="336"/>
      <c r="MXX982" s="337"/>
      <c r="MXY982" s="336"/>
      <c r="MXZ982" s="337"/>
      <c r="MYA982" s="336"/>
      <c r="MYB982" s="337"/>
      <c r="MYC982" s="336"/>
      <c r="MYD982" s="337"/>
      <c r="MYE982" s="336"/>
      <c r="MYF982" s="337"/>
      <c r="MYG982" s="336"/>
      <c r="MYH982" s="337"/>
      <c r="MYI982" s="336"/>
      <c r="MYJ982" s="337"/>
      <c r="MYK982" s="336"/>
      <c r="MYL982" s="337"/>
      <c r="MYM982" s="336"/>
      <c r="MYN982" s="337"/>
      <c r="MYO982" s="336"/>
      <c r="MYP982" s="337"/>
      <c r="MYQ982" s="336"/>
      <c r="MYR982" s="337"/>
      <c r="MYS982" s="336"/>
      <c r="MYT982" s="337"/>
      <c r="MYU982" s="336"/>
      <c r="MYV982" s="337"/>
      <c r="MYW982" s="336"/>
      <c r="MYX982" s="337"/>
      <c r="MYY982" s="336"/>
      <c r="MYZ982" s="337"/>
      <c r="MZA982" s="336"/>
      <c r="MZB982" s="337"/>
      <c r="MZC982" s="336"/>
      <c r="MZD982" s="337"/>
      <c r="MZE982" s="336"/>
      <c r="MZF982" s="337"/>
      <c r="MZG982" s="336"/>
      <c r="MZH982" s="337"/>
      <c r="MZI982" s="336"/>
      <c r="MZJ982" s="337"/>
      <c r="MZK982" s="336"/>
      <c r="MZL982" s="337"/>
      <c r="MZM982" s="336"/>
      <c r="MZN982" s="337"/>
      <c r="MZO982" s="336"/>
      <c r="MZP982" s="337"/>
      <c r="MZQ982" s="336"/>
      <c r="MZR982" s="337"/>
      <c r="MZS982" s="336"/>
      <c r="MZT982" s="337"/>
      <c r="MZU982" s="336"/>
      <c r="MZV982" s="337"/>
      <c r="MZW982" s="336"/>
      <c r="MZX982" s="337"/>
      <c r="MZY982" s="336"/>
      <c r="MZZ982" s="337"/>
      <c r="NAA982" s="336"/>
      <c r="NAB982" s="337"/>
      <c r="NAC982" s="336"/>
      <c r="NAD982" s="337"/>
      <c r="NAE982" s="336"/>
      <c r="NAF982" s="337"/>
      <c r="NAG982" s="336"/>
      <c r="NAH982" s="337"/>
      <c r="NAI982" s="336"/>
      <c r="NAJ982" s="337"/>
      <c r="NAK982" s="336"/>
      <c r="NAL982" s="337"/>
      <c r="NAM982" s="336"/>
      <c r="NAN982" s="337"/>
      <c r="NAO982" s="336"/>
      <c r="NAP982" s="337"/>
      <c r="NAQ982" s="336"/>
      <c r="NAR982" s="337"/>
      <c r="NAS982" s="336"/>
      <c r="NAT982" s="337"/>
      <c r="NAU982" s="336"/>
      <c r="NAV982" s="337"/>
      <c r="NAW982" s="336"/>
      <c r="NAX982" s="337"/>
      <c r="NAY982" s="336"/>
      <c r="NAZ982" s="337"/>
      <c r="NBA982" s="336"/>
      <c r="NBB982" s="337"/>
      <c r="NBC982" s="336"/>
      <c r="NBD982" s="337"/>
      <c r="NBE982" s="336"/>
      <c r="NBF982" s="337"/>
      <c r="NBG982" s="336"/>
      <c r="NBH982" s="337"/>
      <c r="NBI982" s="336"/>
      <c r="NBJ982" s="337"/>
      <c r="NBK982" s="336"/>
      <c r="NBL982" s="337"/>
      <c r="NBM982" s="336"/>
      <c r="NBN982" s="337"/>
      <c r="NBO982" s="336"/>
      <c r="NBP982" s="337"/>
      <c r="NBQ982" s="336"/>
      <c r="NBR982" s="337"/>
      <c r="NBS982" s="336"/>
      <c r="NBT982" s="337"/>
      <c r="NBU982" s="336"/>
      <c r="NBV982" s="337"/>
      <c r="NBW982" s="336"/>
      <c r="NBX982" s="337"/>
      <c r="NBY982" s="336"/>
      <c r="NBZ982" s="337"/>
      <c r="NCA982" s="336"/>
      <c r="NCB982" s="337"/>
      <c r="NCC982" s="336"/>
      <c r="NCD982" s="337"/>
      <c r="NCE982" s="336"/>
      <c r="NCF982" s="337"/>
      <c r="NCG982" s="336"/>
      <c r="NCH982" s="337"/>
      <c r="NCI982" s="336"/>
      <c r="NCJ982" s="337"/>
      <c r="NCK982" s="336"/>
      <c r="NCL982" s="337"/>
      <c r="NCM982" s="336"/>
      <c r="NCN982" s="337"/>
      <c r="NCO982" s="336"/>
      <c r="NCP982" s="337"/>
      <c r="NCQ982" s="336"/>
      <c r="NCR982" s="337"/>
      <c r="NCS982" s="336"/>
      <c r="NCT982" s="337"/>
      <c r="NCU982" s="336"/>
      <c r="NCV982" s="337"/>
      <c r="NCW982" s="336"/>
      <c r="NCX982" s="337"/>
      <c r="NCY982" s="336"/>
      <c r="NCZ982" s="337"/>
      <c r="NDA982" s="336"/>
      <c r="NDB982" s="337"/>
      <c r="NDC982" s="336"/>
      <c r="NDD982" s="337"/>
      <c r="NDE982" s="336"/>
      <c r="NDF982" s="337"/>
      <c r="NDG982" s="336"/>
      <c r="NDH982" s="337"/>
      <c r="NDI982" s="336"/>
      <c r="NDJ982" s="337"/>
      <c r="NDK982" s="336"/>
      <c r="NDL982" s="337"/>
      <c r="NDM982" s="336"/>
      <c r="NDN982" s="337"/>
      <c r="NDO982" s="336"/>
      <c r="NDP982" s="337"/>
      <c r="NDQ982" s="336"/>
      <c r="NDR982" s="337"/>
      <c r="NDS982" s="336"/>
      <c r="NDT982" s="337"/>
      <c r="NDU982" s="336"/>
      <c r="NDV982" s="337"/>
      <c r="NDW982" s="336"/>
      <c r="NDX982" s="337"/>
      <c r="NDY982" s="336"/>
      <c r="NDZ982" s="337"/>
      <c r="NEA982" s="336"/>
      <c r="NEB982" s="337"/>
      <c r="NEC982" s="336"/>
      <c r="NED982" s="337"/>
      <c r="NEE982" s="336"/>
      <c r="NEF982" s="337"/>
      <c r="NEG982" s="336"/>
      <c r="NEH982" s="337"/>
      <c r="NEI982" s="336"/>
      <c r="NEJ982" s="337"/>
      <c r="NEK982" s="336"/>
      <c r="NEL982" s="337"/>
      <c r="NEM982" s="336"/>
      <c r="NEN982" s="337"/>
      <c r="NEO982" s="336"/>
      <c r="NEP982" s="337"/>
      <c r="NEQ982" s="336"/>
      <c r="NER982" s="337"/>
      <c r="NES982" s="336"/>
      <c r="NET982" s="337"/>
      <c r="NEU982" s="336"/>
      <c r="NEV982" s="337"/>
      <c r="NEW982" s="336"/>
      <c r="NEX982" s="337"/>
      <c r="NEY982" s="336"/>
      <c r="NEZ982" s="337"/>
      <c r="NFA982" s="336"/>
      <c r="NFB982" s="337"/>
      <c r="NFC982" s="336"/>
      <c r="NFD982" s="337"/>
      <c r="NFE982" s="336"/>
      <c r="NFF982" s="337"/>
      <c r="NFG982" s="336"/>
      <c r="NFH982" s="337"/>
      <c r="NFI982" s="336"/>
      <c r="NFJ982" s="337"/>
      <c r="NFK982" s="336"/>
      <c r="NFL982" s="337"/>
      <c r="NFM982" s="336"/>
      <c r="NFN982" s="337"/>
      <c r="NFO982" s="336"/>
      <c r="NFP982" s="337"/>
      <c r="NFQ982" s="336"/>
      <c r="NFR982" s="337"/>
      <c r="NFS982" s="336"/>
      <c r="NFT982" s="337"/>
      <c r="NFU982" s="336"/>
      <c r="NFV982" s="337"/>
      <c r="NFW982" s="336"/>
      <c r="NFX982" s="337"/>
      <c r="NFY982" s="336"/>
      <c r="NFZ982" s="337"/>
      <c r="NGA982" s="336"/>
      <c r="NGB982" s="337"/>
      <c r="NGC982" s="336"/>
      <c r="NGD982" s="337"/>
      <c r="NGE982" s="336"/>
      <c r="NGF982" s="337"/>
      <c r="NGG982" s="336"/>
      <c r="NGH982" s="337"/>
      <c r="NGI982" s="336"/>
      <c r="NGJ982" s="337"/>
      <c r="NGK982" s="336"/>
      <c r="NGL982" s="337"/>
      <c r="NGM982" s="336"/>
      <c r="NGN982" s="337"/>
      <c r="NGO982" s="336"/>
      <c r="NGP982" s="337"/>
      <c r="NGQ982" s="336"/>
      <c r="NGR982" s="337"/>
      <c r="NGS982" s="336"/>
      <c r="NGT982" s="337"/>
      <c r="NGU982" s="336"/>
      <c r="NGV982" s="337"/>
      <c r="NGW982" s="336"/>
      <c r="NGX982" s="337"/>
      <c r="NGY982" s="336"/>
      <c r="NGZ982" s="337"/>
      <c r="NHA982" s="336"/>
      <c r="NHB982" s="337"/>
      <c r="NHC982" s="336"/>
      <c r="NHD982" s="337"/>
      <c r="NHE982" s="336"/>
      <c r="NHF982" s="337"/>
      <c r="NHG982" s="336"/>
      <c r="NHH982" s="337"/>
      <c r="NHI982" s="336"/>
      <c r="NHJ982" s="337"/>
      <c r="NHK982" s="336"/>
      <c r="NHL982" s="337"/>
      <c r="NHM982" s="336"/>
      <c r="NHN982" s="337"/>
      <c r="NHO982" s="336"/>
      <c r="NHP982" s="337"/>
      <c r="NHQ982" s="336"/>
      <c r="NHR982" s="337"/>
      <c r="NHS982" s="336"/>
      <c r="NHT982" s="337"/>
      <c r="NHU982" s="336"/>
      <c r="NHV982" s="337"/>
      <c r="NHW982" s="336"/>
      <c r="NHX982" s="337"/>
      <c r="NHY982" s="336"/>
      <c r="NHZ982" s="337"/>
      <c r="NIA982" s="336"/>
      <c r="NIB982" s="337"/>
      <c r="NIC982" s="336"/>
      <c r="NID982" s="337"/>
      <c r="NIE982" s="336"/>
      <c r="NIF982" s="337"/>
      <c r="NIG982" s="336"/>
      <c r="NIH982" s="337"/>
      <c r="NII982" s="336"/>
      <c r="NIJ982" s="337"/>
      <c r="NIK982" s="336"/>
      <c r="NIL982" s="337"/>
      <c r="NIM982" s="336"/>
      <c r="NIN982" s="337"/>
      <c r="NIO982" s="336"/>
      <c r="NIP982" s="337"/>
      <c r="NIQ982" s="336"/>
      <c r="NIR982" s="337"/>
      <c r="NIS982" s="336"/>
      <c r="NIT982" s="337"/>
      <c r="NIU982" s="336"/>
      <c r="NIV982" s="337"/>
      <c r="NIW982" s="336"/>
      <c r="NIX982" s="337"/>
      <c r="NIY982" s="336"/>
      <c r="NIZ982" s="337"/>
      <c r="NJA982" s="336"/>
      <c r="NJB982" s="337"/>
      <c r="NJC982" s="336"/>
      <c r="NJD982" s="337"/>
      <c r="NJE982" s="336"/>
      <c r="NJF982" s="337"/>
      <c r="NJG982" s="336"/>
      <c r="NJH982" s="337"/>
      <c r="NJI982" s="336"/>
      <c r="NJJ982" s="337"/>
      <c r="NJK982" s="336"/>
      <c r="NJL982" s="337"/>
      <c r="NJM982" s="336"/>
      <c r="NJN982" s="337"/>
      <c r="NJO982" s="336"/>
      <c r="NJP982" s="337"/>
      <c r="NJQ982" s="336"/>
      <c r="NJR982" s="337"/>
      <c r="NJS982" s="336"/>
      <c r="NJT982" s="337"/>
      <c r="NJU982" s="336"/>
      <c r="NJV982" s="337"/>
      <c r="NJW982" s="336"/>
      <c r="NJX982" s="337"/>
      <c r="NJY982" s="336"/>
      <c r="NJZ982" s="337"/>
      <c r="NKA982" s="336"/>
      <c r="NKB982" s="337"/>
      <c r="NKC982" s="336"/>
      <c r="NKD982" s="337"/>
      <c r="NKE982" s="336"/>
      <c r="NKF982" s="337"/>
      <c r="NKG982" s="336"/>
      <c r="NKH982" s="337"/>
      <c r="NKI982" s="336"/>
      <c r="NKJ982" s="337"/>
      <c r="NKK982" s="336"/>
      <c r="NKL982" s="337"/>
      <c r="NKM982" s="336"/>
      <c r="NKN982" s="337"/>
      <c r="NKO982" s="336"/>
      <c r="NKP982" s="337"/>
      <c r="NKQ982" s="336"/>
      <c r="NKR982" s="337"/>
      <c r="NKS982" s="336"/>
      <c r="NKT982" s="337"/>
      <c r="NKU982" s="336"/>
      <c r="NKV982" s="337"/>
      <c r="NKW982" s="336"/>
      <c r="NKX982" s="337"/>
      <c r="NKY982" s="336"/>
      <c r="NKZ982" s="337"/>
      <c r="NLA982" s="336"/>
      <c r="NLB982" s="337"/>
      <c r="NLC982" s="336"/>
      <c r="NLD982" s="337"/>
      <c r="NLE982" s="336"/>
      <c r="NLF982" s="337"/>
      <c r="NLG982" s="336"/>
      <c r="NLH982" s="337"/>
      <c r="NLI982" s="336"/>
      <c r="NLJ982" s="337"/>
      <c r="NLK982" s="336"/>
      <c r="NLL982" s="337"/>
      <c r="NLM982" s="336"/>
      <c r="NLN982" s="337"/>
      <c r="NLO982" s="336"/>
      <c r="NLP982" s="337"/>
      <c r="NLQ982" s="336"/>
      <c r="NLR982" s="337"/>
      <c r="NLS982" s="336"/>
      <c r="NLT982" s="337"/>
      <c r="NLU982" s="336"/>
      <c r="NLV982" s="337"/>
      <c r="NLW982" s="336"/>
      <c r="NLX982" s="337"/>
      <c r="NLY982" s="336"/>
      <c r="NLZ982" s="337"/>
      <c r="NMA982" s="336"/>
      <c r="NMB982" s="337"/>
      <c r="NMC982" s="336"/>
      <c r="NMD982" s="337"/>
      <c r="NME982" s="336"/>
      <c r="NMF982" s="337"/>
      <c r="NMG982" s="336"/>
      <c r="NMH982" s="337"/>
      <c r="NMI982" s="336"/>
      <c r="NMJ982" s="337"/>
      <c r="NMK982" s="336"/>
      <c r="NML982" s="337"/>
      <c r="NMM982" s="336"/>
      <c r="NMN982" s="337"/>
      <c r="NMO982" s="336"/>
      <c r="NMP982" s="337"/>
      <c r="NMQ982" s="336"/>
      <c r="NMR982" s="337"/>
      <c r="NMS982" s="336"/>
      <c r="NMT982" s="337"/>
      <c r="NMU982" s="336"/>
      <c r="NMV982" s="337"/>
      <c r="NMW982" s="336"/>
      <c r="NMX982" s="337"/>
      <c r="NMY982" s="336"/>
      <c r="NMZ982" s="337"/>
      <c r="NNA982" s="336"/>
      <c r="NNB982" s="337"/>
      <c r="NNC982" s="336"/>
      <c r="NND982" s="337"/>
      <c r="NNE982" s="336"/>
      <c r="NNF982" s="337"/>
      <c r="NNG982" s="336"/>
      <c r="NNH982" s="337"/>
      <c r="NNI982" s="336"/>
      <c r="NNJ982" s="337"/>
      <c r="NNK982" s="336"/>
      <c r="NNL982" s="337"/>
      <c r="NNM982" s="336"/>
      <c r="NNN982" s="337"/>
      <c r="NNO982" s="336"/>
      <c r="NNP982" s="337"/>
      <c r="NNQ982" s="336"/>
      <c r="NNR982" s="337"/>
      <c r="NNS982" s="336"/>
      <c r="NNT982" s="337"/>
      <c r="NNU982" s="336"/>
      <c r="NNV982" s="337"/>
      <c r="NNW982" s="336"/>
      <c r="NNX982" s="337"/>
      <c r="NNY982" s="336"/>
      <c r="NNZ982" s="337"/>
      <c r="NOA982" s="336"/>
      <c r="NOB982" s="337"/>
      <c r="NOC982" s="336"/>
      <c r="NOD982" s="337"/>
      <c r="NOE982" s="336"/>
      <c r="NOF982" s="337"/>
      <c r="NOG982" s="336"/>
      <c r="NOH982" s="337"/>
      <c r="NOI982" s="336"/>
      <c r="NOJ982" s="337"/>
      <c r="NOK982" s="336"/>
      <c r="NOL982" s="337"/>
      <c r="NOM982" s="336"/>
      <c r="NON982" s="337"/>
      <c r="NOO982" s="336"/>
      <c r="NOP982" s="337"/>
      <c r="NOQ982" s="336"/>
      <c r="NOR982" s="337"/>
      <c r="NOS982" s="336"/>
      <c r="NOT982" s="337"/>
      <c r="NOU982" s="336"/>
      <c r="NOV982" s="337"/>
      <c r="NOW982" s="336"/>
      <c r="NOX982" s="337"/>
      <c r="NOY982" s="336"/>
      <c r="NOZ982" s="337"/>
      <c r="NPA982" s="336"/>
      <c r="NPB982" s="337"/>
      <c r="NPC982" s="336"/>
      <c r="NPD982" s="337"/>
      <c r="NPE982" s="336"/>
      <c r="NPF982" s="337"/>
      <c r="NPG982" s="336"/>
      <c r="NPH982" s="337"/>
      <c r="NPI982" s="336"/>
      <c r="NPJ982" s="337"/>
      <c r="NPK982" s="336"/>
      <c r="NPL982" s="337"/>
      <c r="NPM982" s="336"/>
      <c r="NPN982" s="337"/>
      <c r="NPO982" s="336"/>
      <c r="NPP982" s="337"/>
      <c r="NPQ982" s="336"/>
      <c r="NPR982" s="337"/>
      <c r="NPS982" s="336"/>
      <c r="NPT982" s="337"/>
      <c r="NPU982" s="336"/>
      <c r="NPV982" s="337"/>
      <c r="NPW982" s="336"/>
      <c r="NPX982" s="337"/>
      <c r="NPY982" s="336"/>
      <c r="NPZ982" s="337"/>
      <c r="NQA982" s="336"/>
      <c r="NQB982" s="337"/>
      <c r="NQC982" s="336"/>
      <c r="NQD982" s="337"/>
      <c r="NQE982" s="336"/>
      <c r="NQF982" s="337"/>
      <c r="NQG982" s="336"/>
      <c r="NQH982" s="337"/>
      <c r="NQI982" s="336"/>
      <c r="NQJ982" s="337"/>
      <c r="NQK982" s="336"/>
      <c r="NQL982" s="337"/>
      <c r="NQM982" s="336"/>
      <c r="NQN982" s="337"/>
      <c r="NQO982" s="336"/>
      <c r="NQP982" s="337"/>
      <c r="NQQ982" s="336"/>
      <c r="NQR982" s="337"/>
      <c r="NQS982" s="336"/>
      <c r="NQT982" s="337"/>
      <c r="NQU982" s="336"/>
      <c r="NQV982" s="337"/>
      <c r="NQW982" s="336"/>
      <c r="NQX982" s="337"/>
      <c r="NQY982" s="336"/>
      <c r="NQZ982" s="337"/>
      <c r="NRA982" s="336"/>
      <c r="NRB982" s="337"/>
      <c r="NRC982" s="336"/>
      <c r="NRD982" s="337"/>
      <c r="NRE982" s="336"/>
      <c r="NRF982" s="337"/>
      <c r="NRG982" s="336"/>
      <c r="NRH982" s="337"/>
      <c r="NRI982" s="336"/>
      <c r="NRJ982" s="337"/>
      <c r="NRK982" s="336"/>
      <c r="NRL982" s="337"/>
      <c r="NRM982" s="336"/>
      <c r="NRN982" s="337"/>
      <c r="NRO982" s="336"/>
      <c r="NRP982" s="337"/>
      <c r="NRQ982" s="336"/>
      <c r="NRR982" s="337"/>
      <c r="NRS982" s="336"/>
      <c r="NRT982" s="337"/>
      <c r="NRU982" s="336"/>
      <c r="NRV982" s="337"/>
      <c r="NRW982" s="336"/>
      <c r="NRX982" s="337"/>
      <c r="NRY982" s="336"/>
      <c r="NRZ982" s="337"/>
      <c r="NSA982" s="336"/>
      <c r="NSB982" s="337"/>
      <c r="NSC982" s="336"/>
      <c r="NSD982" s="337"/>
      <c r="NSE982" s="336"/>
      <c r="NSF982" s="337"/>
      <c r="NSG982" s="336"/>
      <c r="NSH982" s="337"/>
      <c r="NSI982" s="336"/>
      <c r="NSJ982" s="337"/>
      <c r="NSK982" s="336"/>
      <c r="NSL982" s="337"/>
      <c r="NSM982" s="336"/>
      <c r="NSN982" s="337"/>
      <c r="NSO982" s="336"/>
      <c r="NSP982" s="337"/>
      <c r="NSQ982" s="336"/>
      <c r="NSR982" s="337"/>
      <c r="NSS982" s="336"/>
      <c r="NST982" s="337"/>
      <c r="NSU982" s="336"/>
      <c r="NSV982" s="337"/>
      <c r="NSW982" s="336"/>
      <c r="NSX982" s="337"/>
      <c r="NSY982" s="336"/>
      <c r="NSZ982" s="337"/>
      <c r="NTA982" s="336"/>
      <c r="NTB982" s="337"/>
      <c r="NTC982" s="336"/>
      <c r="NTD982" s="337"/>
      <c r="NTE982" s="336"/>
      <c r="NTF982" s="337"/>
      <c r="NTG982" s="336"/>
      <c r="NTH982" s="337"/>
      <c r="NTI982" s="336"/>
      <c r="NTJ982" s="337"/>
      <c r="NTK982" s="336"/>
      <c r="NTL982" s="337"/>
      <c r="NTM982" s="336"/>
      <c r="NTN982" s="337"/>
      <c r="NTO982" s="336"/>
      <c r="NTP982" s="337"/>
      <c r="NTQ982" s="336"/>
      <c r="NTR982" s="337"/>
      <c r="NTS982" s="336"/>
      <c r="NTT982" s="337"/>
      <c r="NTU982" s="336"/>
      <c r="NTV982" s="337"/>
      <c r="NTW982" s="336"/>
      <c r="NTX982" s="337"/>
      <c r="NTY982" s="336"/>
      <c r="NTZ982" s="337"/>
      <c r="NUA982" s="336"/>
      <c r="NUB982" s="337"/>
      <c r="NUC982" s="336"/>
      <c r="NUD982" s="337"/>
      <c r="NUE982" s="336"/>
      <c r="NUF982" s="337"/>
      <c r="NUG982" s="336"/>
      <c r="NUH982" s="337"/>
      <c r="NUI982" s="336"/>
      <c r="NUJ982" s="337"/>
      <c r="NUK982" s="336"/>
      <c r="NUL982" s="337"/>
      <c r="NUM982" s="336"/>
      <c r="NUN982" s="337"/>
      <c r="NUO982" s="336"/>
      <c r="NUP982" s="337"/>
      <c r="NUQ982" s="336"/>
      <c r="NUR982" s="337"/>
      <c r="NUS982" s="336"/>
      <c r="NUT982" s="337"/>
      <c r="NUU982" s="336"/>
      <c r="NUV982" s="337"/>
      <c r="NUW982" s="336"/>
      <c r="NUX982" s="337"/>
      <c r="NUY982" s="336"/>
      <c r="NUZ982" s="337"/>
      <c r="NVA982" s="336"/>
      <c r="NVB982" s="337"/>
      <c r="NVC982" s="336"/>
      <c r="NVD982" s="337"/>
      <c r="NVE982" s="336"/>
      <c r="NVF982" s="337"/>
      <c r="NVG982" s="336"/>
      <c r="NVH982" s="337"/>
      <c r="NVI982" s="336"/>
      <c r="NVJ982" s="337"/>
      <c r="NVK982" s="336"/>
      <c r="NVL982" s="337"/>
      <c r="NVM982" s="336"/>
      <c r="NVN982" s="337"/>
      <c r="NVO982" s="336"/>
      <c r="NVP982" s="337"/>
      <c r="NVQ982" s="336"/>
      <c r="NVR982" s="337"/>
      <c r="NVS982" s="336"/>
      <c r="NVT982" s="337"/>
      <c r="NVU982" s="336"/>
      <c r="NVV982" s="337"/>
      <c r="NVW982" s="336"/>
      <c r="NVX982" s="337"/>
      <c r="NVY982" s="336"/>
      <c r="NVZ982" s="337"/>
      <c r="NWA982" s="336"/>
      <c r="NWB982" s="337"/>
      <c r="NWC982" s="336"/>
      <c r="NWD982" s="337"/>
      <c r="NWE982" s="336"/>
      <c r="NWF982" s="337"/>
      <c r="NWG982" s="336"/>
      <c r="NWH982" s="337"/>
      <c r="NWI982" s="336"/>
      <c r="NWJ982" s="337"/>
      <c r="NWK982" s="336"/>
      <c r="NWL982" s="337"/>
      <c r="NWM982" s="336"/>
      <c r="NWN982" s="337"/>
      <c r="NWO982" s="336"/>
      <c r="NWP982" s="337"/>
      <c r="NWQ982" s="336"/>
      <c r="NWR982" s="337"/>
      <c r="NWS982" s="336"/>
      <c r="NWT982" s="337"/>
      <c r="NWU982" s="336"/>
      <c r="NWV982" s="337"/>
      <c r="NWW982" s="336"/>
      <c r="NWX982" s="337"/>
      <c r="NWY982" s="336"/>
      <c r="NWZ982" s="337"/>
      <c r="NXA982" s="336"/>
      <c r="NXB982" s="337"/>
      <c r="NXC982" s="336"/>
      <c r="NXD982" s="337"/>
      <c r="NXE982" s="336"/>
      <c r="NXF982" s="337"/>
      <c r="NXG982" s="336"/>
      <c r="NXH982" s="337"/>
      <c r="NXI982" s="336"/>
      <c r="NXJ982" s="337"/>
      <c r="NXK982" s="336"/>
      <c r="NXL982" s="337"/>
      <c r="NXM982" s="336"/>
      <c r="NXN982" s="337"/>
      <c r="NXO982" s="336"/>
      <c r="NXP982" s="337"/>
      <c r="NXQ982" s="336"/>
      <c r="NXR982" s="337"/>
      <c r="NXS982" s="336"/>
      <c r="NXT982" s="337"/>
      <c r="NXU982" s="336"/>
      <c r="NXV982" s="337"/>
      <c r="NXW982" s="336"/>
      <c r="NXX982" s="337"/>
      <c r="NXY982" s="336"/>
      <c r="NXZ982" s="337"/>
      <c r="NYA982" s="336"/>
      <c r="NYB982" s="337"/>
      <c r="NYC982" s="336"/>
      <c r="NYD982" s="337"/>
      <c r="NYE982" s="336"/>
      <c r="NYF982" s="337"/>
      <c r="NYG982" s="336"/>
      <c r="NYH982" s="337"/>
      <c r="NYI982" s="336"/>
      <c r="NYJ982" s="337"/>
      <c r="NYK982" s="336"/>
      <c r="NYL982" s="337"/>
      <c r="NYM982" s="336"/>
      <c r="NYN982" s="337"/>
      <c r="NYO982" s="336"/>
      <c r="NYP982" s="337"/>
      <c r="NYQ982" s="336"/>
      <c r="NYR982" s="337"/>
      <c r="NYS982" s="336"/>
      <c r="NYT982" s="337"/>
      <c r="NYU982" s="336"/>
      <c r="NYV982" s="337"/>
      <c r="NYW982" s="336"/>
      <c r="NYX982" s="337"/>
      <c r="NYY982" s="336"/>
      <c r="NYZ982" s="337"/>
      <c r="NZA982" s="336"/>
      <c r="NZB982" s="337"/>
      <c r="NZC982" s="336"/>
      <c r="NZD982" s="337"/>
      <c r="NZE982" s="336"/>
      <c r="NZF982" s="337"/>
      <c r="NZG982" s="336"/>
      <c r="NZH982" s="337"/>
      <c r="NZI982" s="336"/>
      <c r="NZJ982" s="337"/>
      <c r="NZK982" s="336"/>
      <c r="NZL982" s="337"/>
      <c r="NZM982" s="336"/>
      <c r="NZN982" s="337"/>
      <c r="NZO982" s="336"/>
      <c r="NZP982" s="337"/>
      <c r="NZQ982" s="336"/>
      <c r="NZR982" s="337"/>
      <c r="NZS982" s="336"/>
      <c r="NZT982" s="337"/>
      <c r="NZU982" s="336"/>
      <c r="NZV982" s="337"/>
      <c r="NZW982" s="336"/>
      <c r="NZX982" s="337"/>
      <c r="NZY982" s="336"/>
      <c r="NZZ982" s="337"/>
      <c r="OAA982" s="336"/>
      <c r="OAB982" s="337"/>
      <c r="OAC982" s="336"/>
      <c r="OAD982" s="337"/>
      <c r="OAE982" s="336"/>
      <c r="OAF982" s="337"/>
      <c r="OAG982" s="336"/>
      <c r="OAH982" s="337"/>
      <c r="OAI982" s="336"/>
      <c r="OAJ982" s="337"/>
      <c r="OAK982" s="336"/>
      <c r="OAL982" s="337"/>
      <c r="OAM982" s="336"/>
      <c r="OAN982" s="337"/>
      <c r="OAO982" s="336"/>
      <c r="OAP982" s="337"/>
      <c r="OAQ982" s="336"/>
      <c r="OAR982" s="337"/>
      <c r="OAS982" s="336"/>
      <c r="OAT982" s="337"/>
      <c r="OAU982" s="336"/>
      <c r="OAV982" s="337"/>
      <c r="OAW982" s="336"/>
      <c r="OAX982" s="337"/>
      <c r="OAY982" s="336"/>
      <c r="OAZ982" s="337"/>
      <c r="OBA982" s="336"/>
      <c r="OBB982" s="337"/>
      <c r="OBC982" s="336"/>
      <c r="OBD982" s="337"/>
      <c r="OBE982" s="336"/>
      <c r="OBF982" s="337"/>
      <c r="OBG982" s="336"/>
      <c r="OBH982" s="337"/>
      <c r="OBI982" s="336"/>
      <c r="OBJ982" s="337"/>
      <c r="OBK982" s="336"/>
      <c r="OBL982" s="337"/>
      <c r="OBM982" s="336"/>
      <c r="OBN982" s="337"/>
      <c r="OBO982" s="336"/>
      <c r="OBP982" s="337"/>
      <c r="OBQ982" s="336"/>
      <c r="OBR982" s="337"/>
      <c r="OBS982" s="336"/>
      <c r="OBT982" s="337"/>
      <c r="OBU982" s="336"/>
      <c r="OBV982" s="337"/>
      <c r="OBW982" s="336"/>
      <c r="OBX982" s="337"/>
      <c r="OBY982" s="336"/>
      <c r="OBZ982" s="337"/>
      <c r="OCA982" s="336"/>
      <c r="OCB982" s="337"/>
      <c r="OCC982" s="336"/>
      <c r="OCD982" s="337"/>
      <c r="OCE982" s="336"/>
      <c r="OCF982" s="337"/>
      <c r="OCG982" s="336"/>
      <c r="OCH982" s="337"/>
      <c r="OCI982" s="336"/>
      <c r="OCJ982" s="337"/>
      <c r="OCK982" s="336"/>
      <c r="OCL982" s="337"/>
      <c r="OCM982" s="336"/>
      <c r="OCN982" s="337"/>
      <c r="OCO982" s="336"/>
      <c r="OCP982" s="337"/>
      <c r="OCQ982" s="336"/>
      <c r="OCR982" s="337"/>
      <c r="OCS982" s="336"/>
      <c r="OCT982" s="337"/>
      <c r="OCU982" s="336"/>
      <c r="OCV982" s="337"/>
      <c r="OCW982" s="336"/>
      <c r="OCX982" s="337"/>
      <c r="OCY982" s="336"/>
      <c r="OCZ982" s="337"/>
      <c r="ODA982" s="336"/>
      <c r="ODB982" s="337"/>
      <c r="ODC982" s="336"/>
      <c r="ODD982" s="337"/>
      <c r="ODE982" s="336"/>
      <c r="ODF982" s="337"/>
      <c r="ODG982" s="336"/>
      <c r="ODH982" s="337"/>
      <c r="ODI982" s="336"/>
      <c r="ODJ982" s="337"/>
      <c r="ODK982" s="336"/>
      <c r="ODL982" s="337"/>
      <c r="ODM982" s="336"/>
      <c r="ODN982" s="337"/>
      <c r="ODO982" s="336"/>
      <c r="ODP982" s="337"/>
      <c r="ODQ982" s="336"/>
      <c r="ODR982" s="337"/>
      <c r="ODS982" s="336"/>
      <c r="ODT982" s="337"/>
      <c r="ODU982" s="336"/>
      <c r="ODV982" s="337"/>
      <c r="ODW982" s="336"/>
      <c r="ODX982" s="337"/>
      <c r="ODY982" s="336"/>
      <c r="ODZ982" s="337"/>
      <c r="OEA982" s="336"/>
      <c r="OEB982" s="337"/>
      <c r="OEC982" s="336"/>
      <c r="OED982" s="337"/>
      <c r="OEE982" s="336"/>
      <c r="OEF982" s="337"/>
      <c r="OEG982" s="336"/>
      <c r="OEH982" s="337"/>
      <c r="OEI982" s="336"/>
      <c r="OEJ982" s="337"/>
      <c r="OEK982" s="336"/>
      <c r="OEL982" s="337"/>
      <c r="OEM982" s="336"/>
      <c r="OEN982" s="337"/>
      <c r="OEO982" s="336"/>
      <c r="OEP982" s="337"/>
      <c r="OEQ982" s="336"/>
      <c r="OER982" s="337"/>
      <c r="OES982" s="336"/>
      <c r="OET982" s="337"/>
      <c r="OEU982" s="336"/>
      <c r="OEV982" s="337"/>
      <c r="OEW982" s="336"/>
      <c r="OEX982" s="337"/>
      <c r="OEY982" s="336"/>
      <c r="OEZ982" s="337"/>
      <c r="OFA982" s="336"/>
      <c r="OFB982" s="337"/>
      <c r="OFC982" s="336"/>
      <c r="OFD982" s="337"/>
      <c r="OFE982" s="336"/>
      <c r="OFF982" s="337"/>
      <c r="OFG982" s="336"/>
      <c r="OFH982" s="337"/>
      <c r="OFI982" s="336"/>
      <c r="OFJ982" s="337"/>
      <c r="OFK982" s="336"/>
      <c r="OFL982" s="337"/>
      <c r="OFM982" s="336"/>
      <c r="OFN982" s="337"/>
      <c r="OFO982" s="336"/>
      <c r="OFP982" s="337"/>
      <c r="OFQ982" s="336"/>
      <c r="OFR982" s="337"/>
      <c r="OFS982" s="336"/>
      <c r="OFT982" s="337"/>
      <c r="OFU982" s="336"/>
      <c r="OFV982" s="337"/>
      <c r="OFW982" s="336"/>
      <c r="OFX982" s="337"/>
      <c r="OFY982" s="336"/>
      <c r="OFZ982" s="337"/>
      <c r="OGA982" s="336"/>
      <c r="OGB982" s="337"/>
      <c r="OGC982" s="336"/>
      <c r="OGD982" s="337"/>
      <c r="OGE982" s="336"/>
      <c r="OGF982" s="337"/>
      <c r="OGG982" s="336"/>
      <c r="OGH982" s="337"/>
      <c r="OGI982" s="336"/>
      <c r="OGJ982" s="337"/>
      <c r="OGK982" s="336"/>
      <c r="OGL982" s="337"/>
      <c r="OGM982" s="336"/>
      <c r="OGN982" s="337"/>
      <c r="OGO982" s="336"/>
      <c r="OGP982" s="337"/>
      <c r="OGQ982" s="336"/>
      <c r="OGR982" s="337"/>
      <c r="OGS982" s="336"/>
      <c r="OGT982" s="337"/>
      <c r="OGU982" s="336"/>
      <c r="OGV982" s="337"/>
      <c r="OGW982" s="336"/>
      <c r="OGX982" s="337"/>
      <c r="OGY982" s="336"/>
      <c r="OGZ982" s="337"/>
      <c r="OHA982" s="336"/>
      <c r="OHB982" s="337"/>
      <c r="OHC982" s="336"/>
      <c r="OHD982" s="337"/>
      <c r="OHE982" s="336"/>
      <c r="OHF982" s="337"/>
      <c r="OHG982" s="336"/>
      <c r="OHH982" s="337"/>
      <c r="OHI982" s="336"/>
      <c r="OHJ982" s="337"/>
      <c r="OHK982" s="336"/>
      <c r="OHL982" s="337"/>
      <c r="OHM982" s="336"/>
      <c r="OHN982" s="337"/>
      <c r="OHO982" s="336"/>
      <c r="OHP982" s="337"/>
      <c r="OHQ982" s="336"/>
      <c r="OHR982" s="337"/>
      <c r="OHS982" s="336"/>
      <c r="OHT982" s="337"/>
      <c r="OHU982" s="336"/>
      <c r="OHV982" s="337"/>
      <c r="OHW982" s="336"/>
      <c r="OHX982" s="337"/>
      <c r="OHY982" s="336"/>
      <c r="OHZ982" s="337"/>
      <c r="OIA982" s="336"/>
      <c r="OIB982" s="337"/>
      <c r="OIC982" s="336"/>
      <c r="OID982" s="337"/>
      <c r="OIE982" s="336"/>
      <c r="OIF982" s="337"/>
      <c r="OIG982" s="336"/>
      <c r="OIH982" s="337"/>
      <c r="OII982" s="336"/>
      <c r="OIJ982" s="337"/>
      <c r="OIK982" s="336"/>
      <c r="OIL982" s="337"/>
      <c r="OIM982" s="336"/>
      <c r="OIN982" s="337"/>
      <c r="OIO982" s="336"/>
      <c r="OIP982" s="337"/>
      <c r="OIQ982" s="336"/>
      <c r="OIR982" s="337"/>
      <c r="OIS982" s="336"/>
      <c r="OIT982" s="337"/>
      <c r="OIU982" s="336"/>
      <c r="OIV982" s="337"/>
      <c r="OIW982" s="336"/>
      <c r="OIX982" s="337"/>
      <c r="OIY982" s="336"/>
      <c r="OIZ982" s="337"/>
      <c r="OJA982" s="336"/>
      <c r="OJB982" s="337"/>
      <c r="OJC982" s="336"/>
      <c r="OJD982" s="337"/>
      <c r="OJE982" s="336"/>
      <c r="OJF982" s="337"/>
      <c r="OJG982" s="336"/>
      <c r="OJH982" s="337"/>
      <c r="OJI982" s="336"/>
      <c r="OJJ982" s="337"/>
      <c r="OJK982" s="336"/>
      <c r="OJL982" s="337"/>
      <c r="OJM982" s="336"/>
      <c r="OJN982" s="337"/>
      <c r="OJO982" s="336"/>
      <c r="OJP982" s="337"/>
      <c r="OJQ982" s="336"/>
      <c r="OJR982" s="337"/>
      <c r="OJS982" s="336"/>
      <c r="OJT982" s="337"/>
      <c r="OJU982" s="336"/>
      <c r="OJV982" s="337"/>
      <c r="OJW982" s="336"/>
      <c r="OJX982" s="337"/>
      <c r="OJY982" s="336"/>
      <c r="OJZ982" s="337"/>
      <c r="OKA982" s="336"/>
      <c r="OKB982" s="337"/>
      <c r="OKC982" s="336"/>
      <c r="OKD982" s="337"/>
      <c r="OKE982" s="336"/>
      <c r="OKF982" s="337"/>
      <c r="OKG982" s="336"/>
      <c r="OKH982" s="337"/>
      <c r="OKI982" s="336"/>
      <c r="OKJ982" s="337"/>
      <c r="OKK982" s="336"/>
      <c r="OKL982" s="337"/>
      <c r="OKM982" s="336"/>
      <c r="OKN982" s="337"/>
      <c r="OKO982" s="336"/>
      <c r="OKP982" s="337"/>
      <c r="OKQ982" s="336"/>
      <c r="OKR982" s="337"/>
      <c r="OKS982" s="336"/>
      <c r="OKT982" s="337"/>
      <c r="OKU982" s="336"/>
      <c r="OKV982" s="337"/>
      <c r="OKW982" s="336"/>
      <c r="OKX982" s="337"/>
      <c r="OKY982" s="336"/>
      <c r="OKZ982" s="337"/>
      <c r="OLA982" s="336"/>
      <c r="OLB982" s="337"/>
      <c r="OLC982" s="336"/>
      <c r="OLD982" s="337"/>
      <c r="OLE982" s="336"/>
      <c r="OLF982" s="337"/>
      <c r="OLG982" s="336"/>
      <c r="OLH982" s="337"/>
      <c r="OLI982" s="336"/>
      <c r="OLJ982" s="337"/>
      <c r="OLK982" s="336"/>
      <c r="OLL982" s="337"/>
      <c r="OLM982" s="336"/>
      <c r="OLN982" s="337"/>
      <c r="OLO982" s="336"/>
      <c r="OLP982" s="337"/>
      <c r="OLQ982" s="336"/>
      <c r="OLR982" s="337"/>
      <c r="OLS982" s="336"/>
      <c r="OLT982" s="337"/>
      <c r="OLU982" s="336"/>
      <c r="OLV982" s="337"/>
      <c r="OLW982" s="336"/>
      <c r="OLX982" s="337"/>
      <c r="OLY982" s="336"/>
      <c r="OLZ982" s="337"/>
      <c r="OMA982" s="336"/>
      <c r="OMB982" s="337"/>
      <c r="OMC982" s="336"/>
      <c r="OMD982" s="337"/>
      <c r="OME982" s="336"/>
      <c r="OMF982" s="337"/>
      <c r="OMG982" s="336"/>
      <c r="OMH982" s="337"/>
      <c r="OMI982" s="336"/>
      <c r="OMJ982" s="337"/>
      <c r="OMK982" s="336"/>
      <c r="OML982" s="337"/>
      <c r="OMM982" s="336"/>
      <c r="OMN982" s="337"/>
      <c r="OMO982" s="336"/>
      <c r="OMP982" s="337"/>
      <c r="OMQ982" s="336"/>
      <c r="OMR982" s="337"/>
      <c r="OMS982" s="336"/>
      <c r="OMT982" s="337"/>
      <c r="OMU982" s="336"/>
      <c r="OMV982" s="337"/>
      <c r="OMW982" s="336"/>
      <c r="OMX982" s="337"/>
      <c r="OMY982" s="336"/>
      <c r="OMZ982" s="337"/>
      <c r="ONA982" s="336"/>
      <c r="ONB982" s="337"/>
      <c r="ONC982" s="336"/>
      <c r="OND982" s="337"/>
      <c r="ONE982" s="336"/>
      <c r="ONF982" s="337"/>
      <c r="ONG982" s="336"/>
      <c r="ONH982" s="337"/>
      <c r="ONI982" s="336"/>
      <c r="ONJ982" s="337"/>
      <c r="ONK982" s="336"/>
      <c r="ONL982" s="337"/>
      <c r="ONM982" s="336"/>
      <c r="ONN982" s="337"/>
      <c r="ONO982" s="336"/>
      <c r="ONP982" s="337"/>
      <c r="ONQ982" s="336"/>
      <c r="ONR982" s="337"/>
      <c r="ONS982" s="336"/>
      <c r="ONT982" s="337"/>
      <c r="ONU982" s="336"/>
      <c r="ONV982" s="337"/>
      <c r="ONW982" s="336"/>
      <c r="ONX982" s="337"/>
      <c r="ONY982" s="336"/>
      <c r="ONZ982" s="337"/>
      <c r="OOA982" s="336"/>
      <c r="OOB982" s="337"/>
      <c r="OOC982" s="336"/>
      <c r="OOD982" s="337"/>
      <c r="OOE982" s="336"/>
      <c r="OOF982" s="337"/>
      <c r="OOG982" s="336"/>
      <c r="OOH982" s="337"/>
      <c r="OOI982" s="336"/>
      <c r="OOJ982" s="337"/>
      <c r="OOK982" s="336"/>
      <c r="OOL982" s="337"/>
      <c r="OOM982" s="336"/>
      <c r="OON982" s="337"/>
      <c r="OOO982" s="336"/>
      <c r="OOP982" s="337"/>
      <c r="OOQ982" s="336"/>
      <c r="OOR982" s="337"/>
      <c r="OOS982" s="336"/>
      <c r="OOT982" s="337"/>
      <c r="OOU982" s="336"/>
      <c r="OOV982" s="337"/>
      <c r="OOW982" s="336"/>
      <c r="OOX982" s="337"/>
      <c r="OOY982" s="336"/>
      <c r="OOZ982" s="337"/>
      <c r="OPA982" s="336"/>
      <c r="OPB982" s="337"/>
      <c r="OPC982" s="336"/>
      <c r="OPD982" s="337"/>
      <c r="OPE982" s="336"/>
      <c r="OPF982" s="337"/>
      <c r="OPG982" s="336"/>
      <c r="OPH982" s="337"/>
      <c r="OPI982" s="336"/>
      <c r="OPJ982" s="337"/>
      <c r="OPK982" s="336"/>
      <c r="OPL982" s="337"/>
      <c r="OPM982" s="336"/>
      <c r="OPN982" s="337"/>
      <c r="OPO982" s="336"/>
      <c r="OPP982" s="337"/>
      <c r="OPQ982" s="336"/>
      <c r="OPR982" s="337"/>
      <c r="OPS982" s="336"/>
      <c r="OPT982" s="337"/>
      <c r="OPU982" s="336"/>
      <c r="OPV982" s="337"/>
      <c r="OPW982" s="336"/>
      <c r="OPX982" s="337"/>
      <c r="OPY982" s="336"/>
      <c r="OPZ982" s="337"/>
      <c r="OQA982" s="336"/>
      <c r="OQB982" s="337"/>
      <c r="OQC982" s="336"/>
      <c r="OQD982" s="337"/>
      <c r="OQE982" s="336"/>
      <c r="OQF982" s="337"/>
      <c r="OQG982" s="336"/>
      <c r="OQH982" s="337"/>
      <c r="OQI982" s="336"/>
      <c r="OQJ982" s="337"/>
      <c r="OQK982" s="336"/>
      <c r="OQL982" s="337"/>
      <c r="OQM982" s="336"/>
      <c r="OQN982" s="337"/>
      <c r="OQO982" s="336"/>
      <c r="OQP982" s="337"/>
      <c r="OQQ982" s="336"/>
      <c r="OQR982" s="337"/>
      <c r="OQS982" s="336"/>
      <c r="OQT982" s="337"/>
      <c r="OQU982" s="336"/>
      <c r="OQV982" s="337"/>
      <c r="OQW982" s="336"/>
      <c r="OQX982" s="337"/>
      <c r="OQY982" s="336"/>
      <c r="OQZ982" s="337"/>
      <c r="ORA982" s="336"/>
      <c r="ORB982" s="337"/>
      <c r="ORC982" s="336"/>
      <c r="ORD982" s="337"/>
      <c r="ORE982" s="336"/>
      <c r="ORF982" s="337"/>
      <c r="ORG982" s="336"/>
      <c r="ORH982" s="337"/>
      <c r="ORI982" s="336"/>
      <c r="ORJ982" s="337"/>
      <c r="ORK982" s="336"/>
      <c r="ORL982" s="337"/>
      <c r="ORM982" s="336"/>
      <c r="ORN982" s="337"/>
      <c r="ORO982" s="336"/>
      <c r="ORP982" s="337"/>
      <c r="ORQ982" s="336"/>
      <c r="ORR982" s="337"/>
      <c r="ORS982" s="336"/>
      <c r="ORT982" s="337"/>
      <c r="ORU982" s="336"/>
      <c r="ORV982" s="337"/>
      <c r="ORW982" s="336"/>
      <c r="ORX982" s="337"/>
      <c r="ORY982" s="336"/>
      <c r="ORZ982" s="337"/>
      <c r="OSA982" s="336"/>
      <c r="OSB982" s="337"/>
      <c r="OSC982" s="336"/>
      <c r="OSD982" s="337"/>
      <c r="OSE982" s="336"/>
      <c r="OSF982" s="337"/>
      <c r="OSG982" s="336"/>
      <c r="OSH982" s="337"/>
      <c r="OSI982" s="336"/>
      <c r="OSJ982" s="337"/>
      <c r="OSK982" s="336"/>
      <c r="OSL982" s="337"/>
      <c r="OSM982" s="336"/>
      <c r="OSN982" s="337"/>
      <c r="OSO982" s="336"/>
      <c r="OSP982" s="337"/>
      <c r="OSQ982" s="336"/>
      <c r="OSR982" s="337"/>
      <c r="OSS982" s="336"/>
      <c r="OST982" s="337"/>
      <c r="OSU982" s="336"/>
      <c r="OSV982" s="337"/>
      <c r="OSW982" s="336"/>
      <c r="OSX982" s="337"/>
      <c r="OSY982" s="336"/>
      <c r="OSZ982" s="337"/>
      <c r="OTA982" s="336"/>
      <c r="OTB982" s="337"/>
      <c r="OTC982" s="336"/>
      <c r="OTD982" s="337"/>
      <c r="OTE982" s="336"/>
      <c r="OTF982" s="337"/>
      <c r="OTG982" s="336"/>
      <c r="OTH982" s="337"/>
      <c r="OTI982" s="336"/>
      <c r="OTJ982" s="337"/>
      <c r="OTK982" s="336"/>
      <c r="OTL982" s="337"/>
      <c r="OTM982" s="336"/>
      <c r="OTN982" s="337"/>
      <c r="OTO982" s="336"/>
      <c r="OTP982" s="337"/>
      <c r="OTQ982" s="336"/>
      <c r="OTR982" s="337"/>
      <c r="OTS982" s="336"/>
      <c r="OTT982" s="337"/>
      <c r="OTU982" s="336"/>
      <c r="OTV982" s="337"/>
      <c r="OTW982" s="336"/>
      <c r="OTX982" s="337"/>
      <c r="OTY982" s="336"/>
      <c r="OTZ982" s="337"/>
      <c r="OUA982" s="336"/>
      <c r="OUB982" s="337"/>
      <c r="OUC982" s="336"/>
      <c r="OUD982" s="337"/>
      <c r="OUE982" s="336"/>
      <c r="OUF982" s="337"/>
      <c r="OUG982" s="336"/>
      <c r="OUH982" s="337"/>
      <c r="OUI982" s="336"/>
      <c r="OUJ982" s="337"/>
      <c r="OUK982" s="336"/>
      <c r="OUL982" s="337"/>
      <c r="OUM982" s="336"/>
      <c r="OUN982" s="337"/>
      <c r="OUO982" s="336"/>
      <c r="OUP982" s="337"/>
      <c r="OUQ982" s="336"/>
      <c r="OUR982" s="337"/>
      <c r="OUS982" s="336"/>
      <c r="OUT982" s="337"/>
      <c r="OUU982" s="336"/>
      <c r="OUV982" s="337"/>
      <c r="OUW982" s="336"/>
      <c r="OUX982" s="337"/>
      <c r="OUY982" s="336"/>
      <c r="OUZ982" s="337"/>
      <c r="OVA982" s="336"/>
      <c r="OVB982" s="337"/>
      <c r="OVC982" s="336"/>
      <c r="OVD982" s="337"/>
      <c r="OVE982" s="336"/>
      <c r="OVF982" s="337"/>
      <c r="OVG982" s="336"/>
      <c r="OVH982" s="337"/>
      <c r="OVI982" s="336"/>
      <c r="OVJ982" s="337"/>
      <c r="OVK982" s="336"/>
      <c r="OVL982" s="337"/>
      <c r="OVM982" s="336"/>
      <c r="OVN982" s="337"/>
      <c r="OVO982" s="336"/>
      <c r="OVP982" s="337"/>
      <c r="OVQ982" s="336"/>
      <c r="OVR982" s="337"/>
      <c r="OVS982" s="336"/>
      <c r="OVT982" s="337"/>
      <c r="OVU982" s="336"/>
      <c r="OVV982" s="337"/>
      <c r="OVW982" s="336"/>
      <c r="OVX982" s="337"/>
      <c r="OVY982" s="336"/>
      <c r="OVZ982" s="337"/>
      <c r="OWA982" s="336"/>
      <c r="OWB982" s="337"/>
      <c r="OWC982" s="336"/>
      <c r="OWD982" s="337"/>
      <c r="OWE982" s="336"/>
      <c r="OWF982" s="337"/>
      <c r="OWG982" s="336"/>
      <c r="OWH982" s="337"/>
      <c r="OWI982" s="336"/>
      <c r="OWJ982" s="337"/>
      <c r="OWK982" s="336"/>
      <c r="OWL982" s="337"/>
      <c r="OWM982" s="336"/>
      <c r="OWN982" s="337"/>
      <c r="OWO982" s="336"/>
      <c r="OWP982" s="337"/>
      <c r="OWQ982" s="336"/>
      <c r="OWR982" s="337"/>
      <c r="OWS982" s="336"/>
      <c r="OWT982" s="337"/>
      <c r="OWU982" s="336"/>
      <c r="OWV982" s="337"/>
      <c r="OWW982" s="336"/>
      <c r="OWX982" s="337"/>
      <c r="OWY982" s="336"/>
      <c r="OWZ982" s="337"/>
      <c r="OXA982" s="336"/>
      <c r="OXB982" s="337"/>
      <c r="OXC982" s="336"/>
      <c r="OXD982" s="337"/>
      <c r="OXE982" s="336"/>
      <c r="OXF982" s="337"/>
      <c r="OXG982" s="336"/>
      <c r="OXH982" s="337"/>
      <c r="OXI982" s="336"/>
      <c r="OXJ982" s="337"/>
      <c r="OXK982" s="336"/>
      <c r="OXL982" s="337"/>
      <c r="OXM982" s="336"/>
      <c r="OXN982" s="337"/>
      <c r="OXO982" s="336"/>
      <c r="OXP982" s="337"/>
      <c r="OXQ982" s="336"/>
      <c r="OXR982" s="337"/>
      <c r="OXS982" s="336"/>
      <c r="OXT982" s="337"/>
      <c r="OXU982" s="336"/>
      <c r="OXV982" s="337"/>
      <c r="OXW982" s="336"/>
      <c r="OXX982" s="337"/>
      <c r="OXY982" s="336"/>
      <c r="OXZ982" s="337"/>
      <c r="OYA982" s="336"/>
      <c r="OYB982" s="337"/>
      <c r="OYC982" s="336"/>
      <c r="OYD982" s="337"/>
      <c r="OYE982" s="336"/>
      <c r="OYF982" s="337"/>
      <c r="OYG982" s="336"/>
      <c r="OYH982" s="337"/>
      <c r="OYI982" s="336"/>
      <c r="OYJ982" s="337"/>
      <c r="OYK982" s="336"/>
      <c r="OYL982" s="337"/>
      <c r="OYM982" s="336"/>
      <c r="OYN982" s="337"/>
      <c r="OYO982" s="336"/>
      <c r="OYP982" s="337"/>
      <c r="OYQ982" s="336"/>
      <c r="OYR982" s="337"/>
      <c r="OYS982" s="336"/>
      <c r="OYT982" s="337"/>
      <c r="OYU982" s="336"/>
      <c r="OYV982" s="337"/>
      <c r="OYW982" s="336"/>
      <c r="OYX982" s="337"/>
      <c r="OYY982" s="336"/>
      <c r="OYZ982" s="337"/>
      <c r="OZA982" s="336"/>
      <c r="OZB982" s="337"/>
      <c r="OZC982" s="336"/>
      <c r="OZD982" s="337"/>
      <c r="OZE982" s="336"/>
      <c r="OZF982" s="337"/>
      <c r="OZG982" s="336"/>
      <c r="OZH982" s="337"/>
      <c r="OZI982" s="336"/>
      <c r="OZJ982" s="337"/>
      <c r="OZK982" s="336"/>
      <c r="OZL982" s="337"/>
      <c r="OZM982" s="336"/>
      <c r="OZN982" s="337"/>
      <c r="OZO982" s="336"/>
      <c r="OZP982" s="337"/>
      <c r="OZQ982" s="336"/>
      <c r="OZR982" s="337"/>
      <c r="OZS982" s="336"/>
      <c r="OZT982" s="337"/>
      <c r="OZU982" s="336"/>
      <c r="OZV982" s="337"/>
      <c r="OZW982" s="336"/>
      <c r="OZX982" s="337"/>
      <c r="OZY982" s="336"/>
      <c r="OZZ982" s="337"/>
      <c r="PAA982" s="336"/>
      <c r="PAB982" s="337"/>
      <c r="PAC982" s="336"/>
      <c r="PAD982" s="337"/>
      <c r="PAE982" s="336"/>
      <c r="PAF982" s="337"/>
      <c r="PAG982" s="336"/>
      <c r="PAH982" s="337"/>
      <c r="PAI982" s="336"/>
      <c r="PAJ982" s="337"/>
      <c r="PAK982" s="336"/>
      <c r="PAL982" s="337"/>
      <c r="PAM982" s="336"/>
      <c r="PAN982" s="337"/>
      <c r="PAO982" s="336"/>
      <c r="PAP982" s="337"/>
      <c r="PAQ982" s="336"/>
      <c r="PAR982" s="337"/>
      <c r="PAS982" s="336"/>
      <c r="PAT982" s="337"/>
      <c r="PAU982" s="336"/>
      <c r="PAV982" s="337"/>
      <c r="PAW982" s="336"/>
      <c r="PAX982" s="337"/>
      <c r="PAY982" s="336"/>
      <c r="PAZ982" s="337"/>
      <c r="PBA982" s="336"/>
      <c r="PBB982" s="337"/>
      <c r="PBC982" s="336"/>
      <c r="PBD982" s="337"/>
      <c r="PBE982" s="336"/>
      <c r="PBF982" s="337"/>
      <c r="PBG982" s="336"/>
      <c r="PBH982" s="337"/>
      <c r="PBI982" s="336"/>
      <c r="PBJ982" s="337"/>
      <c r="PBK982" s="336"/>
      <c r="PBL982" s="337"/>
      <c r="PBM982" s="336"/>
      <c r="PBN982" s="337"/>
      <c r="PBO982" s="336"/>
      <c r="PBP982" s="337"/>
      <c r="PBQ982" s="336"/>
      <c r="PBR982" s="337"/>
      <c r="PBS982" s="336"/>
      <c r="PBT982" s="337"/>
      <c r="PBU982" s="336"/>
      <c r="PBV982" s="337"/>
      <c r="PBW982" s="336"/>
      <c r="PBX982" s="337"/>
      <c r="PBY982" s="336"/>
      <c r="PBZ982" s="337"/>
      <c r="PCA982" s="336"/>
      <c r="PCB982" s="337"/>
      <c r="PCC982" s="336"/>
      <c r="PCD982" s="337"/>
      <c r="PCE982" s="336"/>
      <c r="PCF982" s="337"/>
      <c r="PCG982" s="336"/>
      <c r="PCH982" s="337"/>
      <c r="PCI982" s="336"/>
      <c r="PCJ982" s="337"/>
      <c r="PCK982" s="336"/>
      <c r="PCL982" s="337"/>
      <c r="PCM982" s="336"/>
      <c r="PCN982" s="337"/>
      <c r="PCO982" s="336"/>
      <c r="PCP982" s="337"/>
      <c r="PCQ982" s="336"/>
      <c r="PCR982" s="337"/>
      <c r="PCS982" s="336"/>
      <c r="PCT982" s="337"/>
      <c r="PCU982" s="336"/>
      <c r="PCV982" s="337"/>
      <c r="PCW982" s="336"/>
      <c r="PCX982" s="337"/>
      <c r="PCY982" s="336"/>
      <c r="PCZ982" s="337"/>
      <c r="PDA982" s="336"/>
      <c r="PDB982" s="337"/>
      <c r="PDC982" s="336"/>
      <c r="PDD982" s="337"/>
      <c r="PDE982" s="336"/>
      <c r="PDF982" s="337"/>
      <c r="PDG982" s="336"/>
      <c r="PDH982" s="337"/>
      <c r="PDI982" s="336"/>
      <c r="PDJ982" s="337"/>
      <c r="PDK982" s="336"/>
      <c r="PDL982" s="337"/>
      <c r="PDM982" s="336"/>
      <c r="PDN982" s="337"/>
      <c r="PDO982" s="336"/>
      <c r="PDP982" s="337"/>
      <c r="PDQ982" s="336"/>
      <c r="PDR982" s="337"/>
      <c r="PDS982" s="336"/>
      <c r="PDT982" s="337"/>
      <c r="PDU982" s="336"/>
      <c r="PDV982" s="337"/>
      <c r="PDW982" s="336"/>
      <c r="PDX982" s="337"/>
      <c r="PDY982" s="336"/>
      <c r="PDZ982" s="337"/>
      <c r="PEA982" s="336"/>
      <c r="PEB982" s="337"/>
      <c r="PEC982" s="336"/>
      <c r="PED982" s="337"/>
      <c r="PEE982" s="336"/>
      <c r="PEF982" s="337"/>
      <c r="PEG982" s="336"/>
      <c r="PEH982" s="337"/>
      <c r="PEI982" s="336"/>
      <c r="PEJ982" s="337"/>
      <c r="PEK982" s="336"/>
      <c r="PEL982" s="337"/>
      <c r="PEM982" s="336"/>
      <c r="PEN982" s="337"/>
      <c r="PEO982" s="336"/>
      <c r="PEP982" s="337"/>
      <c r="PEQ982" s="336"/>
      <c r="PER982" s="337"/>
      <c r="PES982" s="336"/>
      <c r="PET982" s="337"/>
      <c r="PEU982" s="336"/>
      <c r="PEV982" s="337"/>
      <c r="PEW982" s="336"/>
      <c r="PEX982" s="337"/>
      <c r="PEY982" s="336"/>
      <c r="PEZ982" s="337"/>
      <c r="PFA982" s="336"/>
      <c r="PFB982" s="337"/>
      <c r="PFC982" s="336"/>
      <c r="PFD982" s="337"/>
      <c r="PFE982" s="336"/>
      <c r="PFF982" s="337"/>
      <c r="PFG982" s="336"/>
      <c r="PFH982" s="337"/>
      <c r="PFI982" s="336"/>
      <c r="PFJ982" s="337"/>
      <c r="PFK982" s="336"/>
      <c r="PFL982" s="337"/>
      <c r="PFM982" s="336"/>
      <c r="PFN982" s="337"/>
      <c r="PFO982" s="336"/>
      <c r="PFP982" s="337"/>
      <c r="PFQ982" s="336"/>
      <c r="PFR982" s="337"/>
      <c r="PFS982" s="336"/>
      <c r="PFT982" s="337"/>
      <c r="PFU982" s="336"/>
      <c r="PFV982" s="337"/>
      <c r="PFW982" s="336"/>
      <c r="PFX982" s="337"/>
      <c r="PFY982" s="336"/>
      <c r="PFZ982" s="337"/>
      <c r="PGA982" s="336"/>
      <c r="PGB982" s="337"/>
      <c r="PGC982" s="336"/>
      <c r="PGD982" s="337"/>
      <c r="PGE982" s="336"/>
      <c r="PGF982" s="337"/>
      <c r="PGG982" s="336"/>
      <c r="PGH982" s="337"/>
      <c r="PGI982" s="336"/>
      <c r="PGJ982" s="337"/>
      <c r="PGK982" s="336"/>
      <c r="PGL982" s="337"/>
      <c r="PGM982" s="336"/>
      <c r="PGN982" s="337"/>
      <c r="PGO982" s="336"/>
      <c r="PGP982" s="337"/>
      <c r="PGQ982" s="336"/>
      <c r="PGR982" s="337"/>
      <c r="PGS982" s="336"/>
      <c r="PGT982" s="337"/>
      <c r="PGU982" s="336"/>
      <c r="PGV982" s="337"/>
      <c r="PGW982" s="336"/>
      <c r="PGX982" s="337"/>
      <c r="PGY982" s="336"/>
      <c r="PGZ982" s="337"/>
      <c r="PHA982" s="336"/>
      <c r="PHB982" s="337"/>
      <c r="PHC982" s="336"/>
      <c r="PHD982" s="337"/>
      <c r="PHE982" s="336"/>
      <c r="PHF982" s="337"/>
      <c r="PHG982" s="336"/>
      <c r="PHH982" s="337"/>
      <c r="PHI982" s="336"/>
      <c r="PHJ982" s="337"/>
      <c r="PHK982" s="336"/>
      <c r="PHL982" s="337"/>
      <c r="PHM982" s="336"/>
      <c r="PHN982" s="337"/>
      <c r="PHO982" s="336"/>
      <c r="PHP982" s="337"/>
      <c r="PHQ982" s="336"/>
      <c r="PHR982" s="337"/>
      <c r="PHS982" s="336"/>
      <c r="PHT982" s="337"/>
      <c r="PHU982" s="336"/>
      <c r="PHV982" s="337"/>
      <c r="PHW982" s="336"/>
      <c r="PHX982" s="337"/>
      <c r="PHY982" s="336"/>
      <c r="PHZ982" s="337"/>
      <c r="PIA982" s="336"/>
      <c r="PIB982" s="337"/>
      <c r="PIC982" s="336"/>
      <c r="PID982" s="337"/>
      <c r="PIE982" s="336"/>
      <c r="PIF982" s="337"/>
      <c r="PIG982" s="336"/>
      <c r="PIH982" s="337"/>
      <c r="PII982" s="336"/>
      <c r="PIJ982" s="337"/>
      <c r="PIK982" s="336"/>
      <c r="PIL982" s="337"/>
      <c r="PIM982" s="336"/>
      <c r="PIN982" s="337"/>
      <c r="PIO982" s="336"/>
      <c r="PIP982" s="337"/>
      <c r="PIQ982" s="336"/>
      <c r="PIR982" s="337"/>
      <c r="PIS982" s="336"/>
      <c r="PIT982" s="337"/>
      <c r="PIU982" s="336"/>
      <c r="PIV982" s="337"/>
      <c r="PIW982" s="336"/>
      <c r="PIX982" s="337"/>
      <c r="PIY982" s="336"/>
      <c r="PIZ982" s="337"/>
      <c r="PJA982" s="336"/>
      <c r="PJB982" s="337"/>
      <c r="PJC982" s="336"/>
      <c r="PJD982" s="337"/>
      <c r="PJE982" s="336"/>
      <c r="PJF982" s="337"/>
      <c r="PJG982" s="336"/>
      <c r="PJH982" s="337"/>
      <c r="PJI982" s="336"/>
      <c r="PJJ982" s="337"/>
      <c r="PJK982" s="336"/>
      <c r="PJL982" s="337"/>
      <c r="PJM982" s="336"/>
      <c r="PJN982" s="337"/>
      <c r="PJO982" s="336"/>
      <c r="PJP982" s="337"/>
      <c r="PJQ982" s="336"/>
      <c r="PJR982" s="337"/>
      <c r="PJS982" s="336"/>
      <c r="PJT982" s="337"/>
      <c r="PJU982" s="336"/>
      <c r="PJV982" s="337"/>
      <c r="PJW982" s="336"/>
      <c r="PJX982" s="337"/>
      <c r="PJY982" s="336"/>
      <c r="PJZ982" s="337"/>
      <c r="PKA982" s="336"/>
      <c r="PKB982" s="337"/>
      <c r="PKC982" s="336"/>
      <c r="PKD982" s="337"/>
      <c r="PKE982" s="336"/>
      <c r="PKF982" s="337"/>
      <c r="PKG982" s="336"/>
      <c r="PKH982" s="337"/>
      <c r="PKI982" s="336"/>
      <c r="PKJ982" s="337"/>
      <c r="PKK982" s="336"/>
      <c r="PKL982" s="337"/>
      <c r="PKM982" s="336"/>
      <c r="PKN982" s="337"/>
      <c r="PKO982" s="336"/>
      <c r="PKP982" s="337"/>
      <c r="PKQ982" s="336"/>
      <c r="PKR982" s="337"/>
      <c r="PKS982" s="336"/>
      <c r="PKT982" s="337"/>
      <c r="PKU982" s="336"/>
      <c r="PKV982" s="337"/>
      <c r="PKW982" s="336"/>
      <c r="PKX982" s="337"/>
      <c r="PKY982" s="336"/>
      <c r="PKZ982" s="337"/>
      <c r="PLA982" s="336"/>
      <c r="PLB982" s="337"/>
      <c r="PLC982" s="336"/>
      <c r="PLD982" s="337"/>
      <c r="PLE982" s="336"/>
      <c r="PLF982" s="337"/>
      <c r="PLG982" s="336"/>
      <c r="PLH982" s="337"/>
      <c r="PLI982" s="336"/>
      <c r="PLJ982" s="337"/>
      <c r="PLK982" s="336"/>
      <c r="PLL982" s="337"/>
      <c r="PLM982" s="336"/>
      <c r="PLN982" s="337"/>
      <c r="PLO982" s="336"/>
      <c r="PLP982" s="337"/>
      <c r="PLQ982" s="336"/>
      <c r="PLR982" s="337"/>
      <c r="PLS982" s="336"/>
      <c r="PLT982" s="337"/>
      <c r="PLU982" s="336"/>
      <c r="PLV982" s="337"/>
      <c r="PLW982" s="336"/>
      <c r="PLX982" s="337"/>
      <c r="PLY982" s="336"/>
      <c r="PLZ982" s="337"/>
      <c r="PMA982" s="336"/>
      <c r="PMB982" s="337"/>
      <c r="PMC982" s="336"/>
      <c r="PMD982" s="337"/>
      <c r="PME982" s="336"/>
      <c r="PMF982" s="337"/>
      <c r="PMG982" s="336"/>
      <c r="PMH982" s="337"/>
      <c r="PMI982" s="336"/>
      <c r="PMJ982" s="337"/>
      <c r="PMK982" s="336"/>
      <c r="PML982" s="337"/>
      <c r="PMM982" s="336"/>
      <c r="PMN982" s="337"/>
      <c r="PMO982" s="336"/>
      <c r="PMP982" s="337"/>
      <c r="PMQ982" s="336"/>
      <c r="PMR982" s="337"/>
      <c r="PMS982" s="336"/>
      <c r="PMT982" s="337"/>
      <c r="PMU982" s="336"/>
      <c r="PMV982" s="337"/>
      <c r="PMW982" s="336"/>
      <c r="PMX982" s="337"/>
      <c r="PMY982" s="336"/>
      <c r="PMZ982" s="337"/>
      <c r="PNA982" s="336"/>
      <c r="PNB982" s="337"/>
      <c r="PNC982" s="336"/>
      <c r="PND982" s="337"/>
      <c r="PNE982" s="336"/>
      <c r="PNF982" s="337"/>
      <c r="PNG982" s="336"/>
      <c r="PNH982" s="337"/>
      <c r="PNI982" s="336"/>
      <c r="PNJ982" s="337"/>
      <c r="PNK982" s="336"/>
      <c r="PNL982" s="337"/>
      <c r="PNM982" s="336"/>
      <c r="PNN982" s="337"/>
      <c r="PNO982" s="336"/>
      <c r="PNP982" s="337"/>
      <c r="PNQ982" s="336"/>
      <c r="PNR982" s="337"/>
      <c r="PNS982" s="336"/>
      <c r="PNT982" s="337"/>
      <c r="PNU982" s="336"/>
      <c r="PNV982" s="337"/>
      <c r="PNW982" s="336"/>
      <c r="PNX982" s="337"/>
      <c r="PNY982" s="336"/>
      <c r="PNZ982" s="337"/>
      <c r="POA982" s="336"/>
      <c r="POB982" s="337"/>
      <c r="POC982" s="336"/>
      <c r="POD982" s="337"/>
      <c r="POE982" s="336"/>
      <c r="POF982" s="337"/>
      <c r="POG982" s="336"/>
      <c r="POH982" s="337"/>
      <c r="POI982" s="336"/>
      <c r="POJ982" s="337"/>
      <c r="POK982" s="336"/>
      <c r="POL982" s="337"/>
      <c r="POM982" s="336"/>
      <c r="PON982" s="337"/>
      <c r="POO982" s="336"/>
      <c r="POP982" s="337"/>
      <c r="POQ982" s="336"/>
      <c r="POR982" s="337"/>
      <c r="POS982" s="336"/>
      <c r="POT982" s="337"/>
      <c r="POU982" s="336"/>
      <c r="POV982" s="337"/>
      <c r="POW982" s="336"/>
      <c r="POX982" s="337"/>
      <c r="POY982" s="336"/>
      <c r="POZ982" s="337"/>
      <c r="PPA982" s="336"/>
      <c r="PPB982" s="337"/>
      <c r="PPC982" s="336"/>
      <c r="PPD982" s="337"/>
      <c r="PPE982" s="336"/>
      <c r="PPF982" s="337"/>
      <c r="PPG982" s="336"/>
      <c r="PPH982" s="337"/>
      <c r="PPI982" s="336"/>
      <c r="PPJ982" s="337"/>
      <c r="PPK982" s="336"/>
      <c r="PPL982" s="337"/>
      <c r="PPM982" s="336"/>
      <c r="PPN982" s="337"/>
      <c r="PPO982" s="336"/>
      <c r="PPP982" s="337"/>
      <c r="PPQ982" s="336"/>
      <c r="PPR982" s="337"/>
      <c r="PPS982" s="336"/>
      <c r="PPT982" s="337"/>
      <c r="PPU982" s="336"/>
      <c r="PPV982" s="337"/>
      <c r="PPW982" s="336"/>
      <c r="PPX982" s="337"/>
      <c r="PPY982" s="336"/>
      <c r="PPZ982" s="337"/>
      <c r="PQA982" s="336"/>
      <c r="PQB982" s="337"/>
      <c r="PQC982" s="336"/>
      <c r="PQD982" s="337"/>
      <c r="PQE982" s="336"/>
      <c r="PQF982" s="337"/>
      <c r="PQG982" s="336"/>
      <c r="PQH982" s="337"/>
      <c r="PQI982" s="336"/>
      <c r="PQJ982" s="337"/>
      <c r="PQK982" s="336"/>
      <c r="PQL982" s="337"/>
      <c r="PQM982" s="336"/>
      <c r="PQN982" s="337"/>
      <c r="PQO982" s="336"/>
      <c r="PQP982" s="337"/>
      <c r="PQQ982" s="336"/>
      <c r="PQR982" s="337"/>
      <c r="PQS982" s="336"/>
      <c r="PQT982" s="337"/>
      <c r="PQU982" s="336"/>
      <c r="PQV982" s="337"/>
      <c r="PQW982" s="336"/>
      <c r="PQX982" s="337"/>
      <c r="PQY982" s="336"/>
      <c r="PQZ982" s="337"/>
      <c r="PRA982" s="336"/>
      <c r="PRB982" s="337"/>
      <c r="PRC982" s="336"/>
      <c r="PRD982" s="337"/>
      <c r="PRE982" s="336"/>
      <c r="PRF982" s="337"/>
      <c r="PRG982" s="336"/>
      <c r="PRH982" s="337"/>
      <c r="PRI982" s="336"/>
      <c r="PRJ982" s="337"/>
      <c r="PRK982" s="336"/>
      <c r="PRL982" s="337"/>
      <c r="PRM982" s="336"/>
      <c r="PRN982" s="337"/>
      <c r="PRO982" s="336"/>
      <c r="PRP982" s="337"/>
      <c r="PRQ982" s="336"/>
      <c r="PRR982" s="337"/>
      <c r="PRS982" s="336"/>
      <c r="PRT982" s="337"/>
      <c r="PRU982" s="336"/>
      <c r="PRV982" s="337"/>
      <c r="PRW982" s="336"/>
      <c r="PRX982" s="337"/>
      <c r="PRY982" s="336"/>
      <c r="PRZ982" s="337"/>
      <c r="PSA982" s="336"/>
      <c r="PSB982" s="337"/>
      <c r="PSC982" s="336"/>
      <c r="PSD982" s="337"/>
      <c r="PSE982" s="336"/>
      <c r="PSF982" s="337"/>
      <c r="PSG982" s="336"/>
      <c r="PSH982" s="337"/>
      <c r="PSI982" s="336"/>
      <c r="PSJ982" s="337"/>
      <c r="PSK982" s="336"/>
      <c r="PSL982" s="337"/>
      <c r="PSM982" s="336"/>
      <c r="PSN982" s="337"/>
      <c r="PSO982" s="336"/>
      <c r="PSP982" s="337"/>
      <c r="PSQ982" s="336"/>
      <c r="PSR982" s="337"/>
      <c r="PSS982" s="336"/>
      <c r="PST982" s="337"/>
      <c r="PSU982" s="336"/>
      <c r="PSV982" s="337"/>
      <c r="PSW982" s="336"/>
      <c r="PSX982" s="337"/>
      <c r="PSY982" s="336"/>
      <c r="PSZ982" s="337"/>
      <c r="PTA982" s="336"/>
      <c r="PTB982" s="337"/>
      <c r="PTC982" s="336"/>
      <c r="PTD982" s="337"/>
      <c r="PTE982" s="336"/>
      <c r="PTF982" s="337"/>
      <c r="PTG982" s="336"/>
      <c r="PTH982" s="337"/>
      <c r="PTI982" s="336"/>
      <c r="PTJ982" s="337"/>
      <c r="PTK982" s="336"/>
      <c r="PTL982" s="337"/>
      <c r="PTM982" s="336"/>
      <c r="PTN982" s="337"/>
      <c r="PTO982" s="336"/>
      <c r="PTP982" s="337"/>
      <c r="PTQ982" s="336"/>
      <c r="PTR982" s="337"/>
      <c r="PTS982" s="336"/>
      <c r="PTT982" s="337"/>
      <c r="PTU982" s="336"/>
      <c r="PTV982" s="337"/>
      <c r="PTW982" s="336"/>
      <c r="PTX982" s="337"/>
      <c r="PTY982" s="336"/>
      <c r="PTZ982" s="337"/>
      <c r="PUA982" s="336"/>
      <c r="PUB982" s="337"/>
      <c r="PUC982" s="336"/>
      <c r="PUD982" s="337"/>
      <c r="PUE982" s="336"/>
      <c r="PUF982" s="337"/>
      <c r="PUG982" s="336"/>
      <c r="PUH982" s="337"/>
      <c r="PUI982" s="336"/>
      <c r="PUJ982" s="337"/>
      <c r="PUK982" s="336"/>
      <c r="PUL982" s="337"/>
      <c r="PUM982" s="336"/>
      <c r="PUN982" s="337"/>
      <c r="PUO982" s="336"/>
      <c r="PUP982" s="337"/>
      <c r="PUQ982" s="336"/>
      <c r="PUR982" s="337"/>
      <c r="PUS982" s="336"/>
      <c r="PUT982" s="337"/>
      <c r="PUU982" s="336"/>
      <c r="PUV982" s="337"/>
      <c r="PUW982" s="336"/>
      <c r="PUX982" s="337"/>
      <c r="PUY982" s="336"/>
      <c r="PUZ982" s="337"/>
      <c r="PVA982" s="336"/>
      <c r="PVB982" s="337"/>
      <c r="PVC982" s="336"/>
      <c r="PVD982" s="337"/>
      <c r="PVE982" s="336"/>
      <c r="PVF982" s="337"/>
      <c r="PVG982" s="336"/>
      <c r="PVH982" s="337"/>
      <c r="PVI982" s="336"/>
      <c r="PVJ982" s="337"/>
      <c r="PVK982" s="336"/>
      <c r="PVL982" s="337"/>
      <c r="PVM982" s="336"/>
      <c r="PVN982" s="337"/>
      <c r="PVO982" s="336"/>
      <c r="PVP982" s="337"/>
      <c r="PVQ982" s="336"/>
      <c r="PVR982" s="337"/>
      <c r="PVS982" s="336"/>
      <c r="PVT982" s="337"/>
      <c r="PVU982" s="336"/>
      <c r="PVV982" s="337"/>
      <c r="PVW982" s="336"/>
      <c r="PVX982" s="337"/>
      <c r="PVY982" s="336"/>
      <c r="PVZ982" s="337"/>
      <c r="PWA982" s="336"/>
      <c r="PWB982" s="337"/>
      <c r="PWC982" s="336"/>
      <c r="PWD982" s="337"/>
      <c r="PWE982" s="336"/>
      <c r="PWF982" s="337"/>
      <c r="PWG982" s="336"/>
      <c r="PWH982" s="337"/>
      <c r="PWI982" s="336"/>
      <c r="PWJ982" s="337"/>
      <c r="PWK982" s="336"/>
      <c r="PWL982" s="337"/>
      <c r="PWM982" s="336"/>
      <c r="PWN982" s="337"/>
      <c r="PWO982" s="336"/>
      <c r="PWP982" s="337"/>
      <c r="PWQ982" s="336"/>
      <c r="PWR982" s="337"/>
      <c r="PWS982" s="336"/>
      <c r="PWT982" s="337"/>
      <c r="PWU982" s="336"/>
      <c r="PWV982" s="337"/>
      <c r="PWW982" s="336"/>
      <c r="PWX982" s="337"/>
      <c r="PWY982" s="336"/>
      <c r="PWZ982" s="337"/>
      <c r="PXA982" s="336"/>
      <c r="PXB982" s="337"/>
      <c r="PXC982" s="336"/>
      <c r="PXD982" s="337"/>
      <c r="PXE982" s="336"/>
      <c r="PXF982" s="337"/>
      <c r="PXG982" s="336"/>
      <c r="PXH982" s="337"/>
      <c r="PXI982" s="336"/>
      <c r="PXJ982" s="337"/>
      <c r="PXK982" s="336"/>
      <c r="PXL982" s="337"/>
      <c r="PXM982" s="336"/>
      <c r="PXN982" s="337"/>
      <c r="PXO982" s="336"/>
      <c r="PXP982" s="337"/>
      <c r="PXQ982" s="336"/>
      <c r="PXR982" s="337"/>
      <c r="PXS982" s="336"/>
      <c r="PXT982" s="337"/>
      <c r="PXU982" s="336"/>
      <c r="PXV982" s="337"/>
      <c r="PXW982" s="336"/>
      <c r="PXX982" s="337"/>
      <c r="PXY982" s="336"/>
      <c r="PXZ982" s="337"/>
      <c r="PYA982" s="336"/>
      <c r="PYB982" s="337"/>
      <c r="PYC982" s="336"/>
      <c r="PYD982" s="337"/>
      <c r="PYE982" s="336"/>
      <c r="PYF982" s="337"/>
      <c r="PYG982" s="336"/>
      <c r="PYH982" s="337"/>
      <c r="PYI982" s="336"/>
      <c r="PYJ982" s="337"/>
      <c r="PYK982" s="336"/>
      <c r="PYL982" s="337"/>
      <c r="PYM982" s="336"/>
      <c r="PYN982" s="337"/>
      <c r="PYO982" s="336"/>
      <c r="PYP982" s="337"/>
      <c r="PYQ982" s="336"/>
      <c r="PYR982" s="337"/>
      <c r="PYS982" s="336"/>
      <c r="PYT982" s="337"/>
      <c r="PYU982" s="336"/>
      <c r="PYV982" s="337"/>
      <c r="PYW982" s="336"/>
      <c r="PYX982" s="337"/>
      <c r="PYY982" s="336"/>
      <c r="PYZ982" s="337"/>
      <c r="PZA982" s="336"/>
      <c r="PZB982" s="337"/>
      <c r="PZC982" s="336"/>
      <c r="PZD982" s="337"/>
      <c r="PZE982" s="336"/>
      <c r="PZF982" s="337"/>
      <c r="PZG982" s="336"/>
      <c r="PZH982" s="337"/>
      <c r="PZI982" s="336"/>
      <c r="PZJ982" s="337"/>
      <c r="PZK982" s="336"/>
      <c r="PZL982" s="337"/>
      <c r="PZM982" s="336"/>
      <c r="PZN982" s="337"/>
      <c r="PZO982" s="336"/>
      <c r="PZP982" s="337"/>
      <c r="PZQ982" s="336"/>
      <c r="PZR982" s="337"/>
      <c r="PZS982" s="336"/>
      <c r="PZT982" s="337"/>
      <c r="PZU982" s="336"/>
      <c r="PZV982" s="337"/>
      <c r="PZW982" s="336"/>
      <c r="PZX982" s="337"/>
      <c r="PZY982" s="336"/>
      <c r="PZZ982" s="337"/>
      <c r="QAA982" s="336"/>
      <c r="QAB982" s="337"/>
      <c r="QAC982" s="336"/>
      <c r="QAD982" s="337"/>
      <c r="QAE982" s="336"/>
      <c r="QAF982" s="337"/>
      <c r="QAG982" s="336"/>
      <c r="QAH982" s="337"/>
      <c r="QAI982" s="336"/>
      <c r="QAJ982" s="337"/>
      <c r="QAK982" s="336"/>
      <c r="QAL982" s="337"/>
      <c r="QAM982" s="336"/>
      <c r="QAN982" s="337"/>
      <c r="QAO982" s="336"/>
      <c r="QAP982" s="337"/>
      <c r="QAQ982" s="336"/>
      <c r="QAR982" s="337"/>
      <c r="QAS982" s="336"/>
      <c r="QAT982" s="337"/>
      <c r="QAU982" s="336"/>
      <c r="QAV982" s="337"/>
      <c r="QAW982" s="336"/>
      <c r="QAX982" s="337"/>
      <c r="QAY982" s="336"/>
      <c r="QAZ982" s="337"/>
      <c r="QBA982" s="336"/>
      <c r="QBB982" s="337"/>
      <c r="QBC982" s="336"/>
      <c r="QBD982" s="337"/>
      <c r="QBE982" s="336"/>
      <c r="QBF982" s="337"/>
      <c r="QBG982" s="336"/>
      <c r="QBH982" s="337"/>
      <c r="QBI982" s="336"/>
      <c r="QBJ982" s="337"/>
      <c r="QBK982" s="336"/>
      <c r="QBL982" s="337"/>
      <c r="QBM982" s="336"/>
      <c r="QBN982" s="337"/>
      <c r="QBO982" s="336"/>
      <c r="QBP982" s="337"/>
      <c r="QBQ982" s="336"/>
      <c r="QBR982" s="337"/>
      <c r="QBS982" s="336"/>
      <c r="QBT982" s="337"/>
      <c r="QBU982" s="336"/>
      <c r="QBV982" s="337"/>
      <c r="QBW982" s="336"/>
      <c r="QBX982" s="337"/>
      <c r="QBY982" s="336"/>
      <c r="QBZ982" s="337"/>
      <c r="QCA982" s="336"/>
      <c r="QCB982" s="337"/>
      <c r="QCC982" s="336"/>
      <c r="QCD982" s="337"/>
      <c r="QCE982" s="336"/>
      <c r="QCF982" s="337"/>
      <c r="QCG982" s="336"/>
      <c r="QCH982" s="337"/>
      <c r="QCI982" s="336"/>
      <c r="QCJ982" s="337"/>
      <c r="QCK982" s="336"/>
      <c r="QCL982" s="337"/>
      <c r="QCM982" s="336"/>
      <c r="QCN982" s="337"/>
      <c r="QCO982" s="336"/>
      <c r="QCP982" s="337"/>
      <c r="QCQ982" s="336"/>
      <c r="QCR982" s="337"/>
      <c r="QCS982" s="336"/>
      <c r="QCT982" s="337"/>
      <c r="QCU982" s="336"/>
      <c r="QCV982" s="337"/>
      <c r="QCW982" s="336"/>
      <c r="QCX982" s="337"/>
      <c r="QCY982" s="336"/>
      <c r="QCZ982" s="337"/>
      <c r="QDA982" s="336"/>
      <c r="QDB982" s="337"/>
      <c r="QDC982" s="336"/>
      <c r="QDD982" s="337"/>
      <c r="QDE982" s="336"/>
      <c r="QDF982" s="337"/>
      <c r="QDG982" s="336"/>
      <c r="QDH982" s="337"/>
      <c r="QDI982" s="336"/>
      <c r="QDJ982" s="337"/>
      <c r="QDK982" s="336"/>
      <c r="QDL982" s="337"/>
      <c r="QDM982" s="336"/>
      <c r="QDN982" s="337"/>
      <c r="QDO982" s="336"/>
      <c r="QDP982" s="337"/>
      <c r="QDQ982" s="336"/>
      <c r="QDR982" s="337"/>
      <c r="QDS982" s="336"/>
      <c r="QDT982" s="337"/>
      <c r="QDU982" s="336"/>
      <c r="QDV982" s="337"/>
      <c r="QDW982" s="336"/>
      <c r="QDX982" s="337"/>
      <c r="QDY982" s="336"/>
      <c r="QDZ982" s="337"/>
      <c r="QEA982" s="336"/>
      <c r="QEB982" s="337"/>
      <c r="QEC982" s="336"/>
      <c r="QED982" s="337"/>
      <c r="QEE982" s="336"/>
      <c r="QEF982" s="337"/>
      <c r="QEG982" s="336"/>
      <c r="QEH982" s="337"/>
      <c r="QEI982" s="336"/>
      <c r="QEJ982" s="337"/>
      <c r="QEK982" s="336"/>
      <c r="QEL982" s="337"/>
      <c r="QEM982" s="336"/>
      <c r="QEN982" s="337"/>
      <c r="QEO982" s="336"/>
      <c r="QEP982" s="337"/>
      <c r="QEQ982" s="336"/>
      <c r="QER982" s="337"/>
      <c r="QES982" s="336"/>
      <c r="QET982" s="337"/>
      <c r="QEU982" s="336"/>
      <c r="QEV982" s="337"/>
      <c r="QEW982" s="336"/>
      <c r="QEX982" s="337"/>
      <c r="QEY982" s="336"/>
      <c r="QEZ982" s="337"/>
      <c r="QFA982" s="336"/>
      <c r="QFB982" s="337"/>
      <c r="QFC982" s="336"/>
      <c r="QFD982" s="337"/>
      <c r="QFE982" s="336"/>
      <c r="QFF982" s="337"/>
      <c r="QFG982" s="336"/>
      <c r="QFH982" s="337"/>
      <c r="QFI982" s="336"/>
      <c r="QFJ982" s="337"/>
      <c r="QFK982" s="336"/>
      <c r="QFL982" s="337"/>
      <c r="QFM982" s="336"/>
      <c r="QFN982" s="337"/>
      <c r="QFO982" s="336"/>
      <c r="QFP982" s="337"/>
      <c r="QFQ982" s="336"/>
      <c r="QFR982" s="337"/>
      <c r="QFS982" s="336"/>
      <c r="QFT982" s="337"/>
      <c r="QFU982" s="336"/>
      <c r="QFV982" s="337"/>
      <c r="QFW982" s="336"/>
      <c r="QFX982" s="337"/>
      <c r="QFY982" s="336"/>
      <c r="QFZ982" s="337"/>
      <c r="QGA982" s="336"/>
      <c r="QGB982" s="337"/>
      <c r="QGC982" s="336"/>
      <c r="QGD982" s="337"/>
      <c r="QGE982" s="336"/>
      <c r="QGF982" s="337"/>
      <c r="QGG982" s="336"/>
      <c r="QGH982" s="337"/>
      <c r="QGI982" s="336"/>
      <c r="QGJ982" s="337"/>
      <c r="QGK982" s="336"/>
      <c r="QGL982" s="337"/>
      <c r="QGM982" s="336"/>
      <c r="QGN982" s="337"/>
      <c r="QGO982" s="336"/>
      <c r="QGP982" s="337"/>
      <c r="QGQ982" s="336"/>
      <c r="QGR982" s="337"/>
      <c r="QGS982" s="336"/>
      <c r="QGT982" s="337"/>
      <c r="QGU982" s="336"/>
      <c r="QGV982" s="337"/>
      <c r="QGW982" s="336"/>
      <c r="QGX982" s="337"/>
      <c r="QGY982" s="336"/>
      <c r="QGZ982" s="337"/>
      <c r="QHA982" s="336"/>
      <c r="QHB982" s="337"/>
      <c r="QHC982" s="336"/>
      <c r="QHD982" s="337"/>
      <c r="QHE982" s="336"/>
      <c r="QHF982" s="337"/>
      <c r="QHG982" s="336"/>
      <c r="QHH982" s="337"/>
      <c r="QHI982" s="336"/>
      <c r="QHJ982" s="337"/>
      <c r="QHK982" s="336"/>
      <c r="QHL982" s="337"/>
      <c r="QHM982" s="336"/>
      <c r="QHN982" s="337"/>
      <c r="QHO982" s="336"/>
      <c r="QHP982" s="337"/>
      <c r="QHQ982" s="336"/>
      <c r="QHR982" s="337"/>
      <c r="QHS982" s="336"/>
      <c r="QHT982" s="337"/>
      <c r="QHU982" s="336"/>
      <c r="QHV982" s="337"/>
      <c r="QHW982" s="336"/>
      <c r="QHX982" s="337"/>
      <c r="QHY982" s="336"/>
      <c r="QHZ982" s="337"/>
      <c r="QIA982" s="336"/>
      <c r="QIB982" s="337"/>
      <c r="QIC982" s="336"/>
      <c r="QID982" s="337"/>
      <c r="QIE982" s="336"/>
      <c r="QIF982" s="337"/>
      <c r="QIG982" s="336"/>
      <c r="QIH982" s="337"/>
      <c r="QII982" s="336"/>
      <c r="QIJ982" s="337"/>
      <c r="QIK982" s="336"/>
      <c r="QIL982" s="337"/>
      <c r="QIM982" s="336"/>
      <c r="QIN982" s="337"/>
      <c r="QIO982" s="336"/>
      <c r="QIP982" s="337"/>
      <c r="QIQ982" s="336"/>
      <c r="QIR982" s="337"/>
      <c r="QIS982" s="336"/>
      <c r="QIT982" s="337"/>
      <c r="QIU982" s="336"/>
      <c r="QIV982" s="337"/>
      <c r="QIW982" s="336"/>
      <c r="QIX982" s="337"/>
      <c r="QIY982" s="336"/>
      <c r="QIZ982" s="337"/>
      <c r="QJA982" s="336"/>
      <c r="QJB982" s="337"/>
      <c r="QJC982" s="336"/>
      <c r="QJD982" s="337"/>
      <c r="QJE982" s="336"/>
      <c r="QJF982" s="337"/>
      <c r="QJG982" s="336"/>
      <c r="QJH982" s="337"/>
      <c r="QJI982" s="336"/>
      <c r="QJJ982" s="337"/>
      <c r="QJK982" s="336"/>
      <c r="QJL982" s="337"/>
      <c r="QJM982" s="336"/>
      <c r="QJN982" s="337"/>
      <c r="QJO982" s="336"/>
      <c r="QJP982" s="337"/>
      <c r="QJQ982" s="336"/>
      <c r="QJR982" s="337"/>
      <c r="QJS982" s="336"/>
      <c r="QJT982" s="337"/>
      <c r="QJU982" s="336"/>
      <c r="QJV982" s="337"/>
      <c r="QJW982" s="336"/>
      <c r="QJX982" s="337"/>
      <c r="QJY982" s="336"/>
      <c r="QJZ982" s="337"/>
      <c r="QKA982" s="336"/>
      <c r="QKB982" s="337"/>
      <c r="QKC982" s="336"/>
      <c r="QKD982" s="337"/>
      <c r="QKE982" s="336"/>
      <c r="QKF982" s="337"/>
      <c r="QKG982" s="336"/>
      <c r="QKH982" s="337"/>
      <c r="QKI982" s="336"/>
      <c r="QKJ982" s="337"/>
      <c r="QKK982" s="336"/>
      <c r="QKL982" s="337"/>
      <c r="QKM982" s="336"/>
      <c r="QKN982" s="337"/>
      <c r="QKO982" s="336"/>
      <c r="QKP982" s="337"/>
      <c r="QKQ982" s="336"/>
      <c r="QKR982" s="337"/>
      <c r="QKS982" s="336"/>
      <c r="QKT982" s="337"/>
      <c r="QKU982" s="336"/>
      <c r="QKV982" s="337"/>
      <c r="QKW982" s="336"/>
      <c r="QKX982" s="337"/>
      <c r="QKY982" s="336"/>
      <c r="QKZ982" s="337"/>
      <c r="QLA982" s="336"/>
      <c r="QLB982" s="337"/>
      <c r="QLC982" s="336"/>
      <c r="QLD982" s="337"/>
      <c r="QLE982" s="336"/>
      <c r="QLF982" s="337"/>
      <c r="QLG982" s="336"/>
      <c r="QLH982" s="337"/>
      <c r="QLI982" s="336"/>
      <c r="QLJ982" s="337"/>
      <c r="QLK982" s="336"/>
      <c r="QLL982" s="337"/>
      <c r="QLM982" s="336"/>
      <c r="QLN982" s="337"/>
      <c r="QLO982" s="336"/>
      <c r="QLP982" s="337"/>
      <c r="QLQ982" s="336"/>
      <c r="QLR982" s="337"/>
      <c r="QLS982" s="336"/>
      <c r="QLT982" s="337"/>
      <c r="QLU982" s="336"/>
      <c r="QLV982" s="337"/>
      <c r="QLW982" s="336"/>
      <c r="QLX982" s="337"/>
      <c r="QLY982" s="336"/>
      <c r="QLZ982" s="337"/>
      <c r="QMA982" s="336"/>
      <c r="QMB982" s="337"/>
      <c r="QMC982" s="336"/>
      <c r="QMD982" s="337"/>
      <c r="QME982" s="336"/>
      <c r="QMF982" s="337"/>
      <c r="QMG982" s="336"/>
      <c r="QMH982" s="337"/>
      <c r="QMI982" s="336"/>
      <c r="QMJ982" s="337"/>
      <c r="QMK982" s="336"/>
      <c r="QML982" s="337"/>
      <c r="QMM982" s="336"/>
      <c r="QMN982" s="337"/>
      <c r="QMO982" s="336"/>
      <c r="QMP982" s="337"/>
      <c r="QMQ982" s="336"/>
      <c r="QMR982" s="337"/>
      <c r="QMS982" s="336"/>
      <c r="QMT982" s="337"/>
      <c r="QMU982" s="336"/>
      <c r="QMV982" s="337"/>
      <c r="QMW982" s="336"/>
      <c r="QMX982" s="337"/>
      <c r="QMY982" s="336"/>
      <c r="QMZ982" s="337"/>
      <c r="QNA982" s="336"/>
      <c r="QNB982" s="337"/>
      <c r="QNC982" s="336"/>
      <c r="QND982" s="337"/>
      <c r="QNE982" s="336"/>
      <c r="QNF982" s="337"/>
      <c r="QNG982" s="336"/>
      <c r="QNH982" s="337"/>
      <c r="QNI982" s="336"/>
      <c r="QNJ982" s="337"/>
      <c r="QNK982" s="336"/>
      <c r="QNL982" s="337"/>
      <c r="QNM982" s="336"/>
      <c r="QNN982" s="337"/>
      <c r="QNO982" s="336"/>
      <c r="QNP982" s="337"/>
      <c r="QNQ982" s="336"/>
      <c r="QNR982" s="337"/>
      <c r="QNS982" s="336"/>
      <c r="QNT982" s="337"/>
      <c r="QNU982" s="336"/>
      <c r="QNV982" s="337"/>
      <c r="QNW982" s="336"/>
      <c r="QNX982" s="337"/>
      <c r="QNY982" s="336"/>
      <c r="QNZ982" s="337"/>
      <c r="QOA982" s="336"/>
      <c r="QOB982" s="337"/>
      <c r="QOC982" s="336"/>
      <c r="QOD982" s="337"/>
      <c r="QOE982" s="336"/>
      <c r="QOF982" s="337"/>
      <c r="QOG982" s="336"/>
      <c r="QOH982" s="337"/>
      <c r="QOI982" s="336"/>
      <c r="QOJ982" s="337"/>
      <c r="QOK982" s="336"/>
      <c r="QOL982" s="337"/>
      <c r="QOM982" s="336"/>
      <c r="QON982" s="337"/>
      <c r="QOO982" s="336"/>
      <c r="QOP982" s="337"/>
      <c r="QOQ982" s="336"/>
      <c r="QOR982" s="337"/>
      <c r="QOS982" s="336"/>
      <c r="QOT982" s="337"/>
      <c r="QOU982" s="336"/>
      <c r="QOV982" s="337"/>
      <c r="QOW982" s="336"/>
      <c r="QOX982" s="337"/>
      <c r="QOY982" s="336"/>
      <c r="QOZ982" s="337"/>
      <c r="QPA982" s="336"/>
      <c r="QPB982" s="337"/>
      <c r="QPC982" s="336"/>
      <c r="QPD982" s="337"/>
      <c r="QPE982" s="336"/>
      <c r="QPF982" s="337"/>
      <c r="QPG982" s="336"/>
      <c r="QPH982" s="337"/>
      <c r="QPI982" s="336"/>
      <c r="QPJ982" s="337"/>
      <c r="QPK982" s="336"/>
      <c r="QPL982" s="337"/>
      <c r="QPM982" s="336"/>
      <c r="QPN982" s="337"/>
      <c r="QPO982" s="336"/>
      <c r="QPP982" s="337"/>
      <c r="QPQ982" s="336"/>
      <c r="QPR982" s="337"/>
      <c r="QPS982" s="336"/>
      <c r="QPT982" s="337"/>
      <c r="QPU982" s="336"/>
      <c r="QPV982" s="337"/>
      <c r="QPW982" s="336"/>
      <c r="QPX982" s="337"/>
      <c r="QPY982" s="336"/>
      <c r="QPZ982" s="337"/>
      <c r="QQA982" s="336"/>
      <c r="QQB982" s="337"/>
      <c r="QQC982" s="336"/>
      <c r="QQD982" s="337"/>
      <c r="QQE982" s="336"/>
      <c r="QQF982" s="337"/>
      <c r="QQG982" s="336"/>
      <c r="QQH982" s="337"/>
      <c r="QQI982" s="336"/>
      <c r="QQJ982" s="337"/>
      <c r="QQK982" s="336"/>
      <c r="QQL982" s="337"/>
      <c r="QQM982" s="336"/>
      <c r="QQN982" s="337"/>
      <c r="QQO982" s="336"/>
      <c r="QQP982" s="337"/>
      <c r="QQQ982" s="336"/>
      <c r="QQR982" s="337"/>
      <c r="QQS982" s="336"/>
      <c r="QQT982" s="337"/>
      <c r="QQU982" s="336"/>
      <c r="QQV982" s="337"/>
      <c r="QQW982" s="336"/>
      <c r="QQX982" s="337"/>
      <c r="QQY982" s="336"/>
      <c r="QQZ982" s="337"/>
      <c r="QRA982" s="336"/>
      <c r="QRB982" s="337"/>
      <c r="QRC982" s="336"/>
      <c r="QRD982" s="337"/>
      <c r="QRE982" s="336"/>
      <c r="QRF982" s="337"/>
      <c r="QRG982" s="336"/>
      <c r="QRH982" s="337"/>
      <c r="QRI982" s="336"/>
      <c r="QRJ982" s="337"/>
      <c r="QRK982" s="336"/>
      <c r="QRL982" s="337"/>
      <c r="QRM982" s="336"/>
      <c r="QRN982" s="337"/>
      <c r="QRO982" s="336"/>
      <c r="QRP982" s="337"/>
      <c r="QRQ982" s="336"/>
      <c r="QRR982" s="337"/>
      <c r="QRS982" s="336"/>
      <c r="QRT982" s="337"/>
      <c r="QRU982" s="336"/>
      <c r="QRV982" s="337"/>
      <c r="QRW982" s="336"/>
      <c r="QRX982" s="337"/>
      <c r="QRY982" s="336"/>
      <c r="QRZ982" s="337"/>
      <c r="QSA982" s="336"/>
      <c r="QSB982" s="337"/>
      <c r="QSC982" s="336"/>
      <c r="QSD982" s="337"/>
      <c r="QSE982" s="336"/>
      <c r="QSF982" s="337"/>
      <c r="QSG982" s="336"/>
      <c r="QSH982" s="337"/>
      <c r="QSI982" s="336"/>
      <c r="QSJ982" s="337"/>
      <c r="QSK982" s="336"/>
      <c r="QSL982" s="337"/>
      <c r="QSM982" s="336"/>
      <c r="QSN982" s="337"/>
      <c r="QSO982" s="336"/>
      <c r="QSP982" s="337"/>
      <c r="QSQ982" s="336"/>
      <c r="QSR982" s="337"/>
      <c r="QSS982" s="336"/>
      <c r="QST982" s="337"/>
      <c r="QSU982" s="336"/>
      <c r="QSV982" s="337"/>
      <c r="QSW982" s="336"/>
      <c r="QSX982" s="337"/>
      <c r="QSY982" s="336"/>
      <c r="QSZ982" s="337"/>
      <c r="QTA982" s="336"/>
      <c r="QTB982" s="337"/>
      <c r="QTC982" s="336"/>
      <c r="QTD982" s="337"/>
      <c r="QTE982" s="336"/>
      <c r="QTF982" s="337"/>
      <c r="QTG982" s="336"/>
      <c r="QTH982" s="337"/>
      <c r="QTI982" s="336"/>
      <c r="QTJ982" s="337"/>
      <c r="QTK982" s="336"/>
      <c r="QTL982" s="337"/>
      <c r="QTM982" s="336"/>
      <c r="QTN982" s="337"/>
      <c r="QTO982" s="336"/>
      <c r="QTP982" s="337"/>
      <c r="QTQ982" s="336"/>
      <c r="QTR982" s="337"/>
      <c r="QTS982" s="336"/>
      <c r="QTT982" s="337"/>
      <c r="QTU982" s="336"/>
      <c r="QTV982" s="337"/>
      <c r="QTW982" s="336"/>
      <c r="QTX982" s="337"/>
      <c r="QTY982" s="336"/>
      <c r="QTZ982" s="337"/>
      <c r="QUA982" s="336"/>
      <c r="QUB982" s="337"/>
      <c r="QUC982" s="336"/>
      <c r="QUD982" s="337"/>
      <c r="QUE982" s="336"/>
      <c r="QUF982" s="337"/>
      <c r="QUG982" s="336"/>
      <c r="QUH982" s="337"/>
      <c r="QUI982" s="336"/>
      <c r="QUJ982" s="337"/>
      <c r="QUK982" s="336"/>
      <c r="QUL982" s="337"/>
      <c r="QUM982" s="336"/>
      <c r="QUN982" s="337"/>
      <c r="QUO982" s="336"/>
      <c r="QUP982" s="337"/>
      <c r="QUQ982" s="336"/>
      <c r="QUR982" s="337"/>
      <c r="QUS982" s="336"/>
      <c r="QUT982" s="337"/>
      <c r="QUU982" s="336"/>
      <c r="QUV982" s="337"/>
      <c r="QUW982" s="336"/>
      <c r="QUX982" s="337"/>
      <c r="QUY982" s="336"/>
      <c r="QUZ982" s="337"/>
      <c r="QVA982" s="336"/>
      <c r="QVB982" s="337"/>
      <c r="QVC982" s="336"/>
      <c r="QVD982" s="337"/>
      <c r="QVE982" s="336"/>
      <c r="QVF982" s="337"/>
      <c r="QVG982" s="336"/>
      <c r="QVH982" s="337"/>
      <c r="QVI982" s="336"/>
      <c r="QVJ982" s="337"/>
      <c r="QVK982" s="336"/>
      <c r="QVL982" s="337"/>
      <c r="QVM982" s="336"/>
      <c r="QVN982" s="337"/>
      <c r="QVO982" s="336"/>
      <c r="QVP982" s="337"/>
      <c r="QVQ982" s="336"/>
      <c r="QVR982" s="337"/>
      <c r="QVS982" s="336"/>
      <c r="QVT982" s="337"/>
      <c r="QVU982" s="336"/>
      <c r="QVV982" s="337"/>
      <c r="QVW982" s="336"/>
      <c r="QVX982" s="337"/>
      <c r="QVY982" s="336"/>
      <c r="QVZ982" s="337"/>
      <c r="QWA982" s="336"/>
      <c r="QWB982" s="337"/>
      <c r="QWC982" s="336"/>
      <c r="QWD982" s="337"/>
      <c r="QWE982" s="336"/>
      <c r="QWF982" s="337"/>
      <c r="QWG982" s="336"/>
      <c r="QWH982" s="337"/>
      <c r="QWI982" s="336"/>
      <c r="QWJ982" s="337"/>
      <c r="QWK982" s="336"/>
      <c r="QWL982" s="337"/>
      <c r="QWM982" s="336"/>
      <c r="QWN982" s="337"/>
      <c r="QWO982" s="336"/>
      <c r="QWP982" s="337"/>
      <c r="QWQ982" s="336"/>
      <c r="QWR982" s="337"/>
      <c r="QWS982" s="336"/>
      <c r="QWT982" s="337"/>
      <c r="QWU982" s="336"/>
      <c r="QWV982" s="337"/>
      <c r="QWW982" s="336"/>
      <c r="QWX982" s="337"/>
      <c r="QWY982" s="336"/>
      <c r="QWZ982" s="337"/>
      <c r="QXA982" s="336"/>
      <c r="QXB982" s="337"/>
      <c r="QXC982" s="336"/>
      <c r="QXD982" s="337"/>
      <c r="QXE982" s="336"/>
      <c r="QXF982" s="337"/>
      <c r="QXG982" s="336"/>
      <c r="QXH982" s="337"/>
      <c r="QXI982" s="336"/>
      <c r="QXJ982" s="337"/>
      <c r="QXK982" s="336"/>
      <c r="QXL982" s="337"/>
      <c r="QXM982" s="336"/>
      <c r="QXN982" s="337"/>
      <c r="QXO982" s="336"/>
      <c r="QXP982" s="337"/>
      <c r="QXQ982" s="336"/>
      <c r="QXR982" s="337"/>
      <c r="QXS982" s="336"/>
      <c r="QXT982" s="337"/>
      <c r="QXU982" s="336"/>
      <c r="QXV982" s="337"/>
      <c r="QXW982" s="336"/>
      <c r="QXX982" s="337"/>
      <c r="QXY982" s="336"/>
      <c r="QXZ982" s="337"/>
      <c r="QYA982" s="336"/>
      <c r="QYB982" s="337"/>
      <c r="QYC982" s="336"/>
      <c r="QYD982" s="337"/>
      <c r="QYE982" s="336"/>
      <c r="QYF982" s="337"/>
      <c r="QYG982" s="336"/>
      <c r="QYH982" s="337"/>
      <c r="QYI982" s="336"/>
      <c r="QYJ982" s="337"/>
      <c r="QYK982" s="336"/>
      <c r="QYL982" s="337"/>
      <c r="QYM982" s="336"/>
      <c r="QYN982" s="337"/>
      <c r="QYO982" s="336"/>
      <c r="QYP982" s="337"/>
      <c r="QYQ982" s="336"/>
      <c r="QYR982" s="337"/>
      <c r="QYS982" s="336"/>
      <c r="QYT982" s="337"/>
      <c r="QYU982" s="336"/>
      <c r="QYV982" s="337"/>
      <c r="QYW982" s="336"/>
      <c r="QYX982" s="337"/>
      <c r="QYY982" s="336"/>
      <c r="QYZ982" s="337"/>
      <c r="QZA982" s="336"/>
      <c r="QZB982" s="337"/>
      <c r="QZC982" s="336"/>
      <c r="QZD982" s="337"/>
      <c r="QZE982" s="336"/>
      <c r="QZF982" s="337"/>
      <c r="QZG982" s="336"/>
      <c r="QZH982" s="337"/>
      <c r="QZI982" s="336"/>
      <c r="QZJ982" s="337"/>
      <c r="QZK982" s="336"/>
      <c r="QZL982" s="337"/>
      <c r="QZM982" s="336"/>
      <c r="QZN982" s="337"/>
      <c r="QZO982" s="336"/>
      <c r="QZP982" s="337"/>
      <c r="QZQ982" s="336"/>
      <c r="QZR982" s="337"/>
      <c r="QZS982" s="336"/>
      <c r="QZT982" s="337"/>
      <c r="QZU982" s="336"/>
      <c r="QZV982" s="337"/>
      <c r="QZW982" s="336"/>
      <c r="QZX982" s="337"/>
      <c r="QZY982" s="336"/>
      <c r="QZZ982" s="337"/>
      <c r="RAA982" s="336"/>
      <c r="RAB982" s="337"/>
      <c r="RAC982" s="336"/>
      <c r="RAD982" s="337"/>
      <c r="RAE982" s="336"/>
      <c r="RAF982" s="337"/>
      <c r="RAG982" s="336"/>
      <c r="RAH982" s="337"/>
      <c r="RAI982" s="336"/>
      <c r="RAJ982" s="337"/>
      <c r="RAK982" s="336"/>
      <c r="RAL982" s="337"/>
      <c r="RAM982" s="336"/>
      <c r="RAN982" s="337"/>
      <c r="RAO982" s="336"/>
      <c r="RAP982" s="337"/>
      <c r="RAQ982" s="336"/>
      <c r="RAR982" s="337"/>
      <c r="RAS982" s="336"/>
      <c r="RAT982" s="337"/>
      <c r="RAU982" s="336"/>
      <c r="RAV982" s="337"/>
      <c r="RAW982" s="336"/>
      <c r="RAX982" s="337"/>
      <c r="RAY982" s="336"/>
      <c r="RAZ982" s="337"/>
      <c r="RBA982" s="336"/>
      <c r="RBB982" s="337"/>
      <c r="RBC982" s="336"/>
      <c r="RBD982" s="337"/>
      <c r="RBE982" s="336"/>
      <c r="RBF982" s="337"/>
      <c r="RBG982" s="336"/>
      <c r="RBH982" s="337"/>
      <c r="RBI982" s="336"/>
      <c r="RBJ982" s="337"/>
      <c r="RBK982" s="336"/>
      <c r="RBL982" s="337"/>
      <c r="RBM982" s="336"/>
      <c r="RBN982" s="337"/>
      <c r="RBO982" s="336"/>
      <c r="RBP982" s="337"/>
      <c r="RBQ982" s="336"/>
      <c r="RBR982" s="337"/>
      <c r="RBS982" s="336"/>
      <c r="RBT982" s="337"/>
      <c r="RBU982" s="336"/>
      <c r="RBV982" s="337"/>
      <c r="RBW982" s="336"/>
      <c r="RBX982" s="337"/>
      <c r="RBY982" s="336"/>
      <c r="RBZ982" s="337"/>
      <c r="RCA982" s="336"/>
      <c r="RCB982" s="337"/>
      <c r="RCC982" s="336"/>
      <c r="RCD982" s="337"/>
      <c r="RCE982" s="336"/>
      <c r="RCF982" s="337"/>
      <c r="RCG982" s="336"/>
      <c r="RCH982" s="337"/>
      <c r="RCI982" s="336"/>
      <c r="RCJ982" s="337"/>
      <c r="RCK982" s="336"/>
      <c r="RCL982" s="337"/>
      <c r="RCM982" s="336"/>
      <c r="RCN982" s="337"/>
      <c r="RCO982" s="336"/>
      <c r="RCP982" s="337"/>
      <c r="RCQ982" s="336"/>
      <c r="RCR982" s="337"/>
      <c r="RCS982" s="336"/>
      <c r="RCT982" s="337"/>
      <c r="RCU982" s="336"/>
      <c r="RCV982" s="337"/>
      <c r="RCW982" s="336"/>
      <c r="RCX982" s="337"/>
      <c r="RCY982" s="336"/>
      <c r="RCZ982" s="337"/>
      <c r="RDA982" s="336"/>
      <c r="RDB982" s="337"/>
      <c r="RDC982" s="336"/>
      <c r="RDD982" s="337"/>
      <c r="RDE982" s="336"/>
      <c r="RDF982" s="337"/>
      <c r="RDG982" s="336"/>
      <c r="RDH982" s="337"/>
      <c r="RDI982" s="336"/>
      <c r="RDJ982" s="337"/>
      <c r="RDK982" s="336"/>
      <c r="RDL982" s="337"/>
      <c r="RDM982" s="336"/>
      <c r="RDN982" s="337"/>
      <c r="RDO982" s="336"/>
      <c r="RDP982" s="337"/>
      <c r="RDQ982" s="336"/>
      <c r="RDR982" s="337"/>
      <c r="RDS982" s="336"/>
      <c r="RDT982" s="337"/>
      <c r="RDU982" s="336"/>
      <c r="RDV982" s="337"/>
      <c r="RDW982" s="336"/>
      <c r="RDX982" s="337"/>
      <c r="RDY982" s="336"/>
      <c r="RDZ982" s="337"/>
      <c r="REA982" s="336"/>
      <c r="REB982" s="337"/>
      <c r="REC982" s="336"/>
      <c r="RED982" s="337"/>
      <c r="REE982" s="336"/>
      <c r="REF982" s="337"/>
      <c r="REG982" s="336"/>
      <c r="REH982" s="337"/>
      <c r="REI982" s="336"/>
      <c r="REJ982" s="337"/>
      <c r="REK982" s="336"/>
      <c r="REL982" s="337"/>
      <c r="REM982" s="336"/>
      <c r="REN982" s="337"/>
      <c r="REO982" s="336"/>
      <c r="REP982" s="337"/>
      <c r="REQ982" s="336"/>
      <c r="RER982" s="337"/>
      <c r="RES982" s="336"/>
      <c r="RET982" s="337"/>
      <c r="REU982" s="336"/>
      <c r="REV982" s="337"/>
      <c r="REW982" s="336"/>
      <c r="REX982" s="337"/>
      <c r="REY982" s="336"/>
      <c r="REZ982" s="337"/>
      <c r="RFA982" s="336"/>
      <c r="RFB982" s="337"/>
      <c r="RFC982" s="336"/>
      <c r="RFD982" s="337"/>
      <c r="RFE982" s="336"/>
      <c r="RFF982" s="337"/>
      <c r="RFG982" s="336"/>
      <c r="RFH982" s="337"/>
      <c r="RFI982" s="336"/>
      <c r="RFJ982" s="337"/>
      <c r="RFK982" s="336"/>
      <c r="RFL982" s="337"/>
      <c r="RFM982" s="336"/>
      <c r="RFN982" s="337"/>
      <c r="RFO982" s="336"/>
      <c r="RFP982" s="337"/>
      <c r="RFQ982" s="336"/>
      <c r="RFR982" s="337"/>
      <c r="RFS982" s="336"/>
      <c r="RFT982" s="337"/>
      <c r="RFU982" s="336"/>
      <c r="RFV982" s="337"/>
      <c r="RFW982" s="336"/>
      <c r="RFX982" s="337"/>
      <c r="RFY982" s="336"/>
      <c r="RFZ982" s="337"/>
      <c r="RGA982" s="336"/>
      <c r="RGB982" s="337"/>
      <c r="RGC982" s="336"/>
      <c r="RGD982" s="337"/>
      <c r="RGE982" s="336"/>
      <c r="RGF982" s="337"/>
      <c r="RGG982" s="336"/>
      <c r="RGH982" s="337"/>
      <c r="RGI982" s="336"/>
      <c r="RGJ982" s="337"/>
      <c r="RGK982" s="336"/>
      <c r="RGL982" s="337"/>
      <c r="RGM982" s="336"/>
      <c r="RGN982" s="337"/>
      <c r="RGO982" s="336"/>
      <c r="RGP982" s="337"/>
      <c r="RGQ982" s="336"/>
      <c r="RGR982" s="337"/>
      <c r="RGS982" s="336"/>
      <c r="RGT982" s="337"/>
      <c r="RGU982" s="336"/>
      <c r="RGV982" s="337"/>
      <c r="RGW982" s="336"/>
      <c r="RGX982" s="337"/>
      <c r="RGY982" s="336"/>
      <c r="RGZ982" s="337"/>
      <c r="RHA982" s="336"/>
      <c r="RHB982" s="337"/>
      <c r="RHC982" s="336"/>
      <c r="RHD982" s="337"/>
      <c r="RHE982" s="336"/>
      <c r="RHF982" s="337"/>
      <c r="RHG982" s="336"/>
      <c r="RHH982" s="337"/>
      <c r="RHI982" s="336"/>
      <c r="RHJ982" s="337"/>
      <c r="RHK982" s="336"/>
      <c r="RHL982" s="337"/>
      <c r="RHM982" s="336"/>
      <c r="RHN982" s="337"/>
      <c r="RHO982" s="336"/>
      <c r="RHP982" s="337"/>
      <c r="RHQ982" s="336"/>
      <c r="RHR982" s="337"/>
      <c r="RHS982" s="336"/>
      <c r="RHT982" s="337"/>
      <c r="RHU982" s="336"/>
      <c r="RHV982" s="337"/>
      <c r="RHW982" s="336"/>
      <c r="RHX982" s="337"/>
      <c r="RHY982" s="336"/>
      <c r="RHZ982" s="337"/>
      <c r="RIA982" s="336"/>
      <c r="RIB982" s="337"/>
      <c r="RIC982" s="336"/>
      <c r="RID982" s="337"/>
      <c r="RIE982" s="336"/>
      <c r="RIF982" s="337"/>
      <c r="RIG982" s="336"/>
      <c r="RIH982" s="337"/>
      <c r="RII982" s="336"/>
      <c r="RIJ982" s="337"/>
      <c r="RIK982" s="336"/>
      <c r="RIL982" s="337"/>
      <c r="RIM982" s="336"/>
      <c r="RIN982" s="337"/>
      <c r="RIO982" s="336"/>
      <c r="RIP982" s="337"/>
      <c r="RIQ982" s="336"/>
      <c r="RIR982" s="337"/>
      <c r="RIS982" s="336"/>
      <c r="RIT982" s="337"/>
      <c r="RIU982" s="336"/>
      <c r="RIV982" s="337"/>
      <c r="RIW982" s="336"/>
      <c r="RIX982" s="337"/>
      <c r="RIY982" s="336"/>
      <c r="RIZ982" s="337"/>
      <c r="RJA982" s="336"/>
      <c r="RJB982" s="337"/>
      <c r="RJC982" s="336"/>
      <c r="RJD982" s="337"/>
      <c r="RJE982" s="336"/>
      <c r="RJF982" s="337"/>
      <c r="RJG982" s="336"/>
      <c r="RJH982" s="337"/>
      <c r="RJI982" s="336"/>
      <c r="RJJ982" s="337"/>
      <c r="RJK982" s="336"/>
      <c r="RJL982" s="337"/>
      <c r="RJM982" s="336"/>
      <c r="RJN982" s="337"/>
      <c r="RJO982" s="336"/>
      <c r="RJP982" s="337"/>
      <c r="RJQ982" s="336"/>
      <c r="RJR982" s="337"/>
      <c r="RJS982" s="336"/>
      <c r="RJT982" s="337"/>
      <c r="RJU982" s="336"/>
      <c r="RJV982" s="337"/>
      <c r="RJW982" s="336"/>
      <c r="RJX982" s="337"/>
      <c r="RJY982" s="336"/>
      <c r="RJZ982" s="337"/>
      <c r="RKA982" s="336"/>
      <c r="RKB982" s="337"/>
      <c r="RKC982" s="336"/>
      <c r="RKD982" s="337"/>
      <c r="RKE982" s="336"/>
      <c r="RKF982" s="337"/>
      <c r="RKG982" s="336"/>
      <c r="RKH982" s="337"/>
      <c r="RKI982" s="336"/>
      <c r="RKJ982" s="337"/>
      <c r="RKK982" s="336"/>
      <c r="RKL982" s="337"/>
      <c r="RKM982" s="336"/>
      <c r="RKN982" s="337"/>
      <c r="RKO982" s="336"/>
      <c r="RKP982" s="337"/>
      <c r="RKQ982" s="336"/>
      <c r="RKR982" s="337"/>
      <c r="RKS982" s="336"/>
      <c r="RKT982" s="337"/>
      <c r="RKU982" s="336"/>
      <c r="RKV982" s="337"/>
      <c r="RKW982" s="336"/>
      <c r="RKX982" s="337"/>
      <c r="RKY982" s="336"/>
      <c r="RKZ982" s="337"/>
      <c r="RLA982" s="336"/>
      <c r="RLB982" s="337"/>
      <c r="RLC982" s="336"/>
      <c r="RLD982" s="337"/>
      <c r="RLE982" s="336"/>
      <c r="RLF982" s="337"/>
      <c r="RLG982" s="336"/>
      <c r="RLH982" s="337"/>
      <c r="RLI982" s="336"/>
      <c r="RLJ982" s="337"/>
      <c r="RLK982" s="336"/>
      <c r="RLL982" s="337"/>
      <c r="RLM982" s="336"/>
      <c r="RLN982" s="337"/>
      <c r="RLO982" s="336"/>
      <c r="RLP982" s="337"/>
      <c r="RLQ982" s="336"/>
      <c r="RLR982" s="337"/>
      <c r="RLS982" s="336"/>
      <c r="RLT982" s="337"/>
      <c r="RLU982" s="336"/>
      <c r="RLV982" s="337"/>
      <c r="RLW982" s="336"/>
      <c r="RLX982" s="337"/>
      <c r="RLY982" s="336"/>
      <c r="RLZ982" s="337"/>
      <c r="RMA982" s="336"/>
      <c r="RMB982" s="337"/>
      <c r="RMC982" s="336"/>
      <c r="RMD982" s="337"/>
      <c r="RME982" s="336"/>
      <c r="RMF982" s="337"/>
      <c r="RMG982" s="336"/>
      <c r="RMH982" s="337"/>
      <c r="RMI982" s="336"/>
      <c r="RMJ982" s="337"/>
      <c r="RMK982" s="336"/>
      <c r="RML982" s="337"/>
      <c r="RMM982" s="336"/>
      <c r="RMN982" s="337"/>
      <c r="RMO982" s="336"/>
      <c r="RMP982" s="337"/>
      <c r="RMQ982" s="336"/>
      <c r="RMR982" s="337"/>
      <c r="RMS982" s="336"/>
      <c r="RMT982" s="337"/>
      <c r="RMU982" s="336"/>
      <c r="RMV982" s="337"/>
      <c r="RMW982" s="336"/>
      <c r="RMX982" s="337"/>
      <c r="RMY982" s="336"/>
      <c r="RMZ982" s="337"/>
      <c r="RNA982" s="336"/>
      <c r="RNB982" s="337"/>
      <c r="RNC982" s="336"/>
      <c r="RND982" s="337"/>
      <c r="RNE982" s="336"/>
      <c r="RNF982" s="337"/>
      <c r="RNG982" s="336"/>
      <c r="RNH982" s="337"/>
      <c r="RNI982" s="336"/>
      <c r="RNJ982" s="337"/>
      <c r="RNK982" s="336"/>
      <c r="RNL982" s="337"/>
      <c r="RNM982" s="336"/>
      <c r="RNN982" s="337"/>
      <c r="RNO982" s="336"/>
      <c r="RNP982" s="337"/>
      <c r="RNQ982" s="336"/>
      <c r="RNR982" s="337"/>
      <c r="RNS982" s="336"/>
      <c r="RNT982" s="337"/>
      <c r="RNU982" s="336"/>
      <c r="RNV982" s="337"/>
      <c r="RNW982" s="336"/>
      <c r="RNX982" s="337"/>
      <c r="RNY982" s="336"/>
      <c r="RNZ982" s="337"/>
      <c r="ROA982" s="336"/>
      <c r="ROB982" s="337"/>
      <c r="ROC982" s="336"/>
      <c r="ROD982" s="337"/>
      <c r="ROE982" s="336"/>
      <c r="ROF982" s="337"/>
      <c r="ROG982" s="336"/>
      <c r="ROH982" s="337"/>
      <c r="ROI982" s="336"/>
      <c r="ROJ982" s="337"/>
      <c r="ROK982" s="336"/>
      <c r="ROL982" s="337"/>
      <c r="ROM982" s="336"/>
      <c r="RON982" s="337"/>
      <c r="ROO982" s="336"/>
      <c r="ROP982" s="337"/>
      <c r="ROQ982" s="336"/>
      <c r="ROR982" s="337"/>
      <c r="ROS982" s="336"/>
      <c r="ROT982" s="337"/>
      <c r="ROU982" s="336"/>
      <c r="ROV982" s="337"/>
      <c r="ROW982" s="336"/>
      <c r="ROX982" s="337"/>
      <c r="ROY982" s="336"/>
      <c r="ROZ982" s="337"/>
      <c r="RPA982" s="336"/>
      <c r="RPB982" s="337"/>
      <c r="RPC982" s="336"/>
      <c r="RPD982" s="337"/>
      <c r="RPE982" s="336"/>
      <c r="RPF982" s="337"/>
      <c r="RPG982" s="336"/>
      <c r="RPH982" s="337"/>
      <c r="RPI982" s="336"/>
      <c r="RPJ982" s="337"/>
      <c r="RPK982" s="336"/>
      <c r="RPL982" s="337"/>
      <c r="RPM982" s="336"/>
      <c r="RPN982" s="337"/>
      <c r="RPO982" s="336"/>
      <c r="RPP982" s="337"/>
      <c r="RPQ982" s="336"/>
      <c r="RPR982" s="337"/>
      <c r="RPS982" s="336"/>
      <c r="RPT982" s="337"/>
      <c r="RPU982" s="336"/>
      <c r="RPV982" s="337"/>
      <c r="RPW982" s="336"/>
      <c r="RPX982" s="337"/>
      <c r="RPY982" s="336"/>
      <c r="RPZ982" s="337"/>
      <c r="RQA982" s="336"/>
      <c r="RQB982" s="337"/>
      <c r="RQC982" s="336"/>
      <c r="RQD982" s="337"/>
      <c r="RQE982" s="336"/>
      <c r="RQF982" s="337"/>
      <c r="RQG982" s="336"/>
      <c r="RQH982" s="337"/>
      <c r="RQI982" s="336"/>
      <c r="RQJ982" s="337"/>
      <c r="RQK982" s="336"/>
      <c r="RQL982" s="337"/>
      <c r="RQM982" s="336"/>
      <c r="RQN982" s="337"/>
      <c r="RQO982" s="336"/>
      <c r="RQP982" s="337"/>
      <c r="RQQ982" s="336"/>
      <c r="RQR982" s="337"/>
      <c r="RQS982" s="336"/>
      <c r="RQT982" s="337"/>
      <c r="RQU982" s="336"/>
      <c r="RQV982" s="337"/>
      <c r="RQW982" s="336"/>
      <c r="RQX982" s="337"/>
      <c r="RQY982" s="336"/>
      <c r="RQZ982" s="337"/>
      <c r="RRA982" s="336"/>
      <c r="RRB982" s="337"/>
      <c r="RRC982" s="336"/>
      <c r="RRD982" s="337"/>
      <c r="RRE982" s="336"/>
      <c r="RRF982" s="337"/>
      <c r="RRG982" s="336"/>
      <c r="RRH982" s="337"/>
      <c r="RRI982" s="336"/>
      <c r="RRJ982" s="337"/>
      <c r="RRK982" s="336"/>
      <c r="RRL982" s="337"/>
      <c r="RRM982" s="336"/>
      <c r="RRN982" s="337"/>
      <c r="RRO982" s="336"/>
      <c r="RRP982" s="337"/>
      <c r="RRQ982" s="336"/>
      <c r="RRR982" s="337"/>
      <c r="RRS982" s="336"/>
      <c r="RRT982" s="337"/>
      <c r="RRU982" s="336"/>
      <c r="RRV982" s="337"/>
      <c r="RRW982" s="336"/>
      <c r="RRX982" s="337"/>
      <c r="RRY982" s="336"/>
      <c r="RRZ982" s="337"/>
      <c r="RSA982" s="336"/>
      <c r="RSB982" s="337"/>
      <c r="RSC982" s="336"/>
      <c r="RSD982" s="337"/>
      <c r="RSE982" s="336"/>
      <c r="RSF982" s="337"/>
      <c r="RSG982" s="336"/>
      <c r="RSH982" s="337"/>
      <c r="RSI982" s="336"/>
      <c r="RSJ982" s="337"/>
      <c r="RSK982" s="336"/>
      <c r="RSL982" s="337"/>
      <c r="RSM982" s="336"/>
      <c r="RSN982" s="337"/>
      <c r="RSO982" s="336"/>
      <c r="RSP982" s="337"/>
      <c r="RSQ982" s="336"/>
      <c r="RSR982" s="337"/>
      <c r="RSS982" s="336"/>
      <c r="RST982" s="337"/>
      <c r="RSU982" s="336"/>
      <c r="RSV982" s="337"/>
      <c r="RSW982" s="336"/>
      <c r="RSX982" s="337"/>
      <c r="RSY982" s="336"/>
      <c r="RSZ982" s="337"/>
      <c r="RTA982" s="336"/>
      <c r="RTB982" s="337"/>
      <c r="RTC982" s="336"/>
      <c r="RTD982" s="337"/>
      <c r="RTE982" s="336"/>
      <c r="RTF982" s="337"/>
      <c r="RTG982" s="336"/>
      <c r="RTH982" s="337"/>
      <c r="RTI982" s="336"/>
      <c r="RTJ982" s="337"/>
      <c r="RTK982" s="336"/>
      <c r="RTL982" s="337"/>
      <c r="RTM982" s="336"/>
      <c r="RTN982" s="337"/>
      <c r="RTO982" s="336"/>
      <c r="RTP982" s="337"/>
      <c r="RTQ982" s="336"/>
      <c r="RTR982" s="337"/>
      <c r="RTS982" s="336"/>
      <c r="RTT982" s="337"/>
      <c r="RTU982" s="336"/>
      <c r="RTV982" s="337"/>
      <c r="RTW982" s="336"/>
      <c r="RTX982" s="337"/>
      <c r="RTY982" s="336"/>
      <c r="RTZ982" s="337"/>
      <c r="RUA982" s="336"/>
      <c r="RUB982" s="337"/>
      <c r="RUC982" s="336"/>
      <c r="RUD982" s="337"/>
      <c r="RUE982" s="336"/>
      <c r="RUF982" s="337"/>
      <c r="RUG982" s="336"/>
      <c r="RUH982" s="337"/>
      <c r="RUI982" s="336"/>
      <c r="RUJ982" s="337"/>
      <c r="RUK982" s="336"/>
      <c r="RUL982" s="337"/>
      <c r="RUM982" s="336"/>
      <c r="RUN982" s="337"/>
      <c r="RUO982" s="336"/>
      <c r="RUP982" s="337"/>
      <c r="RUQ982" s="336"/>
      <c r="RUR982" s="337"/>
      <c r="RUS982" s="336"/>
      <c r="RUT982" s="337"/>
      <c r="RUU982" s="336"/>
      <c r="RUV982" s="337"/>
      <c r="RUW982" s="336"/>
      <c r="RUX982" s="337"/>
      <c r="RUY982" s="336"/>
      <c r="RUZ982" s="337"/>
      <c r="RVA982" s="336"/>
      <c r="RVB982" s="337"/>
      <c r="RVC982" s="336"/>
      <c r="RVD982" s="337"/>
      <c r="RVE982" s="336"/>
      <c r="RVF982" s="337"/>
      <c r="RVG982" s="336"/>
      <c r="RVH982" s="337"/>
      <c r="RVI982" s="336"/>
      <c r="RVJ982" s="337"/>
      <c r="RVK982" s="336"/>
      <c r="RVL982" s="337"/>
      <c r="RVM982" s="336"/>
      <c r="RVN982" s="337"/>
      <c r="RVO982" s="336"/>
      <c r="RVP982" s="337"/>
      <c r="RVQ982" s="336"/>
      <c r="RVR982" s="337"/>
      <c r="RVS982" s="336"/>
      <c r="RVT982" s="337"/>
      <c r="RVU982" s="336"/>
      <c r="RVV982" s="337"/>
      <c r="RVW982" s="336"/>
      <c r="RVX982" s="337"/>
      <c r="RVY982" s="336"/>
      <c r="RVZ982" s="337"/>
      <c r="RWA982" s="336"/>
      <c r="RWB982" s="337"/>
      <c r="RWC982" s="336"/>
      <c r="RWD982" s="337"/>
      <c r="RWE982" s="336"/>
      <c r="RWF982" s="337"/>
      <c r="RWG982" s="336"/>
      <c r="RWH982" s="337"/>
      <c r="RWI982" s="336"/>
      <c r="RWJ982" s="337"/>
      <c r="RWK982" s="336"/>
      <c r="RWL982" s="337"/>
      <c r="RWM982" s="336"/>
      <c r="RWN982" s="337"/>
      <c r="RWO982" s="336"/>
      <c r="RWP982" s="337"/>
      <c r="RWQ982" s="336"/>
      <c r="RWR982" s="337"/>
      <c r="RWS982" s="336"/>
      <c r="RWT982" s="337"/>
      <c r="RWU982" s="336"/>
      <c r="RWV982" s="337"/>
      <c r="RWW982" s="336"/>
      <c r="RWX982" s="337"/>
      <c r="RWY982" s="336"/>
      <c r="RWZ982" s="337"/>
      <c r="RXA982" s="336"/>
      <c r="RXB982" s="337"/>
      <c r="RXC982" s="336"/>
      <c r="RXD982" s="337"/>
      <c r="RXE982" s="336"/>
      <c r="RXF982" s="337"/>
      <c r="RXG982" s="336"/>
      <c r="RXH982" s="337"/>
      <c r="RXI982" s="336"/>
      <c r="RXJ982" s="337"/>
      <c r="RXK982" s="336"/>
      <c r="RXL982" s="337"/>
      <c r="RXM982" s="336"/>
      <c r="RXN982" s="337"/>
      <c r="RXO982" s="336"/>
      <c r="RXP982" s="337"/>
      <c r="RXQ982" s="336"/>
      <c r="RXR982" s="337"/>
      <c r="RXS982" s="336"/>
      <c r="RXT982" s="337"/>
      <c r="RXU982" s="336"/>
      <c r="RXV982" s="337"/>
      <c r="RXW982" s="336"/>
      <c r="RXX982" s="337"/>
      <c r="RXY982" s="336"/>
      <c r="RXZ982" s="337"/>
      <c r="RYA982" s="336"/>
      <c r="RYB982" s="337"/>
      <c r="RYC982" s="336"/>
      <c r="RYD982" s="337"/>
      <c r="RYE982" s="336"/>
      <c r="RYF982" s="337"/>
      <c r="RYG982" s="336"/>
      <c r="RYH982" s="337"/>
      <c r="RYI982" s="336"/>
      <c r="RYJ982" s="337"/>
      <c r="RYK982" s="336"/>
      <c r="RYL982" s="337"/>
      <c r="RYM982" s="336"/>
      <c r="RYN982" s="337"/>
      <c r="RYO982" s="336"/>
      <c r="RYP982" s="337"/>
      <c r="RYQ982" s="336"/>
      <c r="RYR982" s="337"/>
      <c r="RYS982" s="336"/>
      <c r="RYT982" s="337"/>
      <c r="RYU982" s="336"/>
      <c r="RYV982" s="337"/>
      <c r="RYW982" s="336"/>
      <c r="RYX982" s="337"/>
      <c r="RYY982" s="336"/>
      <c r="RYZ982" s="337"/>
      <c r="RZA982" s="336"/>
      <c r="RZB982" s="337"/>
      <c r="RZC982" s="336"/>
      <c r="RZD982" s="337"/>
      <c r="RZE982" s="336"/>
      <c r="RZF982" s="337"/>
      <c r="RZG982" s="336"/>
      <c r="RZH982" s="337"/>
      <c r="RZI982" s="336"/>
      <c r="RZJ982" s="337"/>
      <c r="RZK982" s="336"/>
      <c r="RZL982" s="337"/>
      <c r="RZM982" s="336"/>
      <c r="RZN982" s="337"/>
      <c r="RZO982" s="336"/>
      <c r="RZP982" s="337"/>
      <c r="RZQ982" s="336"/>
      <c r="RZR982" s="337"/>
      <c r="RZS982" s="336"/>
      <c r="RZT982" s="337"/>
      <c r="RZU982" s="336"/>
      <c r="RZV982" s="337"/>
      <c r="RZW982" s="336"/>
      <c r="RZX982" s="337"/>
      <c r="RZY982" s="336"/>
      <c r="RZZ982" s="337"/>
      <c r="SAA982" s="336"/>
      <c r="SAB982" s="337"/>
      <c r="SAC982" s="336"/>
      <c r="SAD982" s="337"/>
      <c r="SAE982" s="336"/>
      <c r="SAF982" s="337"/>
      <c r="SAG982" s="336"/>
      <c r="SAH982" s="337"/>
      <c r="SAI982" s="336"/>
      <c r="SAJ982" s="337"/>
      <c r="SAK982" s="336"/>
      <c r="SAL982" s="337"/>
      <c r="SAM982" s="336"/>
      <c r="SAN982" s="337"/>
      <c r="SAO982" s="336"/>
      <c r="SAP982" s="337"/>
      <c r="SAQ982" s="336"/>
      <c r="SAR982" s="337"/>
      <c r="SAS982" s="336"/>
      <c r="SAT982" s="337"/>
      <c r="SAU982" s="336"/>
      <c r="SAV982" s="337"/>
      <c r="SAW982" s="336"/>
      <c r="SAX982" s="337"/>
      <c r="SAY982" s="336"/>
      <c r="SAZ982" s="337"/>
      <c r="SBA982" s="336"/>
      <c r="SBB982" s="337"/>
      <c r="SBC982" s="336"/>
      <c r="SBD982" s="337"/>
      <c r="SBE982" s="336"/>
      <c r="SBF982" s="337"/>
      <c r="SBG982" s="336"/>
      <c r="SBH982" s="337"/>
      <c r="SBI982" s="336"/>
      <c r="SBJ982" s="337"/>
      <c r="SBK982" s="336"/>
      <c r="SBL982" s="337"/>
      <c r="SBM982" s="336"/>
      <c r="SBN982" s="337"/>
      <c r="SBO982" s="336"/>
      <c r="SBP982" s="337"/>
      <c r="SBQ982" s="336"/>
      <c r="SBR982" s="337"/>
      <c r="SBS982" s="336"/>
      <c r="SBT982" s="337"/>
      <c r="SBU982" s="336"/>
      <c r="SBV982" s="337"/>
      <c r="SBW982" s="336"/>
      <c r="SBX982" s="337"/>
      <c r="SBY982" s="336"/>
      <c r="SBZ982" s="337"/>
      <c r="SCA982" s="336"/>
      <c r="SCB982" s="337"/>
      <c r="SCC982" s="336"/>
      <c r="SCD982" s="337"/>
      <c r="SCE982" s="336"/>
      <c r="SCF982" s="337"/>
      <c r="SCG982" s="336"/>
      <c r="SCH982" s="337"/>
      <c r="SCI982" s="336"/>
      <c r="SCJ982" s="337"/>
      <c r="SCK982" s="336"/>
      <c r="SCL982" s="337"/>
      <c r="SCM982" s="336"/>
      <c r="SCN982" s="337"/>
      <c r="SCO982" s="336"/>
      <c r="SCP982" s="337"/>
      <c r="SCQ982" s="336"/>
      <c r="SCR982" s="337"/>
      <c r="SCS982" s="336"/>
      <c r="SCT982" s="337"/>
      <c r="SCU982" s="336"/>
      <c r="SCV982" s="337"/>
      <c r="SCW982" s="336"/>
      <c r="SCX982" s="337"/>
      <c r="SCY982" s="336"/>
      <c r="SCZ982" s="337"/>
      <c r="SDA982" s="336"/>
      <c r="SDB982" s="337"/>
      <c r="SDC982" s="336"/>
      <c r="SDD982" s="337"/>
      <c r="SDE982" s="336"/>
      <c r="SDF982" s="337"/>
      <c r="SDG982" s="336"/>
      <c r="SDH982" s="337"/>
      <c r="SDI982" s="336"/>
      <c r="SDJ982" s="337"/>
      <c r="SDK982" s="336"/>
      <c r="SDL982" s="337"/>
      <c r="SDM982" s="336"/>
      <c r="SDN982" s="337"/>
      <c r="SDO982" s="336"/>
      <c r="SDP982" s="337"/>
      <c r="SDQ982" s="336"/>
      <c r="SDR982" s="337"/>
      <c r="SDS982" s="336"/>
      <c r="SDT982" s="337"/>
      <c r="SDU982" s="336"/>
      <c r="SDV982" s="337"/>
      <c r="SDW982" s="336"/>
      <c r="SDX982" s="337"/>
      <c r="SDY982" s="336"/>
      <c r="SDZ982" s="337"/>
      <c r="SEA982" s="336"/>
      <c r="SEB982" s="337"/>
      <c r="SEC982" s="336"/>
      <c r="SED982" s="337"/>
      <c r="SEE982" s="336"/>
      <c r="SEF982" s="337"/>
      <c r="SEG982" s="336"/>
      <c r="SEH982" s="337"/>
      <c r="SEI982" s="336"/>
      <c r="SEJ982" s="337"/>
      <c r="SEK982" s="336"/>
      <c r="SEL982" s="337"/>
      <c r="SEM982" s="336"/>
      <c r="SEN982" s="337"/>
      <c r="SEO982" s="336"/>
      <c r="SEP982" s="337"/>
      <c r="SEQ982" s="336"/>
      <c r="SER982" s="337"/>
      <c r="SES982" s="336"/>
      <c r="SET982" s="337"/>
      <c r="SEU982" s="336"/>
      <c r="SEV982" s="337"/>
      <c r="SEW982" s="336"/>
      <c r="SEX982" s="337"/>
      <c r="SEY982" s="336"/>
      <c r="SEZ982" s="337"/>
      <c r="SFA982" s="336"/>
      <c r="SFB982" s="337"/>
      <c r="SFC982" s="336"/>
      <c r="SFD982" s="337"/>
      <c r="SFE982" s="336"/>
      <c r="SFF982" s="337"/>
      <c r="SFG982" s="336"/>
      <c r="SFH982" s="337"/>
      <c r="SFI982" s="336"/>
      <c r="SFJ982" s="337"/>
      <c r="SFK982" s="336"/>
      <c r="SFL982" s="337"/>
      <c r="SFM982" s="336"/>
      <c r="SFN982" s="337"/>
      <c r="SFO982" s="336"/>
      <c r="SFP982" s="337"/>
      <c r="SFQ982" s="336"/>
      <c r="SFR982" s="337"/>
      <c r="SFS982" s="336"/>
      <c r="SFT982" s="337"/>
      <c r="SFU982" s="336"/>
      <c r="SFV982" s="337"/>
      <c r="SFW982" s="336"/>
      <c r="SFX982" s="337"/>
      <c r="SFY982" s="336"/>
      <c r="SFZ982" s="337"/>
      <c r="SGA982" s="336"/>
      <c r="SGB982" s="337"/>
      <c r="SGC982" s="336"/>
      <c r="SGD982" s="337"/>
      <c r="SGE982" s="336"/>
      <c r="SGF982" s="337"/>
      <c r="SGG982" s="336"/>
      <c r="SGH982" s="337"/>
      <c r="SGI982" s="336"/>
      <c r="SGJ982" s="337"/>
      <c r="SGK982" s="336"/>
      <c r="SGL982" s="337"/>
      <c r="SGM982" s="336"/>
      <c r="SGN982" s="337"/>
      <c r="SGO982" s="336"/>
      <c r="SGP982" s="337"/>
      <c r="SGQ982" s="336"/>
      <c r="SGR982" s="337"/>
      <c r="SGS982" s="336"/>
      <c r="SGT982" s="337"/>
      <c r="SGU982" s="336"/>
      <c r="SGV982" s="337"/>
      <c r="SGW982" s="336"/>
      <c r="SGX982" s="337"/>
      <c r="SGY982" s="336"/>
      <c r="SGZ982" s="337"/>
      <c r="SHA982" s="336"/>
      <c r="SHB982" s="337"/>
      <c r="SHC982" s="336"/>
      <c r="SHD982" s="337"/>
      <c r="SHE982" s="336"/>
      <c r="SHF982" s="337"/>
      <c r="SHG982" s="336"/>
      <c r="SHH982" s="337"/>
      <c r="SHI982" s="336"/>
      <c r="SHJ982" s="337"/>
      <c r="SHK982" s="336"/>
      <c r="SHL982" s="337"/>
      <c r="SHM982" s="336"/>
      <c r="SHN982" s="337"/>
      <c r="SHO982" s="336"/>
      <c r="SHP982" s="337"/>
      <c r="SHQ982" s="336"/>
      <c r="SHR982" s="337"/>
      <c r="SHS982" s="336"/>
      <c r="SHT982" s="337"/>
      <c r="SHU982" s="336"/>
      <c r="SHV982" s="337"/>
      <c r="SHW982" s="336"/>
      <c r="SHX982" s="337"/>
      <c r="SHY982" s="336"/>
      <c r="SHZ982" s="337"/>
      <c r="SIA982" s="336"/>
      <c r="SIB982" s="337"/>
      <c r="SIC982" s="336"/>
      <c r="SID982" s="337"/>
      <c r="SIE982" s="336"/>
      <c r="SIF982" s="337"/>
      <c r="SIG982" s="336"/>
      <c r="SIH982" s="337"/>
      <c r="SII982" s="336"/>
      <c r="SIJ982" s="337"/>
      <c r="SIK982" s="336"/>
      <c r="SIL982" s="337"/>
      <c r="SIM982" s="336"/>
      <c r="SIN982" s="337"/>
      <c r="SIO982" s="336"/>
      <c r="SIP982" s="337"/>
      <c r="SIQ982" s="336"/>
      <c r="SIR982" s="337"/>
      <c r="SIS982" s="336"/>
      <c r="SIT982" s="337"/>
      <c r="SIU982" s="336"/>
      <c r="SIV982" s="337"/>
      <c r="SIW982" s="336"/>
      <c r="SIX982" s="337"/>
      <c r="SIY982" s="336"/>
      <c r="SIZ982" s="337"/>
      <c r="SJA982" s="336"/>
      <c r="SJB982" s="337"/>
      <c r="SJC982" s="336"/>
      <c r="SJD982" s="337"/>
      <c r="SJE982" s="336"/>
      <c r="SJF982" s="337"/>
      <c r="SJG982" s="336"/>
      <c r="SJH982" s="337"/>
      <c r="SJI982" s="336"/>
      <c r="SJJ982" s="337"/>
      <c r="SJK982" s="336"/>
      <c r="SJL982" s="337"/>
      <c r="SJM982" s="336"/>
      <c r="SJN982" s="337"/>
      <c r="SJO982" s="336"/>
      <c r="SJP982" s="337"/>
      <c r="SJQ982" s="336"/>
      <c r="SJR982" s="337"/>
      <c r="SJS982" s="336"/>
      <c r="SJT982" s="337"/>
      <c r="SJU982" s="336"/>
      <c r="SJV982" s="337"/>
      <c r="SJW982" s="336"/>
      <c r="SJX982" s="337"/>
      <c r="SJY982" s="336"/>
      <c r="SJZ982" s="337"/>
      <c r="SKA982" s="336"/>
      <c r="SKB982" s="337"/>
      <c r="SKC982" s="336"/>
      <c r="SKD982" s="337"/>
      <c r="SKE982" s="336"/>
      <c r="SKF982" s="337"/>
      <c r="SKG982" s="336"/>
      <c r="SKH982" s="337"/>
      <c r="SKI982" s="336"/>
      <c r="SKJ982" s="337"/>
      <c r="SKK982" s="336"/>
      <c r="SKL982" s="337"/>
      <c r="SKM982" s="336"/>
      <c r="SKN982" s="337"/>
      <c r="SKO982" s="336"/>
      <c r="SKP982" s="337"/>
      <c r="SKQ982" s="336"/>
      <c r="SKR982" s="337"/>
      <c r="SKS982" s="336"/>
      <c r="SKT982" s="337"/>
      <c r="SKU982" s="336"/>
      <c r="SKV982" s="337"/>
      <c r="SKW982" s="336"/>
      <c r="SKX982" s="337"/>
      <c r="SKY982" s="336"/>
      <c r="SKZ982" s="337"/>
      <c r="SLA982" s="336"/>
      <c r="SLB982" s="337"/>
      <c r="SLC982" s="336"/>
      <c r="SLD982" s="337"/>
      <c r="SLE982" s="336"/>
      <c r="SLF982" s="337"/>
      <c r="SLG982" s="336"/>
      <c r="SLH982" s="337"/>
      <c r="SLI982" s="336"/>
      <c r="SLJ982" s="337"/>
      <c r="SLK982" s="336"/>
      <c r="SLL982" s="337"/>
      <c r="SLM982" s="336"/>
      <c r="SLN982" s="337"/>
      <c r="SLO982" s="336"/>
      <c r="SLP982" s="337"/>
      <c r="SLQ982" s="336"/>
      <c r="SLR982" s="337"/>
      <c r="SLS982" s="336"/>
      <c r="SLT982" s="337"/>
      <c r="SLU982" s="336"/>
      <c r="SLV982" s="337"/>
      <c r="SLW982" s="336"/>
      <c r="SLX982" s="337"/>
      <c r="SLY982" s="336"/>
      <c r="SLZ982" s="337"/>
      <c r="SMA982" s="336"/>
      <c r="SMB982" s="337"/>
      <c r="SMC982" s="336"/>
      <c r="SMD982" s="337"/>
      <c r="SME982" s="336"/>
      <c r="SMF982" s="337"/>
      <c r="SMG982" s="336"/>
      <c r="SMH982" s="337"/>
      <c r="SMI982" s="336"/>
      <c r="SMJ982" s="337"/>
      <c r="SMK982" s="336"/>
      <c r="SML982" s="337"/>
      <c r="SMM982" s="336"/>
      <c r="SMN982" s="337"/>
      <c r="SMO982" s="336"/>
      <c r="SMP982" s="337"/>
      <c r="SMQ982" s="336"/>
      <c r="SMR982" s="337"/>
      <c r="SMS982" s="336"/>
      <c r="SMT982" s="337"/>
      <c r="SMU982" s="336"/>
      <c r="SMV982" s="337"/>
      <c r="SMW982" s="336"/>
      <c r="SMX982" s="337"/>
      <c r="SMY982" s="336"/>
      <c r="SMZ982" s="337"/>
      <c r="SNA982" s="336"/>
      <c r="SNB982" s="337"/>
      <c r="SNC982" s="336"/>
      <c r="SND982" s="337"/>
      <c r="SNE982" s="336"/>
      <c r="SNF982" s="337"/>
      <c r="SNG982" s="336"/>
      <c r="SNH982" s="337"/>
      <c r="SNI982" s="336"/>
      <c r="SNJ982" s="337"/>
      <c r="SNK982" s="336"/>
      <c r="SNL982" s="337"/>
      <c r="SNM982" s="336"/>
      <c r="SNN982" s="337"/>
      <c r="SNO982" s="336"/>
      <c r="SNP982" s="337"/>
      <c r="SNQ982" s="336"/>
      <c r="SNR982" s="337"/>
      <c r="SNS982" s="336"/>
      <c r="SNT982" s="337"/>
      <c r="SNU982" s="336"/>
      <c r="SNV982" s="337"/>
      <c r="SNW982" s="336"/>
      <c r="SNX982" s="337"/>
      <c r="SNY982" s="336"/>
      <c r="SNZ982" s="337"/>
      <c r="SOA982" s="336"/>
      <c r="SOB982" s="337"/>
      <c r="SOC982" s="336"/>
      <c r="SOD982" s="337"/>
      <c r="SOE982" s="336"/>
      <c r="SOF982" s="337"/>
      <c r="SOG982" s="336"/>
      <c r="SOH982" s="337"/>
      <c r="SOI982" s="336"/>
      <c r="SOJ982" s="337"/>
      <c r="SOK982" s="336"/>
      <c r="SOL982" s="337"/>
      <c r="SOM982" s="336"/>
      <c r="SON982" s="337"/>
      <c r="SOO982" s="336"/>
      <c r="SOP982" s="337"/>
      <c r="SOQ982" s="336"/>
      <c r="SOR982" s="337"/>
      <c r="SOS982" s="336"/>
      <c r="SOT982" s="337"/>
      <c r="SOU982" s="336"/>
      <c r="SOV982" s="337"/>
      <c r="SOW982" s="336"/>
      <c r="SOX982" s="337"/>
      <c r="SOY982" s="336"/>
      <c r="SOZ982" s="337"/>
      <c r="SPA982" s="336"/>
      <c r="SPB982" s="337"/>
      <c r="SPC982" s="336"/>
      <c r="SPD982" s="337"/>
      <c r="SPE982" s="336"/>
      <c r="SPF982" s="337"/>
      <c r="SPG982" s="336"/>
      <c r="SPH982" s="337"/>
      <c r="SPI982" s="336"/>
      <c r="SPJ982" s="337"/>
      <c r="SPK982" s="336"/>
      <c r="SPL982" s="337"/>
      <c r="SPM982" s="336"/>
      <c r="SPN982" s="337"/>
      <c r="SPO982" s="336"/>
      <c r="SPP982" s="337"/>
      <c r="SPQ982" s="336"/>
      <c r="SPR982" s="337"/>
      <c r="SPS982" s="336"/>
      <c r="SPT982" s="337"/>
      <c r="SPU982" s="336"/>
      <c r="SPV982" s="337"/>
      <c r="SPW982" s="336"/>
      <c r="SPX982" s="337"/>
      <c r="SPY982" s="336"/>
      <c r="SPZ982" s="337"/>
      <c r="SQA982" s="336"/>
      <c r="SQB982" s="337"/>
      <c r="SQC982" s="336"/>
      <c r="SQD982" s="337"/>
      <c r="SQE982" s="336"/>
      <c r="SQF982" s="337"/>
      <c r="SQG982" s="336"/>
      <c r="SQH982" s="337"/>
      <c r="SQI982" s="336"/>
      <c r="SQJ982" s="337"/>
      <c r="SQK982" s="336"/>
      <c r="SQL982" s="337"/>
      <c r="SQM982" s="336"/>
      <c r="SQN982" s="337"/>
      <c r="SQO982" s="336"/>
      <c r="SQP982" s="337"/>
      <c r="SQQ982" s="336"/>
      <c r="SQR982" s="337"/>
      <c r="SQS982" s="336"/>
      <c r="SQT982" s="337"/>
      <c r="SQU982" s="336"/>
      <c r="SQV982" s="337"/>
      <c r="SQW982" s="336"/>
      <c r="SQX982" s="337"/>
      <c r="SQY982" s="336"/>
      <c r="SQZ982" s="337"/>
      <c r="SRA982" s="336"/>
      <c r="SRB982" s="337"/>
      <c r="SRC982" s="336"/>
      <c r="SRD982" s="337"/>
      <c r="SRE982" s="336"/>
      <c r="SRF982" s="337"/>
      <c r="SRG982" s="336"/>
      <c r="SRH982" s="337"/>
      <c r="SRI982" s="336"/>
      <c r="SRJ982" s="337"/>
      <c r="SRK982" s="336"/>
      <c r="SRL982" s="337"/>
      <c r="SRM982" s="336"/>
      <c r="SRN982" s="337"/>
      <c r="SRO982" s="336"/>
      <c r="SRP982" s="337"/>
      <c r="SRQ982" s="336"/>
      <c r="SRR982" s="337"/>
      <c r="SRS982" s="336"/>
      <c r="SRT982" s="337"/>
      <c r="SRU982" s="336"/>
      <c r="SRV982" s="337"/>
      <c r="SRW982" s="336"/>
      <c r="SRX982" s="337"/>
      <c r="SRY982" s="336"/>
      <c r="SRZ982" s="337"/>
      <c r="SSA982" s="336"/>
      <c r="SSB982" s="337"/>
      <c r="SSC982" s="336"/>
      <c r="SSD982" s="337"/>
      <c r="SSE982" s="336"/>
      <c r="SSF982" s="337"/>
      <c r="SSG982" s="336"/>
      <c r="SSH982" s="337"/>
      <c r="SSI982" s="336"/>
      <c r="SSJ982" s="337"/>
      <c r="SSK982" s="336"/>
      <c r="SSL982" s="337"/>
      <c r="SSM982" s="336"/>
      <c r="SSN982" s="337"/>
      <c r="SSO982" s="336"/>
      <c r="SSP982" s="337"/>
      <c r="SSQ982" s="336"/>
      <c r="SSR982" s="337"/>
      <c r="SSS982" s="336"/>
      <c r="SST982" s="337"/>
      <c r="SSU982" s="336"/>
      <c r="SSV982" s="337"/>
      <c r="SSW982" s="336"/>
      <c r="SSX982" s="337"/>
      <c r="SSY982" s="336"/>
      <c r="SSZ982" s="337"/>
      <c r="STA982" s="336"/>
      <c r="STB982" s="337"/>
      <c r="STC982" s="336"/>
      <c r="STD982" s="337"/>
      <c r="STE982" s="336"/>
      <c r="STF982" s="337"/>
      <c r="STG982" s="336"/>
      <c r="STH982" s="337"/>
      <c r="STI982" s="336"/>
      <c r="STJ982" s="337"/>
      <c r="STK982" s="336"/>
      <c r="STL982" s="337"/>
      <c r="STM982" s="336"/>
      <c r="STN982" s="337"/>
      <c r="STO982" s="336"/>
      <c r="STP982" s="337"/>
      <c r="STQ982" s="336"/>
      <c r="STR982" s="337"/>
      <c r="STS982" s="336"/>
      <c r="STT982" s="337"/>
      <c r="STU982" s="336"/>
      <c r="STV982" s="337"/>
      <c r="STW982" s="336"/>
      <c r="STX982" s="337"/>
      <c r="STY982" s="336"/>
      <c r="STZ982" s="337"/>
      <c r="SUA982" s="336"/>
      <c r="SUB982" s="337"/>
      <c r="SUC982" s="336"/>
      <c r="SUD982" s="337"/>
      <c r="SUE982" s="336"/>
      <c r="SUF982" s="337"/>
      <c r="SUG982" s="336"/>
      <c r="SUH982" s="337"/>
      <c r="SUI982" s="336"/>
      <c r="SUJ982" s="337"/>
      <c r="SUK982" s="336"/>
      <c r="SUL982" s="337"/>
      <c r="SUM982" s="336"/>
      <c r="SUN982" s="337"/>
      <c r="SUO982" s="336"/>
      <c r="SUP982" s="337"/>
      <c r="SUQ982" s="336"/>
      <c r="SUR982" s="337"/>
      <c r="SUS982" s="336"/>
      <c r="SUT982" s="337"/>
      <c r="SUU982" s="336"/>
      <c r="SUV982" s="337"/>
      <c r="SUW982" s="336"/>
      <c r="SUX982" s="337"/>
      <c r="SUY982" s="336"/>
      <c r="SUZ982" s="337"/>
      <c r="SVA982" s="336"/>
      <c r="SVB982" s="337"/>
      <c r="SVC982" s="336"/>
      <c r="SVD982" s="337"/>
      <c r="SVE982" s="336"/>
      <c r="SVF982" s="337"/>
      <c r="SVG982" s="336"/>
      <c r="SVH982" s="337"/>
      <c r="SVI982" s="336"/>
      <c r="SVJ982" s="337"/>
      <c r="SVK982" s="336"/>
      <c r="SVL982" s="337"/>
      <c r="SVM982" s="336"/>
      <c r="SVN982" s="337"/>
      <c r="SVO982" s="336"/>
      <c r="SVP982" s="337"/>
      <c r="SVQ982" s="336"/>
      <c r="SVR982" s="337"/>
      <c r="SVS982" s="336"/>
      <c r="SVT982" s="337"/>
      <c r="SVU982" s="336"/>
      <c r="SVV982" s="337"/>
      <c r="SVW982" s="336"/>
      <c r="SVX982" s="337"/>
      <c r="SVY982" s="336"/>
      <c r="SVZ982" s="337"/>
      <c r="SWA982" s="336"/>
      <c r="SWB982" s="337"/>
      <c r="SWC982" s="336"/>
      <c r="SWD982" s="337"/>
      <c r="SWE982" s="336"/>
      <c r="SWF982" s="337"/>
      <c r="SWG982" s="336"/>
      <c r="SWH982" s="337"/>
      <c r="SWI982" s="336"/>
      <c r="SWJ982" s="337"/>
      <c r="SWK982" s="336"/>
      <c r="SWL982" s="337"/>
      <c r="SWM982" s="336"/>
      <c r="SWN982" s="337"/>
      <c r="SWO982" s="336"/>
      <c r="SWP982" s="337"/>
      <c r="SWQ982" s="336"/>
      <c r="SWR982" s="337"/>
      <c r="SWS982" s="336"/>
      <c r="SWT982" s="337"/>
      <c r="SWU982" s="336"/>
      <c r="SWV982" s="337"/>
      <c r="SWW982" s="336"/>
      <c r="SWX982" s="337"/>
      <c r="SWY982" s="336"/>
      <c r="SWZ982" s="337"/>
      <c r="SXA982" s="336"/>
      <c r="SXB982" s="337"/>
      <c r="SXC982" s="336"/>
      <c r="SXD982" s="337"/>
      <c r="SXE982" s="336"/>
      <c r="SXF982" s="337"/>
      <c r="SXG982" s="336"/>
      <c r="SXH982" s="337"/>
      <c r="SXI982" s="336"/>
      <c r="SXJ982" s="337"/>
      <c r="SXK982" s="336"/>
      <c r="SXL982" s="337"/>
      <c r="SXM982" s="336"/>
      <c r="SXN982" s="337"/>
      <c r="SXO982" s="336"/>
      <c r="SXP982" s="337"/>
      <c r="SXQ982" s="336"/>
      <c r="SXR982" s="337"/>
      <c r="SXS982" s="336"/>
      <c r="SXT982" s="337"/>
      <c r="SXU982" s="336"/>
      <c r="SXV982" s="337"/>
      <c r="SXW982" s="336"/>
      <c r="SXX982" s="337"/>
      <c r="SXY982" s="336"/>
      <c r="SXZ982" s="337"/>
      <c r="SYA982" s="336"/>
      <c r="SYB982" s="337"/>
      <c r="SYC982" s="336"/>
      <c r="SYD982" s="337"/>
      <c r="SYE982" s="336"/>
      <c r="SYF982" s="337"/>
      <c r="SYG982" s="336"/>
      <c r="SYH982" s="337"/>
      <c r="SYI982" s="336"/>
      <c r="SYJ982" s="337"/>
      <c r="SYK982" s="336"/>
      <c r="SYL982" s="337"/>
      <c r="SYM982" s="336"/>
      <c r="SYN982" s="337"/>
      <c r="SYO982" s="336"/>
      <c r="SYP982" s="337"/>
      <c r="SYQ982" s="336"/>
      <c r="SYR982" s="337"/>
      <c r="SYS982" s="336"/>
      <c r="SYT982" s="337"/>
      <c r="SYU982" s="336"/>
      <c r="SYV982" s="337"/>
      <c r="SYW982" s="336"/>
      <c r="SYX982" s="337"/>
      <c r="SYY982" s="336"/>
      <c r="SYZ982" s="337"/>
      <c r="SZA982" s="336"/>
      <c r="SZB982" s="337"/>
      <c r="SZC982" s="336"/>
      <c r="SZD982" s="337"/>
      <c r="SZE982" s="336"/>
      <c r="SZF982" s="337"/>
      <c r="SZG982" s="336"/>
      <c r="SZH982" s="337"/>
      <c r="SZI982" s="336"/>
      <c r="SZJ982" s="337"/>
      <c r="SZK982" s="336"/>
      <c r="SZL982" s="337"/>
      <c r="SZM982" s="336"/>
      <c r="SZN982" s="337"/>
      <c r="SZO982" s="336"/>
      <c r="SZP982" s="337"/>
      <c r="SZQ982" s="336"/>
      <c r="SZR982" s="337"/>
      <c r="SZS982" s="336"/>
      <c r="SZT982" s="337"/>
      <c r="SZU982" s="336"/>
      <c r="SZV982" s="337"/>
      <c r="SZW982" s="336"/>
      <c r="SZX982" s="337"/>
      <c r="SZY982" s="336"/>
      <c r="SZZ982" s="337"/>
      <c r="TAA982" s="336"/>
      <c r="TAB982" s="337"/>
      <c r="TAC982" s="336"/>
      <c r="TAD982" s="337"/>
      <c r="TAE982" s="336"/>
      <c r="TAF982" s="337"/>
      <c r="TAG982" s="336"/>
      <c r="TAH982" s="337"/>
      <c r="TAI982" s="336"/>
      <c r="TAJ982" s="337"/>
      <c r="TAK982" s="336"/>
      <c r="TAL982" s="337"/>
      <c r="TAM982" s="336"/>
      <c r="TAN982" s="337"/>
      <c r="TAO982" s="336"/>
      <c r="TAP982" s="337"/>
      <c r="TAQ982" s="336"/>
      <c r="TAR982" s="337"/>
      <c r="TAS982" s="336"/>
      <c r="TAT982" s="337"/>
      <c r="TAU982" s="336"/>
      <c r="TAV982" s="337"/>
      <c r="TAW982" s="336"/>
      <c r="TAX982" s="337"/>
      <c r="TAY982" s="336"/>
      <c r="TAZ982" s="337"/>
      <c r="TBA982" s="336"/>
      <c r="TBB982" s="337"/>
      <c r="TBC982" s="336"/>
      <c r="TBD982" s="337"/>
      <c r="TBE982" s="336"/>
      <c r="TBF982" s="337"/>
      <c r="TBG982" s="336"/>
      <c r="TBH982" s="337"/>
      <c r="TBI982" s="336"/>
      <c r="TBJ982" s="337"/>
      <c r="TBK982" s="336"/>
      <c r="TBL982" s="337"/>
      <c r="TBM982" s="336"/>
      <c r="TBN982" s="337"/>
      <c r="TBO982" s="336"/>
      <c r="TBP982" s="337"/>
      <c r="TBQ982" s="336"/>
      <c r="TBR982" s="337"/>
      <c r="TBS982" s="336"/>
      <c r="TBT982" s="337"/>
      <c r="TBU982" s="336"/>
      <c r="TBV982" s="337"/>
      <c r="TBW982" s="336"/>
      <c r="TBX982" s="337"/>
      <c r="TBY982" s="336"/>
      <c r="TBZ982" s="337"/>
      <c r="TCA982" s="336"/>
      <c r="TCB982" s="337"/>
      <c r="TCC982" s="336"/>
      <c r="TCD982" s="337"/>
      <c r="TCE982" s="336"/>
      <c r="TCF982" s="337"/>
      <c r="TCG982" s="336"/>
      <c r="TCH982" s="337"/>
      <c r="TCI982" s="336"/>
      <c r="TCJ982" s="337"/>
      <c r="TCK982" s="336"/>
      <c r="TCL982" s="337"/>
      <c r="TCM982" s="336"/>
      <c r="TCN982" s="337"/>
      <c r="TCO982" s="336"/>
      <c r="TCP982" s="337"/>
      <c r="TCQ982" s="336"/>
      <c r="TCR982" s="337"/>
      <c r="TCS982" s="336"/>
      <c r="TCT982" s="337"/>
      <c r="TCU982" s="336"/>
      <c r="TCV982" s="337"/>
      <c r="TCW982" s="336"/>
      <c r="TCX982" s="337"/>
      <c r="TCY982" s="336"/>
      <c r="TCZ982" s="337"/>
      <c r="TDA982" s="336"/>
      <c r="TDB982" s="337"/>
      <c r="TDC982" s="336"/>
      <c r="TDD982" s="337"/>
      <c r="TDE982" s="336"/>
      <c r="TDF982" s="337"/>
      <c r="TDG982" s="336"/>
      <c r="TDH982" s="337"/>
      <c r="TDI982" s="336"/>
      <c r="TDJ982" s="337"/>
      <c r="TDK982" s="336"/>
      <c r="TDL982" s="337"/>
      <c r="TDM982" s="336"/>
      <c r="TDN982" s="337"/>
      <c r="TDO982" s="336"/>
      <c r="TDP982" s="337"/>
      <c r="TDQ982" s="336"/>
      <c r="TDR982" s="337"/>
      <c r="TDS982" s="336"/>
      <c r="TDT982" s="337"/>
      <c r="TDU982" s="336"/>
      <c r="TDV982" s="337"/>
      <c r="TDW982" s="336"/>
      <c r="TDX982" s="337"/>
      <c r="TDY982" s="336"/>
      <c r="TDZ982" s="337"/>
      <c r="TEA982" s="336"/>
      <c r="TEB982" s="337"/>
      <c r="TEC982" s="336"/>
      <c r="TED982" s="337"/>
      <c r="TEE982" s="336"/>
      <c r="TEF982" s="337"/>
      <c r="TEG982" s="336"/>
      <c r="TEH982" s="337"/>
      <c r="TEI982" s="336"/>
      <c r="TEJ982" s="337"/>
      <c r="TEK982" s="336"/>
      <c r="TEL982" s="337"/>
      <c r="TEM982" s="336"/>
      <c r="TEN982" s="337"/>
      <c r="TEO982" s="336"/>
      <c r="TEP982" s="337"/>
      <c r="TEQ982" s="336"/>
      <c r="TER982" s="337"/>
      <c r="TES982" s="336"/>
      <c r="TET982" s="337"/>
      <c r="TEU982" s="336"/>
      <c r="TEV982" s="337"/>
      <c r="TEW982" s="336"/>
      <c r="TEX982" s="337"/>
      <c r="TEY982" s="336"/>
      <c r="TEZ982" s="337"/>
      <c r="TFA982" s="336"/>
      <c r="TFB982" s="337"/>
      <c r="TFC982" s="336"/>
      <c r="TFD982" s="337"/>
      <c r="TFE982" s="336"/>
      <c r="TFF982" s="337"/>
      <c r="TFG982" s="336"/>
      <c r="TFH982" s="337"/>
      <c r="TFI982" s="336"/>
      <c r="TFJ982" s="337"/>
      <c r="TFK982" s="336"/>
      <c r="TFL982" s="337"/>
      <c r="TFM982" s="336"/>
      <c r="TFN982" s="337"/>
      <c r="TFO982" s="336"/>
      <c r="TFP982" s="337"/>
      <c r="TFQ982" s="336"/>
      <c r="TFR982" s="337"/>
      <c r="TFS982" s="336"/>
      <c r="TFT982" s="337"/>
      <c r="TFU982" s="336"/>
      <c r="TFV982" s="337"/>
      <c r="TFW982" s="336"/>
      <c r="TFX982" s="337"/>
      <c r="TFY982" s="336"/>
      <c r="TFZ982" s="337"/>
      <c r="TGA982" s="336"/>
      <c r="TGB982" s="337"/>
      <c r="TGC982" s="336"/>
      <c r="TGD982" s="337"/>
      <c r="TGE982" s="336"/>
      <c r="TGF982" s="337"/>
      <c r="TGG982" s="336"/>
      <c r="TGH982" s="337"/>
      <c r="TGI982" s="336"/>
      <c r="TGJ982" s="337"/>
      <c r="TGK982" s="336"/>
      <c r="TGL982" s="337"/>
      <c r="TGM982" s="336"/>
      <c r="TGN982" s="337"/>
      <c r="TGO982" s="336"/>
      <c r="TGP982" s="337"/>
      <c r="TGQ982" s="336"/>
      <c r="TGR982" s="337"/>
      <c r="TGS982" s="336"/>
      <c r="TGT982" s="337"/>
      <c r="TGU982" s="336"/>
      <c r="TGV982" s="337"/>
      <c r="TGW982" s="336"/>
      <c r="TGX982" s="337"/>
      <c r="TGY982" s="336"/>
      <c r="TGZ982" s="337"/>
      <c r="THA982" s="336"/>
      <c r="THB982" s="337"/>
      <c r="THC982" s="336"/>
      <c r="THD982" s="337"/>
      <c r="THE982" s="336"/>
      <c r="THF982" s="337"/>
      <c r="THG982" s="336"/>
      <c r="THH982" s="337"/>
      <c r="THI982" s="336"/>
      <c r="THJ982" s="337"/>
      <c r="THK982" s="336"/>
      <c r="THL982" s="337"/>
      <c r="THM982" s="336"/>
      <c r="THN982" s="337"/>
      <c r="THO982" s="336"/>
      <c r="THP982" s="337"/>
      <c r="THQ982" s="336"/>
      <c r="THR982" s="337"/>
      <c r="THS982" s="336"/>
      <c r="THT982" s="337"/>
      <c r="THU982" s="336"/>
      <c r="THV982" s="337"/>
      <c r="THW982" s="336"/>
      <c r="THX982" s="337"/>
      <c r="THY982" s="336"/>
      <c r="THZ982" s="337"/>
      <c r="TIA982" s="336"/>
      <c r="TIB982" s="337"/>
      <c r="TIC982" s="336"/>
      <c r="TID982" s="337"/>
      <c r="TIE982" s="336"/>
      <c r="TIF982" s="337"/>
      <c r="TIG982" s="336"/>
      <c r="TIH982" s="337"/>
      <c r="TII982" s="336"/>
      <c r="TIJ982" s="337"/>
      <c r="TIK982" s="336"/>
      <c r="TIL982" s="337"/>
      <c r="TIM982" s="336"/>
      <c r="TIN982" s="337"/>
      <c r="TIO982" s="336"/>
      <c r="TIP982" s="337"/>
      <c r="TIQ982" s="336"/>
      <c r="TIR982" s="337"/>
      <c r="TIS982" s="336"/>
      <c r="TIT982" s="337"/>
      <c r="TIU982" s="336"/>
      <c r="TIV982" s="337"/>
      <c r="TIW982" s="336"/>
      <c r="TIX982" s="337"/>
      <c r="TIY982" s="336"/>
      <c r="TIZ982" s="337"/>
      <c r="TJA982" s="336"/>
      <c r="TJB982" s="337"/>
      <c r="TJC982" s="336"/>
      <c r="TJD982" s="337"/>
      <c r="TJE982" s="336"/>
      <c r="TJF982" s="337"/>
      <c r="TJG982" s="336"/>
      <c r="TJH982" s="337"/>
      <c r="TJI982" s="336"/>
      <c r="TJJ982" s="337"/>
      <c r="TJK982" s="336"/>
      <c r="TJL982" s="337"/>
      <c r="TJM982" s="336"/>
      <c r="TJN982" s="337"/>
      <c r="TJO982" s="336"/>
      <c r="TJP982" s="337"/>
      <c r="TJQ982" s="336"/>
      <c r="TJR982" s="337"/>
      <c r="TJS982" s="336"/>
      <c r="TJT982" s="337"/>
      <c r="TJU982" s="336"/>
      <c r="TJV982" s="337"/>
      <c r="TJW982" s="336"/>
      <c r="TJX982" s="337"/>
      <c r="TJY982" s="336"/>
      <c r="TJZ982" s="337"/>
      <c r="TKA982" s="336"/>
      <c r="TKB982" s="337"/>
      <c r="TKC982" s="336"/>
      <c r="TKD982" s="337"/>
      <c r="TKE982" s="336"/>
      <c r="TKF982" s="337"/>
      <c r="TKG982" s="336"/>
      <c r="TKH982" s="337"/>
      <c r="TKI982" s="336"/>
      <c r="TKJ982" s="337"/>
      <c r="TKK982" s="336"/>
      <c r="TKL982" s="337"/>
      <c r="TKM982" s="336"/>
      <c r="TKN982" s="337"/>
      <c r="TKO982" s="336"/>
      <c r="TKP982" s="337"/>
      <c r="TKQ982" s="336"/>
      <c r="TKR982" s="337"/>
      <c r="TKS982" s="336"/>
      <c r="TKT982" s="337"/>
      <c r="TKU982" s="336"/>
      <c r="TKV982" s="337"/>
      <c r="TKW982" s="336"/>
      <c r="TKX982" s="337"/>
      <c r="TKY982" s="336"/>
      <c r="TKZ982" s="337"/>
      <c r="TLA982" s="336"/>
      <c r="TLB982" s="337"/>
      <c r="TLC982" s="336"/>
      <c r="TLD982" s="337"/>
      <c r="TLE982" s="336"/>
      <c r="TLF982" s="337"/>
      <c r="TLG982" s="336"/>
      <c r="TLH982" s="337"/>
      <c r="TLI982" s="336"/>
      <c r="TLJ982" s="337"/>
      <c r="TLK982" s="336"/>
      <c r="TLL982" s="337"/>
      <c r="TLM982" s="336"/>
      <c r="TLN982" s="337"/>
      <c r="TLO982" s="336"/>
      <c r="TLP982" s="337"/>
      <c r="TLQ982" s="336"/>
      <c r="TLR982" s="337"/>
      <c r="TLS982" s="336"/>
      <c r="TLT982" s="337"/>
      <c r="TLU982" s="336"/>
      <c r="TLV982" s="337"/>
      <c r="TLW982" s="336"/>
      <c r="TLX982" s="337"/>
      <c r="TLY982" s="336"/>
      <c r="TLZ982" s="337"/>
      <c r="TMA982" s="336"/>
      <c r="TMB982" s="337"/>
      <c r="TMC982" s="336"/>
      <c r="TMD982" s="337"/>
      <c r="TME982" s="336"/>
      <c r="TMF982" s="337"/>
      <c r="TMG982" s="336"/>
      <c r="TMH982" s="337"/>
      <c r="TMI982" s="336"/>
      <c r="TMJ982" s="337"/>
      <c r="TMK982" s="336"/>
      <c r="TML982" s="337"/>
      <c r="TMM982" s="336"/>
      <c r="TMN982" s="337"/>
      <c r="TMO982" s="336"/>
      <c r="TMP982" s="337"/>
      <c r="TMQ982" s="336"/>
      <c r="TMR982" s="337"/>
      <c r="TMS982" s="336"/>
      <c r="TMT982" s="337"/>
      <c r="TMU982" s="336"/>
      <c r="TMV982" s="337"/>
      <c r="TMW982" s="336"/>
      <c r="TMX982" s="337"/>
      <c r="TMY982" s="336"/>
      <c r="TMZ982" s="337"/>
      <c r="TNA982" s="336"/>
      <c r="TNB982" s="337"/>
      <c r="TNC982" s="336"/>
      <c r="TND982" s="337"/>
      <c r="TNE982" s="336"/>
      <c r="TNF982" s="337"/>
      <c r="TNG982" s="336"/>
      <c r="TNH982" s="337"/>
      <c r="TNI982" s="336"/>
      <c r="TNJ982" s="337"/>
      <c r="TNK982" s="336"/>
      <c r="TNL982" s="337"/>
      <c r="TNM982" s="336"/>
      <c r="TNN982" s="337"/>
      <c r="TNO982" s="336"/>
      <c r="TNP982" s="337"/>
      <c r="TNQ982" s="336"/>
      <c r="TNR982" s="337"/>
      <c r="TNS982" s="336"/>
      <c r="TNT982" s="337"/>
      <c r="TNU982" s="336"/>
      <c r="TNV982" s="337"/>
      <c r="TNW982" s="336"/>
      <c r="TNX982" s="337"/>
      <c r="TNY982" s="336"/>
      <c r="TNZ982" s="337"/>
      <c r="TOA982" s="336"/>
      <c r="TOB982" s="337"/>
      <c r="TOC982" s="336"/>
      <c r="TOD982" s="337"/>
      <c r="TOE982" s="336"/>
      <c r="TOF982" s="337"/>
      <c r="TOG982" s="336"/>
      <c r="TOH982" s="337"/>
      <c r="TOI982" s="336"/>
      <c r="TOJ982" s="337"/>
      <c r="TOK982" s="336"/>
      <c r="TOL982" s="337"/>
      <c r="TOM982" s="336"/>
      <c r="TON982" s="337"/>
      <c r="TOO982" s="336"/>
      <c r="TOP982" s="337"/>
      <c r="TOQ982" s="336"/>
      <c r="TOR982" s="337"/>
      <c r="TOS982" s="336"/>
      <c r="TOT982" s="337"/>
      <c r="TOU982" s="336"/>
      <c r="TOV982" s="337"/>
      <c r="TOW982" s="336"/>
      <c r="TOX982" s="337"/>
      <c r="TOY982" s="336"/>
      <c r="TOZ982" s="337"/>
      <c r="TPA982" s="336"/>
      <c r="TPB982" s="337"/>
      <c r="TPC982" s="336"/>
      <c r="TPD982" s="337"/>
      <c r="TPE982" s="336"/>
      <c r="TPF982" s="337"/>
      <c r="TPG982" s="336"/>
      <c r="TPH982" s="337"/>
      <c r="TPI982" s="336"/>
      <c r="TPJ982" s="337"/>
      <c r="TPK982" s="336"/>
      <c r="TPL982" s="337"/>
      <c r="TPM982" s="336"/>
      <c r="TPN982" s="337"/>
      <c r="TPO982" s="336"/>
      <c r="TPP982" s="337"/>
      <c r="TPQ982" s="336"/>
      <c r="TPR982" s="337"/>
      <c r="TPS982" s="336"/>
      <c r="TPT982" s="337"/>
      <c r="TPU982" s="336"/>
      <c r="TPV982" s="337"/>
      <c r="TPW982" s="336"/>
      <c r="TPX982" s="337"/>
      <c r="TPY982" s="336"/>
      <c r="TPZ982" s="337"/>
      <c r="TQA982" s="336"/>
      <c r="TQB982" s="337"/>
      <c r="TQC982" s="336"/>
      <c r="TQD982" s="337"/>
      <c r="TQE982" s="336"/>
      <c r="TQF982" s="337"/>
      <c r="TQG982" s="336"/>
      <c r="TQH982" s="337"/>
      <c r="TQI982" s="336"/>
      <c r="TQJ982" s="337"/>
      <c r="TQK982" s="336"/>
      <c r="TQL982" s="337"/>
      <c r="TQM982" s="336"/>
      <c r="TQN982" s="337"/>
      <c r="TQO982" s="336"/>
      <c r="TQP982" s="337"/>
      <c r="TQQ982" s="336"/>
      <c r="TQR982" s="337"/>
      <c r="TQS982" s="336"/>
      <c r="TQT982" s="337"/>
      <c r="TQU982" s="336"/>
      <c r="TQV982" s="337"/>
      <c r="TQW982" s="336"/>
      <c r="TQX982" s="337"/>
      <c r="TQY982" s="336"/>
      <c r="TQZ982" s="337"/>
      <c r="TRA982" s="336"/>
      <c r="TRB982" s="337"/>
      <c r="TRC982" s="336"/>
      <c r="TRD982" s="337"/>
      <c r="TRE982" s="336"/>
      <c r="TRF982" s="337"/>
      <c r="TRG982" s="336"/>
      <c r="TRH982" s="337"/>
      <c r="TRI982" s="336"/>
      <c r="TRJ982" s="337"/>
      <c r="TRK982" s="336"/>
      <c r="TRL982" s="337"/>
      <c r="TRM982" s="336"/>
      <c r="TRN982" s="337"/>
      <c r="TRO982" s="336"/>
      <c r="TRP982" s="337"/>
      <c r="TRQ982" s="336"/>
      <c r="TRR982" s="337"/>
      <c r="TRS982" s="336"/>
      <c r="TRT982" s="337"/>
      <c r="TRU982" s="336"/>
      <c r="TRV982" s="337"/>
      <c r="TRW982" s="336"/>
      <c r="TRX982" s="337"/>
      <c r="TRY982" s="336"/>
      <c r="TRZ982" s="337"/>
      <c r="TSA982" s="336"/>
      <c r="TSB982" s="337"/>
      <c r="TSC982" s="336"/>
      <c r="TSD982" s="337"/>
      <c r="TSE982" s="336"/>
      <c r="TSF982" s="337"/>
      <c r="TSG982" s="336"/>
      <c r="TSH982" s="337"/>
      <c r="TSI982" s="336"/>
      <c r="TSJ982" s="337"/>
      <c r="TSK982" s="336"/>
      <c r="TSL982" s="337"/>
      <c r="TSM982" s="336"/>
      <c r="TSN982" s="337"/>
      <c r="TSO982" s="336"/>
      <c r="TSP982" s="337"/>
      <c r="TSQ982" s="336"/>
      <c r="TSR982" s="337"/>
      <c r="TSS982" s="336"/>
      <c r="TST982" s="337"/>
      <c r="TSU982" s="336"/>
      <c r="TSV982" s="337"/>
      <c r="TSW982" s="336"/>
      <c r="TSX982" s="337"/>
      <c r="TSY982" s="336"/>
      <c r="TSZ982" s="337"/>
      <c r="TTA982" s="336"/>
      <c r="TTB982" s="337"/>
      <c r="TTC982" s="336"/>
      <c r="TTD982" s="337"/>
      <c r="TTE982" s="336"/>
      <c r="TTF982" s="337"/>
      <c r="TTG982" s="336"/>
      <c r="TTH982" s="337"/>
      <c r="TTI982" s="336"/>
      <c r="TTJ982" s="337"/>
      <c r="TTK982" s="336"/>
      <c r="TTL982" s="337"/>
      <c r="TTM982" s="336"/>
      <c r="TTN982" s="337"/>
      <c r="TTO982" s="336"/>
      <c r="TTP982" s="337"/>
      <c r="TTQ982" s="336"/>
      <c r="TTR982" s="337"/>
      <c r="TTS982" s="336"/>
      <c r="TTT982" s="337"/>
      <c r="TTU982" s="336"/>
      <c r="TTV982" s="337"/>
      <c r="TTW982" s="336"/>
      <c r="TTX982" s="337"/>
      <c r="TTY982" s="336"/>
      <c r="TTZ982" s="337"/>
      <c r="TUA982" s="336"/>
      <c r="TUB982" s="337"/>
      <c r="TUC982" s="336"/>
      <c r="TUD982" s="337"/>
      <c r="TUE982" s="336"/>
      <c r="TUF982" s="337"/>
      <c r="TUG982" s="336"/>
      <c r="TUH982" s="337"/>
      <c r="TUI982" s="336"/>
      <c r="TUJ982" s="337"/>
      <c r="TUK982" s="336"/>
      <c r="TUL982" s="337"/>
      <c r="TUM982" s="336"/>
      <c r="TUN982" s="337"/>
      <c r="TUO982" s="336"/>
      <c r="TUP982" s="337"/>
      <c r="TUQ982" s="336"/>
      <c r="TUR982" s="337"/>
      <c r="TUS982" s="336"/>
      <c r="TUT982" s="337"/>
      <c r="TUU982" s="336"/>
      <c r="TUV982" s="337"/>
      <c r="TUW982" s="336"/>
      <c r="TUX982" s="337"/>
      <c r="TUY982" s="336"/>
      <c r="TUZ982" s="337"/>
      <c r="TVA982" s="336"/>
      <c r="TVB982" s="337"/>
      <c r="TVC982" s="336"/>
      <c r="TVD982" s="337"/>
      <c r="TVE982" s="336"/>
      <c r="TVF982" s="337"/>
      <c r="TVG982" s="336"/>
      <c r="TVH982" s="337"/>
      <c r="TVI982" s="336"/>
      <c r="TVJ982" s="337"/>
      <c r="TVK982" s="336"/>
      <c r="TVL982" s="337"/>
      <c r="TVM982" s="336"/>
      <c r="TVN982" s="337"/>
      <c r="TVO982" s="336"/>
      <c r="TVP982" s="337"/>
      <c r="TVQ982" s="336"/>
      <c r="TVR982" s="337"/>
      <c r="TVS982" s="336"/>
      <c r="TVT982" s="337"/>
      <c r="TVU982" s="336"/>
      <c r="TVV982" s="337"/>
      <c r="TVW982" s="336"/>
      <c r="TVX982" s="337"/>
      <c r="TVY982" s="336"/>
      <c r="TVZ982" s="337"/>
      <c r="TWA982" s="336"/>
      <c r="TWB982" s="337"/>
      <c r="TWC982" s="336"/>
      <c r="TWD982" s="337"/>
      <c r="TWE982" s="336"/>
      <c r="TWF982" s="337"/>
      <c r="TWG982" s="336"/>
      <c r="TWH982" s="337"/>
      <c r="TWI982" s="336"/>
      <c r="TWJ982" s="337"/>
      <c r="TWK982" s="336"/>
      <c r="TWL982" s="337"/>
      <c r="TWM982" s="336"/>
      <c r="TWN982" s="337"/>
      <c r="TWO982" s="336"/>
      <c r="TWP982" s="337"/>
      <c r="TWQ982" s="336"/>
      <c r="TWR982" s="337"/>
      <c r="TWS982" s="336"/>
      <c r="TWT982" s="337"/>
      <c r="TWU982" s="336"/>
      <c r="TWV982" s="337"/>
      <c r="TWW982" s="336"/>
      <c r="TWX982" s="337"/>
      <c r="TWY982" s="336"/>
      <c r="TWZ982" s="337"/>
      <c r="TXA982" s="336"/>
      <c r="TXB982" s="337"/>
      <c r="TXC982" s="336"/>
      <c r="TXD982" s="337"/>
      <c r="TXE982" s="336"/>
      <c r="TXF982" s="337"/>
      <c r="TXG982" s="336"/>
      <c r="TXH982" s="337"/>
      <c r="TXI982" s="336"/>
      <c r="TXJ982" s="337"/>
      <c r="TXK982" s="336"/>
      <c r="TXL982" s="337"/>
      <c r="TXM982" s="336"/>
      <c r="TXN982" s="337"/>
      <c r="TXO982" s="336"/>
      <c r="TXP982" s="337"/>
      <c r="TXQ982" s="336"/>
      <c r="TXR982" s="337"/>
      <c r="TXS982" s="336"/>
      <c r="TXT982" s="337"/>
      <c r="TXU982" s="336"/>
      <c r="TXV982" s="337"/>
      <c r="TXW982" s="336"/>
      <c r="TXX982" s="337"/>
      <c r="TXY982" s="336"/>
      <c r="TXZ982" s="337"/>
      <c r="TYA982" s="336"/>
      <c r="TYB982" s="337"/>
      <c r="TYC982" s="336"/>
      <c r="TYD982" s="337"/>
      <c r="TYE982" s="336"/>
      <c r="TYF982" s="337"/>
      <c r="TYG982" s="336"/>
      <c r="TYH982" s="337"/>
      <c r="TYI982" s="336"/>
      <c r="TYJ982" s="337"/>
      <c r="TYK982" s="336"/>
      <c r="TYL982" s="337"/>
      <c r="TYM982" s="336"/>
      <c r="TYN982" s="337"/>
      <c r="TYO982" s="336"/>
      <c r="TYP982" s="337"/>
      <c r="TYQ982" s="336"/>
      <c r="TYR982" s="337"/>
      <c r="TYS982" s="336"/>
      <c r="TYT982" s="337"/>
      <c r="TYU982" s="336"/>
      <c r="TYV982" s="337"/>
      <c r="TYW982" s="336"/>
      <c r="TYX982" s="337"/>
      <c r="TYY982" s="336"/>
      <c r="TYZ982" s="337"/>
      <c r="TZA982" s="336"/>
      <c r="TZB982" s="337"/>
      <c r="TZC982" s="336"/>
      <c r="TZD982" s="337"/>
      <c r="TZE982" s="336"/>
      <c r="TZF982" s="337"/>
      <c r="TZG982" s="336"/>
      <c r="TZH982" s="337"/>
      <c r="TZI982" s="336"/>
      <c r="TZJ982" s="337"/>
      <c r="TZK982" s="336"/>
      <c r="TZL982" s="337"/>
      <c r="TZM982" s="336"/>
      <c r="TZN982" s="337"/>
      <c r="TZO982" s="336"/>
      <c r="TZP982" s="337"/>
      <c r="TZQ982" s="336"/>
      <c r="TZR982" s="337"/>
      <c r="TZS982" s="336"/>
      <c r="TZT982" s="337"/>
      <c r="TZU982" s="336"/>
      <c r="TZV982" s="337"/>
      <c r="TZW982" s="336"/>
      <c r="TZX982" s="337"/>
      <c r="TZY982" s="336"/>
      <c r="TZZ982" s="337"/>
      <c r="UAA982" s="336"/>
      <c r="UAB982" s="337"/>
      <c r="UAC982" s="336"/>
      <c r="UAD982" s="337"/>
      <c r="UAE982" s="336"/>
      <c r="UAF982" s="337"/>
      <c r="UAG982" s="336"/>
      <c r="UAH982" s="337"/>
      <c r="UAI982" s="336"/>
      <c r="UAJ982" s="337"/>
      <c r="UAK982" s="336"/>
      <c r="UAL982" s="337"/>
      <c r="UAM982" s="336"/>
      <c r="UAN982" s="337"/>
      <c r="UAO982" s="336"/>
      <c r="UAP982" s="337"/>
      <c r="UAQ982" s="336"/>
      <c r="UAR982" s="337"/>
      <c r="UAS982" s="336"/>
      <c r="UAT982" s="337"/>
      <c r="UAU982" s="336"/>
      <c r="UAV982" s="337"/>
      <c r="UAW982" s="336"/>
      <c r="UAX982" s="337"/>
      <c r="UAY982" s="336"/>
      <c r="UAZ982" s="337"/>
      <c r="UBA982" s="336"/>
      <c r="UBB982" s="337"/>
      <c r="UBC982" s="336"/>
      <c r="UBD982" s="337"/>
      <c r="UBE982" s="336"/>
      <c r="UBF982" s="337"/>
      <c r="UBG982" s="336"/>
      <c r="UBH982" s="337"/>
      <c r="UBI982" s="336"/>
      <c r="UBJ982" s="337"/>
      <c r="UBK982" s="336"/>
      <c r="UBL982" s="337"/>
      <c r="UBM982" s="336"/>
      <c r="UBN982" s="337"/>
      <c r="UBO982" s="336"/>
      <c r="UBP982" s="337"/>
      <c r="UBQ982" s="336"/>
      <c r="UBR982" s="337"/>
      <c r="UBS982" s="336"/>
      <c r="UBT982" s="337"/>
      <c r="UBU982" s="336"/>
      <c r="UBV982" s="337"/>
      <c r="UBW982" s="336"/>
      <c r="UBX982" s="337"/>
      <c r="UBY982" s="336"/>
      <c r="UBZ982" s="337"/>
      <c r="UCA982" s="336"/>
      <c r="UCB982" s="337"/>
      <c r="UCC982" s="336"/>
      <c r="UCD982" s="337"/>
      <c r="UCE982" s="336"/>
      <c r="UCF982" s="337"/>
      <c r="UCG982" s="336"/>
      <c r="UCH982" s="337"/>
      <c r="UCI982" s="336"/>
      <c r="UCJ982" s="337"/>
      <c r="UCK982" s="336"/>
      <c r="UCL982" s="337"/>
      <c r="UCM982" s="336"/>
      <c r="UCN982" s="337"/>
      <c r="UCO982" s="336"/>
      <c r="UCP982" s="337"/>
      <c r="UCQ982" s="336"/>
      <c r="UCR982" s="337"/>
      <c r="UCS982" s="336"/>
      <c r="UCT982" s="337"/>
      <c r="UCU982" s="336"/>
      <c r="UCV982" s="337"/>
      <c r="UCW982" s="336"/>
      <c r="UCX982" s="337"/>
      <c r="UCY982" s="336"/>
      <c r="UCZ982" s="337"/>
      <c r="UDA982" s="336"/>
      <c r="UDB982" s="337"/>
      <c r="UDC982" s="336"/>
      <c r="UDD982" s="337"/>
      <c r="UDE982" s="336"/>
      <c r="UDF982" s="337"/>
      <c r="UDG982" s="336"/>
      <c r="UDH982" s="337"/>
      <c r="UDI982" s="336"/>
      <c r="UDJ982" s="337"/>
      <c r="UDK982" s="336"/>
      <c r="UDL982" s="337"/>
      <c r="UDM982" s="336"/>
      <c r="UDN982" s="337"/>
      <c r="UDO982" s="336"/>
      <c r="UDP982" s="337"/>
      <c r="UDQ982" s="336"/>
      <c r="UDR982" s="337"/>
      <c r="UDS982" s="336"/>
      <c r="UDT982" s="337"/>
      <c r="UDU982" s="336"/>
      <c r="UDV982" s="337"/>
      <c r="UDW982" s="336"/>
      <c r="UDX982" s="337"/>
      <c r="UDY982" s="336"/>
      <c r="UDZ982" s="337"/>
      <c r="UEA982" s="336"/>
      <c r="UEB982" s="337"/>
      <c r="UEC982" s="336"/>
      <c r="UED982" s="337"/>
      <c r="UEE982" s="336"/>
      <c r="UEF982" s="337"/>
      <c r="UEG982" s="336"/>
      <c r="UEH982" s="337"/>
      <c r="UEI982" s="336"/>
      <c r="UEJ982" s="337"/>
      <c r="UEK982" s="336"/>
      <c r="UEL982" s="337"/>
      <c r="UEM982" s="336"/>
      <c r="UEN982" s="337"/>
      <c r="UEO982" s="336"/>
      <c r="UEP982" s="337"/>
      <c r="UEQ982" s="336"/>
      <c r="UER982" s="337"/>
      <c r="UES982" s="336"/>
      <c r="UET982" s="337"/>
      <c r="UEU982" s="336"/>
      <c r="UEV982" s="337"/>
      <c r="UEW982" s="336"/>
      <c r="UEX982" s="337"/>
      <c r="UEY982" s="336"/>
      <c r="UEZ982" s="337"/>
      <c r="UFA982" s="336"/>
      <c r="UFB982" s="337"/>
      <c r="UFC982" s="336"/>
      <c r="UFD982" s="337"/>
      <c r="UFE982" s="336"/>
      <c r="UFF982" s="337"/>
      <c r="UFG982" s="336"/>
      <c r="UFH982" s="337"/>
      <c r="UFI982" s="336"/>
      <c r="UFJ982" s="337"/>
      <c r="UFK982" s="336"/>
      <c r="UFL982" s="337"/>
      <c r="UFM982" s="336"/>
      <c r="UFN982" s="337"/>
      <c r="UFO982" s="336"/>
      <c r="UFP982" s="337"/>
      <c r="UFQ982" s="336"/>
      <c r="UFR982" s="337"/>
      <c r="UFS982" s="336"/>
      <c r="UFT982" s="337"/>
      <c r="UFU982" s="336"/>
      <c r="UFV982" s="337"/>
      <c r="UFW982" s="336"/>
      <c r="UFX982" s="337"/>
      <c r="UFY982" s="336"/>
      <c r="UFZ982" s="337"/>
      <c r="UGA982" s="336"/>
      <c r="UGB982" s="337"/>
      <c r="UGC982" s="336"/>
      <c r="UGD982" s="337"/>
      <c r="UGE982" s="336"/>
      <c r="UGF982" s="337"/>
      <c r="UGG982" s="336"/>
      <c r="UGH982" s="337"/>
      <c r="UGI982" s="336"/>
      <c r="UGJ982" s="337"/>
      <c r="UGK982" s="336"/>
      <c r="UGL982" s="337"/>
      <c r="UGM982" s="336"/>
      <c r="UGN982" s="337"/>
      <c r="UGO982" s="336"/>
      <c r="UGP982" s="337"/>
      <c r="UGQ982" s="336"/>
      <c r="UGR982" s="337"/>
      <c r="UGS982" s="336"/>
      <c r="UGT982" s="337"/>
      <c r="UGU982" s="336"/>
      <c r="UGV982" s="337"/>
      <c r="UGW982" s="336"/>
      <c r="UGX982" s="337"/>
      <c r="UGY982" s="336"/>
      <c r="UGZ982" s="337"/>
      <c r="UHA982" s="336"/>
      <c r="UHB982" s="337"/>
      <c r="UHC982" s="336"/>
      <c r="UHD982" s="337"/>
      <c r="UHE982" s="336"/>
      <c r="UHF982" s="337"/>
      <c r="UHG982" s="336"/>
      <c r="UHH982" s="337"/>
      <c r="UHI982" s="336"/>
      <c r="UHJ982" s="337"/>
      <c r="UHK982" s="336"/>
      <c r="UHL982" s="337"/>
      <c r="UHM982" s="336"/>
      <c r="UHN982" s="337"/>
      <c r="UHO982" s="336"/>
      <c r="UHP982" s="337"/>
      <c r="UHQ982" s="336"/>
      <c r="UHR982" s="337"/>
      <c r="UHS982" s="336"/>
      <c r="UHT982" s="337"/>
      <c r="UHU982" s="336"/>
      <c r="UHV982" s="337"/>
      <c r="UHW982" s="336"/>
      <c r="UHX982" s="337"/>
      <c r="UHY982" s="336"/>
      <c r="UHZ982" s="337"/>
      <c r="UIA982" s="336"/>
      <c r="UIB982" s="337"/>
      <c r="UIC982" s="336"/>
      <c r="UID982" s="337"/>
      <c r="UIE982" s="336"/>
      <c r="UIF982" s="337"/>
      <c r="UIG982" s="336"/>
      <c r="UIH982" s="337"/>
      <c r="UII982" s="336"/>
      <c r="UIJ982" s="337"/>
      <c r="UIK982" s="336"/>
      <c r="UIL982" s="337"/>
      <c r="UIM982" s="336"/>
      <c r="UIN982" s="337"/>
      <c r="UIO982" s="336"/>
      <c r="UIP982" s="337"/>
      <c r="UIQ982" s="336"/>
      <c r="UIR982" s="337"/>
      <c r="UIS982" s="336"/>
      <c r="UIT982" s="337"/>
      <c r="UIU982" s="336"/>
      <c r="UIV982" s="337"/>
      <c r="UIW982" s="336"/>
      <c r="UIX982" s="337"/>
      <c r="UIY982" s="336"/>
      <c r="UIZ982" s="337"/>
      <c r="UJA982" s="336"/>
      <c r="UJB982" s="337"/>
      <c r="UJC982" s="336"/>
      <c r="UJD982" s="337"/>
      <c r="UJE982" s="336"/>
      <c r="UJF982" s="337"/>
      <c r="UJG982" s="336"/>
      <c r="UJH982" s="337"/>
      <c r="UJI982" s="336"/>
      <c r="UJJ982" s="337"/>
      <c r="UJK982" s="336"/>
      <c r="UJL982" s="337"/>
      <c r="UJM982" s="336"/>
      <c r="UJN982" s="337"/>
      <c r="UJO982" s="336"/>
      <c r="UJP982" s="337"/>
      <c r="UJQ982" s="336"/>
      <c r="UJR982" s="337"/>
      <c r="UJS982" s="336"/>
      <c r="UJT982" s="337"/>
      <c r="UJU982" s="336"/>
      <c r="UJV982" s="337"/>
      <c r="UJW982" s="336"/>
      <c r="UJX982" s="337"/>
      <c r="UJY982" s="336"/>
      <c r="UJZ982" s="337"/>
      <c r="UKA982" s="336"/>
      <c r="UKB982" s="337"/>
      <c r="UKC982" s="336"/>
      <c r="UKD982" s="337"/>
      <c r="UKE982" s="336"/>
      <c r="UKF982" s="337"/>
      <c r="UKG982" s="336"/>
      <c r="UKH982" s="337"/>
      <c r="UKI982" s="336"/>
      <c r="UKJ982" s="337"/>
      <c r="UKK982" s="336"/>
      <c r="UKL982" s="337"/>
      <c r="UKM982" s="336"/>
      <c r="UKN982" s="337"/>
      <c r="UKO982" s="336"/>
      <c r="UKP982" s="337"/>
      <c r="UKQ982" s="336"/>
      <c r="UKR982" s="337"/>
      <c r="UKS982" s="336"/>
      <c r="UKT982" s="337"/>
      <c r="UKU982" s="336"/>
      <c r="UKV982" s="337"/>
      <c r="UKW982" s="336"/>
      <c r="UKX982" s="337"/>
      <c r="UKY982" s="336"/>
      <c r="UKZ982" s="337"/>
      <c r="ULA982" s="336"/>
      <c r="ULB982" s="337"/>
      <c r="ULC982" s="336"/>
      <c r="ULD982" s="337"/>
      <c r="ULE982" s="336"/>
      <c r="ULF982" s="337"/>
      <c r="ULG982" s="336"/>
      <c r="ULH982" s="337"/>
      <c r="ULI982" s="336"/>
      <c r="ULJ982" s="337"/>
      <c r="ULK982" s="336"/>
      <c r="ULL982" s="337"/>
      <c r="ULM982" s="336"/>
      <c r="ULN982" s="337"/>
      <c r="ULO982" s="336"/>
      <c r="ULP982" s="337"/>
      <c r="ULQ982" s="336"/>
      <c r="ULR982" s="337"/>
      <c r="ULS982" s="336"/>
      <c r="ULT982" s="337"/>
      <c r="ULU982" s="336"/>
      <c r="ULV982" s="337"/>
      <c r="ULW982" s="336"/>
      <c r="ULX982" s="337"/>
      <c r="ULY982" s="336"/>
      <c r="ULZ982" s="337"/>
      <c r="UMA982" s="336"/>
      <c r="UMB982" s="337"/>
      <c r="UMC982" s="336"/>
      <c r="UMD982" s="337"/>
      <c r="UME982" s="336"/>
      <c r="UMF982" s="337"/>
      <c r="UMG982" s="336"/>
      <c r="UMH982" s="337"/>
      <c r="UMI982" s="336"/>
      <c r="UMJ982" s="337"/>
      <c r="UMK982" s="336"/>
      <c r="UML982" s="337"/>
      <c r="UMM982" s="336"/>
      <c r="UMN982" s="337"/>
      <c r="UMO982" s="336"/>
      <c r="UMP982" s="337"/>
      <c r="UMQ982" s="336"/>
      <c r="UMR982" s="337"/>
      <c r="UMS982" s="336"/>
      <c r="UMT982" s="337"/>
      <c r="UMU982" s="336"/>
      <c r="UMV982" s="337"/>
      <c r="UMW982" s="336"/>
      <c r="UMX982" s="337"/>
      <c r="UMY982" s="336"/>
      <c r="UMZ982" s="337"/>
      <c r="UNA982" s="336"/>
      <c r="UNB982" s="337"/>
      <c r="UNC982" s="336"/>
      <c r="UND982" s="337"/>
      <c r="UNE982" s="336"/>
      <c r="UNF982" s="337"/>
      <c r="UNG982" s="336"/>
      <c r="UNH982" s="337"/>
      <c r="UNI982" s="336"/>
      <c r="UNJ982" s="337"/>
      <c r="UNK982" s="336"/>
      <c r="UNL982" s="337"/>
      <c r="UNM982" s="336"/>
      <c r="UNN982" s="337"/>
      <c r="UNO982" s="336"/>
      <c r="UNP982" s="337"/>
      <c r="UNQ982" s="336"/>
      <c r="UNR982" s="337"/>
      <c r="UNS982" s="336"/>
      <c r="UNT982" s="337"/>
      <c r="UNU982" s="336"/>
      <c r="UNV982" s="337"/>
      <c r="UNW982" s="336"/>
      <c r="UNX982" s="337"/>
      <c r="UNY982" s="336"/>
      <c r="UNZ982" s="337"/>
      <c r="UOA982" s="336"/>
      <c r="UOB982" s="337"/>
      <c r="UOC982" s="336"/>
      <c r="UOD982" s="337"/>
      <c r="UOE982" s="336"/>
      <c r="UOF982" s="337"/>
      <c r="UOG982" s="336"/>
      <c r="UOH982" s="337"/>
      <c r="UOI982" s="336"/>
      <c r="UOJ982" s="337"/>
      <c r="UOK982" s="336"/>
      <c r="UOL982" s="337"/>
      <c r="UOM982" s="336"/>
      <c r="UON982" s="337"/>
      <c r="UOO982" s="336"/>
      <c r="UOP982" s="337"/>
      <c r="UOQ982" s="336"/>
      <c r="UOR982" s="337"/>
      <c r="UOS982" s="336"/>
      <c r="UOT982" s="337"/>
      <c r="UOU982" s="336"/>
      <c r="UOV982" s="337"/>
      <c r="UOW982" s="336"/>
      <c r="UOX982" s="337"/>
      <c r="UOY982" s="336"/>
      <c r="UOZ982" s="337"/>
      <c r="UPA982" s="336"/>
      <c r="UPB982" s="337"/>
      <c r="UPC982" s="336"/>
      <c r="UPD982" s="337"/>
      <c r="UPE982" s="336"/>
      <c r="UPF982" s="337"/>
      <c r="UPG982" s="336"/>
      <c r="UPH982" s="337"/>
      <c r="UPI982" s="336"/>
      <c r="UPJ982" s="337"/>
      <c r="UPK982" s="336"/>
      <c r="UPL982" s="337"/>
      <c r="UPM982" s="336"/>
      <c r="UPN982" s="337"/>
      <c r="UPO982" s="336"/>
      <c r="UPP982" s="337"/>
      <c r="UPQ982" s="336"/>
      <c r="UPR982" s="337"/>
      <c r="UPS982" s="336"/>
      <c r="UPT982" s="337"/>
      <c r="UPU982" s="336"/>
      <c r="UPV982" s="337"/>
      <c r="UPW982" s="336"/>
      <c r="UPX982" s="337"/>
      <c r="UPY982" s="336"/>
      <c r="UPZ982" s="337"/>
      <c r="UQA982" s="336"/>
      <c r="UQB982" s="337"/>
      <c r="UQC982" s="336"/>
      <c r="UQD982" s="337"/>
      <c r="UQE982" s="336"/>
      <c r="UQF982" s="337"/>
      <c r="UQG982" s="336"/>
      <c r="UQH982" s="337"/>
      <c r="UQI982" s="336"/>
      <c r="UQJ982" s="337"/>
      <c r="UQK982" s="336"/>
      <c r="UQL982" s="337"/>
      <c r="UQM982" s="336"/>
      <c r="UQN982" s="337"/>
      <c r="UQO982" s="336"/>
      <c r="UQP982" s="337"/>
      <c r="UQQ982" s="336"/>
      <c r="UQR982" s="337"/>
      <c r="UQS982" s="336"/>
      <c r="UQT982" s="337"/>
      <c r="UQU982" s="336"/>
      <c r="UQV982" s="337"/>
      <c r="UQW982" s="336"/>
      <c r="UQX982" s="337"/>
      <c r="UQY982" s="336"/>
      <c r="UQZ982" s="337"/>
      <c r="URA982" s="336"/>
      <c r="URB982" s="337"/>
      <c r="URC982" s="336"/>
      <c r="URD982" s="337"/>
      <c r="URE982" s="336"/>
      <c r="URF982" s="337"/>
      <c r="URG982" s="336"/>
      <c r="URH982" s="337"/>
      <c r="URI982" s="336"/>
      <c r="URJ982" s="337"/>
      <c r="URK982" s="336"/>
      <c r="URL982" s="337"/>
      <c r="URM982" s="336"/>
      <c r="URN982" s="337"/>
      <c r="URO982" s="336"/>
      <c r="URP982" s="337"/>
      <c r="URQ982" s="336"/>
      <c r="URR982" s="337"/>
      <c r="URS982" s="336"/>
      <c r="URT982" s="337"/>
      <c r="URU982" s="336"/>
      <c r="URV982" s="337"/>
      <c r="URW982" s="336"/>
      <c r="URX982" s="337"/>
      <c r="URY982" s="336"/>
      <c r="URZ982" s="337"/>
      <c r="USA982" s="336"/>
      <c r="USB982" s="337"/>
      <c r="USC982" s="336"/>
      <c r="USD982" s="337"/>
      <c r="USE982" s="336"/>
      <c r="USF982" s="337"/>
      <c r="USG982" s="336"/>
      <c r="USH982" s="337"/>
      <c r="USI982" s="336"/>
      <c r="USJ982" s="337"/>
      <c r="USK982" s="336"/>
      <c r="USL982" s="337"/>
      <c r="USM982" s="336"/>
      <c r="USN982" s="337"/>
      <c r="USO982" s="336"/>
      <c r="USP982" s="337"/>
      <c r="USQ982" s="336"/>
      <c r="USR982" s="337"/>
      <c r="USS982" s="336"/>
      <c r="UST982" s="337"/>
      <c r="USU982" s="336"/>
      <c r="USV982" s="337"/>
      <c r="USW982" s="336"/>
      <c r="USX982" s="337"/>
      <c r="USY982" s="336"/>
      <c r="USZ982" s="337"/>
      <c r="UTA982" s="336"/>
      <c r="UTB982" s="337"/>
      <c r="UTC982" s="336"/>
      <c r="UTD982" s="337"/>
      <c r="UTE982" s="336"/>
      <c r="UTF982" s="337"/>
      <c r="UTG982" s="336"/>
      <c r="UTH982" s="337"/>
      <c r="UTI982" s="336"/>
      <c r="UTJ982" s="337"/>
      <c r="UTK982" s="336"/>
      <c r="UTL982" s="337"/>
      <c r="UTM982" s="336"/>
      <c r="UTN982" s="337"/>
      <c r="UTO982" s="336"/>
      <c r="UTP982" s="337"/>
      <c r="UTQ982" s="336"/>
      <c r="UTR982" s="337"/>
      <c r="UTS982" s="336"/>
      <c r="UTT982" s="337"/>
      <c r="UTU982" s="336"/>
      <c r="UTV982" s="337"/>
      <c r="UTW982" s="336"/>
      <c r="UTX982" s="337"/>
      <c r="UTY982" s="336"/>
      <c r="UTZ982" s="337"/>
      <c r="UUA982" s="336"/>
      <c r="UUB982" s="337"/>
      <c r="UUC982" s="336"/>
      <c r="UUD982" s="337"/>
      <c r="UUE982" s="336"/>
      <c r="UUF982" s="337"/>
      <c r="UUG982" s="336"/>
      <c r="UUH982" s="337"/>
      <c r="UUI982" s="336"/>
      <c r="UUJ982" s="337"/>
      <c r="UUK982" s="336"/>
      <c r="UUL982" s="337"/>
      <c r="UUM982" s="336"/>
      <c r="UUN982" s="337"/>
      <c r="UUO982" s="336"/>
      <c r="UUP982" s="337"/>
      <c r="UUQ982" s="336"/>
      <c r="UUR982" s="337"/>
      <c r="UUS982" s="336"/>
      <c r="UUT982" s="337"/>
      <c r="UUU982" s="336"/>
      <c r="UUV982" s="337"/>
      <c r="UUW982" s="336"/>
      <c r="UUX982" s="337"/>
      <c r="UUY982" s="336"/>
      <c r="UUZ982" s="337"/>
      <c r="UVA982" s="336"/>
      <c r="UVB982" s="337"/>
      <c r="UVC982" s="336"/>
      <c r="UVD982" s="337"/>
      <c r="UVE982" s="336"/>
      <c r="UVF982" s="337"/>
      <c r="UVG982" s="336"/>
      <c r="UVH982" s="337"/>
      <c r="UVI982" s="336"/>
      <c r="UVJ982" s="337"/>
      <c r="UVK982" s="336"/>
      <c r="UVL982" s="337"/>
      <c r="UVM982" s="336"/>
      <c r="UVN982" s="337"/>
      <c r="UVO982" s="336"/>
      <c r="UVP982" s="337"/>
      <c r="UVQ982" s="336"/>
      <c r="UVR982" s="337"/>
      <c r="UVS982" s="336"/>
      <c r="UVT982" s="337"/>
      <c r="UVU982" s="336"/>
      <c r="UVV982" s="337"/>
      <c r="UVW982" s="336"/>
      <c r="UVX982" s="337"/>
      <c r="UVY982" s="336"/>
      <c r="UVZ982" s="337"/>
      <c r="UWA982" s="336"/>
      <c r="UWB982" s="337"/>
      <c r="UWC982" s="336"/>
      <c r="UWD982" s="337"/>
      <c r="UWE982" s="336"/>
      <c r="UWF982" s="337"/>
      <c r="UWG982" s="336"/>
      <c r="UWH982" s="337"/>
      <c r="UWI982" s="336"/>
      <c r="UWJ982" s="337"/>
      <c r="UWK982" s="336"/>
      <c r="UWL982" s="337"/>
      <c r="UWM982" s="336"/>
      <c r="UWN982" s="337"/>
      <c r="UWO982" s="336"/>
      <c r="UWP982" s="337"/>
      <c r="UWQ982" s="336"/>
      <c r="UWR982" s="337"/>
      <c r="UWS982" s="336"/>
      <c r="UWT982" s="337"/>
      <c r="UWU982" s="336"/>
      <c r="UWV982" s="337"/>
      <c r="UWW982" s="336"/>
      <c r="UWX982" s="337"/>
      <c r="UWY982" s="336"/>
      <c r="UWZ982" s="337"/>
      <c r="UXA982" s="336"/>
      <c r="UXB982" s="337"/>
      <c r="UXC982" s="336"/>
      <c r="UXD982" s="337"/>
      <c r="UXE982" s="336"/>
      <c r="UXF982" s="337"/>
      <c r="UXG982" s="336"/>
      <c r="UXH982" s="337"/>
      <c r="UXI982" s="336"/>
      <c r="UXJ982" s="337"/>
      <c r="UXK982" s="336"/>
      <c r="UXL982" s="337"/>
      <c r="UXM982" s="336"/>
      <c r="UXN982" s="337"/>
      <c r="UXO982" s="336"/>
      <c r="UXP982" s="337"/>
      <c r="UXQ982" s="336"/>
      <c r="UXR982" s="337"/>
      <c r="UXS982" s="336"/>
      <c r="UXT982" s="337"/>
      <c r="UXU982" s="336"/>
      <c r="UXV982" s="337"/>
      <c r="UXW982" s="336"/>
      <c r="UXX982" s="337"/>
      <c r="UXY982" s="336"/>
      <c r="UXZ982" s="337"/>
      <c r="UYA982" s="336"/>
      <c r="UYB982" s="337"/>
      <c r="UYC982" s="336"/>
      <c r="UYD982" s="337"/>
      <c r="UYE982" s="336"/>
      <c r="UYF982" s="337"/>
      <c r="UYG982" s="336"/>
      <c r="UYH982" s="337"/>
      <c r="UYI982" s="336"/>
      <c r="UYJ982" s="337"/>
      <c r="UYK982" s="336"/>
      <c r="UYL982" s="337"/>
      <c r="UYM982" s="336"/>
      <c r="UYN982" s="337"/>
      <c r="UYO982" s="336"/>
      <c r="UYP982" s="337"/>
      <c r="UYQ982" s="336"/>
      <c r="UYR982" s="337"/>
      <c r="UYS982" s="336"/>
      <c r="UYT982" s="337"/>
      <c r="UYU982" s="336"/>
      <c r="UYV982" s="337"/>
      <c r="UYW982" s="336"/>
      <c r="UYX982" s="337"/>
      <c r="UYY982" s="336"/>
      <c r="UYZ982" s="337"/>
      <c r="UZA982" s="336"/>
      <c r="UZB982" s="337"/>
      <c r="UZC982" s="336"/>
      <c r="UZD982" s="337"/>
      <c r="UZE982" s="336"/>
      <c r="UZF982" s="337"/>
      <c r="UZG982" s="336"/>
      <c r="UZH982" s="337"/>
      <c r="UZI982" s="336"/>
      <c r="UZJ982" s="337"/>
      <c r="UZK982" s="336"/>
      <c r="UZL982" s="337"/>
      <c r="UZM982" s="336"/>
      <c r="UZN982" s="337"/>
      <c r="UZO982" s="336"/>
      <c r="UZP982" s="337"/>
      <c r="UZQ982" s="336"/>
      <c r="UZR982" s="337"/>
      <c r="UZS982" s="336"/>
      <c r="UZT982" s="337"/>
      <c r="UZU982" s="336"/>
      <c r="UZV982" s="337"/>
      <c r="UZW982" s="336"/>
      <c r="UZX982" s="337"/>
      <c r="UZY982" s="336"/>
      <c r="UZZ982" s="337"/>
      <c r="VAA982" s="336"/>
      <c r="VAB982" s="337"/>
      <c r="VAC982" s="336"/>
      <c r="VAD982" s="337"/>
      <c r="VAE982" s="336"/>
      <c r="VAF982" s="337"/>
      <c r="VAG982" s="336"/>
      <c r="VAH982" s="337"/>
      <c r="VAI982" s="336"/>
      <c r="VAJ982" s="337"/>
      <c r="VAK982" s="336"/>
      <c r="VAL982" s="337"/>
      <c r="VAM982" s="336"/>
      <c r="VAN982" s="337"/>
      <c r="VAO982" s="336"/>
      <c r="VAP982" s="337"/>
      <c r="VAQ982" s="336"/>
      <c r="VAR982" s="337"/>
      <c r="VAS982" s="336"/>
      <c r="VAT982" s="337"/>
      <c r="VAU982" s="336"/>
      <c r="VAV982" s="337"/>
      <c r="VAW982" s="336"/>
      <c r="VAX982" s="337"/>
      <c r="VAY982" s="336"/>
      <c r="VAZ982" s="337"/>
      <c r="VBA982" s="336"/>
      <c r="VBB982" s="337"/>
      <c r="VBC982" s="336"/>
      <c r="VBD982" s="337"/>
      <c r="VBE982" s="336"/>
      <c r="VBF982" s="337"/>
      <c r="VBG982" s="336"/>
      <c r="VBH982" s="337"/>
      <c r="VBI982" s="336"/>
      <c r="VBJ982" s="337"/>
      <c r="VBK982" s="336"/>
      <c r="VBL982" s="337"/>
      <c r="VBM982" s="336"/>
      <c r="VBN982" s="337"/>
      <c r="VBO982" s="336"/>
      <c r="VBP982" s="337"/>
      <c r="VBQ982" s="336"/>
      <c r="VBR982" s="337"/>
      <c r="VBS982" s="336"/>
      <c r="VBT982" s="337"/>
      <c r="VBU982" s="336"/>
      <c r="VBV982" s="337"/>
      <c r="VBW982" s="336"/>
      <c r="VBX982" s="337"/>
      <c r="VBY982" s="336"/>
      <c r="VBZ982" s="337"/>
      <c r="VCA982" s="336"/>
      <c r="VCB982" s="337"/>
      <c r="VCC982" s="336"/>
      <c r="VCD982" s="337"/>
      <c r="VCE982" s="336"/>
      <c r="VCF982" s="337"/>
      <c r="VCG982" s="336"/>
      <c r="VCH982" s="337"/>
      <c r="VCI982" s="336"/>
      <c r="VCJ982" s="337"/>
      <c r="VCK982" s="336"/>
      <c r="VCL982" s="337"/>
      <c r="VCM982" s="336"/>
      <c r="VCN982" s="337"/>
      <c r="VCO982" s="336"/>
      <c r="VCP982" s="337"/>
      <c r="VCQ982" s="336"/>
      <c r="VCR982" s="337"/>
      <c r="VCS982" s="336"/>
      <c r="VCT982" s="337"/>
      <c r="VCU982" s="336"/>
      <c r="VCV982" s="337"/>
      <c r="VCW982" s="336"/>
      <c r="VCX982" s="337"/>
      <c r="VCY982" s="336"/>
      <c r="VCZ982" s="337"/>
      <c r="VDA982" s="336"/>
      <c r="VDB982" s="337"/>
      <c r="VDC982" s="336"/>
      <c r="VDD982" s="337"/>
      <c r="VDE982" s="336"/>
      <c r="VDF982" s="337"/>
      <c r="VDG982" s="336"/>
      <c r="VDH982" s="337"/>
      <c r="VDI982" s="336"/>
      <c r="VDJ982" s="337"/>
      <c r="VDK982" s="336"/>
      <c r="VDL982" s="337"/>
      <c r="VDM982" s="336"/>
      <c r="VDN982" s="337"/>
      <c r="VDO982" s="336"/>
      <c r="VDP982" s="337"/>
      <c r="VDQ982" s="336"/>
      <c r="VDR982" s="337"/>
      <c r="VDS982" s="336"/>
      <c r="VDT982" s="337"/>
      <c r="VDU982" s="336"/>
      <c r="VDV982" s="337"/>
      <c r="VDW982" s="336"/>
      <c r="VDX982" s="337"/>
      <c r="VDY982" s="336"/>
      <c r="VDZ982" s="337"/>
      <c r="VEA982" s="336"/>
      <c r="VEB982" s="337"/>
      <c r="VEC982" s="336"/>
      <c r="VED982" s="337"/>
      <c r="VEE982" s="336"/>
      <c r="VEF982" s="337"/>
      <c r="VEG982" s="336"/>
      <c r="VEH982" s="337"/>
      <c r="VEI982" s="336"/>
      <c r="VEJ982" s="337"/>
      <c r="VEK982" s="336"/>
      <c r="VEL982" s="337"/>
      <c r="VEM982" s="336"/>
      <c r="VEN982" s="337"/>
      <c r="VEO982" s="336"/>
      <c r="VEP982" s="337"/>
      <c r="VEQ982" s="336"/>
      <c r="VER982" s="337"/>
      <c r="VES982" s="336"/>
      <c r="VET982" s="337"/>
      <c r="VEU982" s="336"/>
      <c r="VEV982" s="337"/>
      <c r="VEW982" s="336"/>
      <c r="VEX982" s="337"/>
      <c r="VEY982" s="336"/>
      <c r="VEZ982" s="337"/>
      <c r="VFA982" s="336"/>
      <c r="VFB982" s="337"/>
      <c r="VFC982" s="336"/>
      <c r="VFD982" s="337"/>
      <c r="VFE982" s="336"/>
      <c r="VFF982" s="337"/>
      <c r="VFG982" s="336"/>
      <c r="VFH982" s="337"/>
      <c r="VFI982" s="336"/>
      <c r="VFJ982" s="337"/>
      <c r="VFK982" s="336"/>
      <c r="VFL982" s="337"/>
      <c r="VFM982" s="336"/>
      <c r="VFN982" s="337"/>
      <c r="VFO982" s="336"/>
      <c r="VFP982" s="337"/>
      <c r="VFQ982" s="336"/>
      <c r="VFR982" s="337"/>
      <c r="VFS982" s="336"/>
      <c r="VFT982" s="337"/>
      <c r="VFU982" s="336"/>
      <c r="VFV982" s="337"/>
      <c r="VFW982" s="336"/>
      <c r="VFX982" s="337"/>
      <c r="VFY982" s="336"/>
      <c r="VFZ982" s="337"/>
      <c r="VGA982" s="336"/>
      <c r="VGB982" s="337"/>
      <c r="VGC982" s="336"/>
      <c r="VGD982" s="337"/>
      <c r="VGE982" s="336"/>
      <c r="VGF982" s="337"/>
      <c r="VGG982" s="336"/>
      <c r="VGH982" s="337"/>
      <c r="VGI982" s="336"/>
      <c r="VGJ982" s="337"/>
      <c r="VGK982" s="336"/>
      <c r="VGL982" s="337"/>
      <c r="VGM982" s="336"/>
      <c r="VGN982" s="337"/>
      <c r="VGO982" s="336"/>
      <c r="VGP982" s="337"/>
      <c r="VGQ982" s="336"/>
      <c r="VGR982" s="337"/>
      <c r="VGS982" s="336"/>
      <c r="VGT982" s="337"/>
      <c r="VGU982" s="336"/>
      <c r="VGV982" s="337"/>
      <c r="VGW982" s="336"/>
      <c r="VGX982" s="337"/>
      <c r="VGY982" s="336"/>
      <c r="VGZ982" s="337"/>
      <c r="VHA982" s="336"/>
      <c r="VHB982" s="337"/>
      <c r="VHC982" s="336"/>
      <c r="VHD982" s="337"/>
      <c r="VHE982" s="336"/>
      <c r="VHF982" s="337"/>
      <c r="VHG982" s="336"/>
      <c r="VHH982" s="337"/>
      <c r="VHI982" s="336"/>
      <c r="VHJ982" s="337"/>
      <c r="VHK982" s="336"/>
      <c r="VHL982" s="337"/>
      <c r="VHM982" s="336"/>
      <c r="VHN982" s="337"/>
      <c r="VHO982" s="336"/>
      <c r="VHP982" s="337"/>
      <c r="VHQ982" s="336"/>
      <c r="VHR982" s="337"/>
      <c r="VHS982" s="336"/>
      <c r="VHT982" s="337"/>
      <c r="VHU982" s="336"/>
      <c r="VHV982" s="337"/>
      <c r="VHW982" s="336"/>
      <c r="VHX982" s="337"/>
      <c r="VHY982" s="336"/>
      <c r="VHZ982" s="337"/>
      <c r="VIA982" s="336"/>
      <c r="VIB982" s="337"/>
      <c r="VIC982" s="336"/>
      <c r="VID982" s="337"/>
      <c r="VIE982" s="336"/>
      <c r="VIF982" s="337"/>
      <c r="VIG982" s="336"/>
      <c r="VIH982" s="337"/>
      <c r="VII982" s="336"/>
      <c r="VIJ982" s="337"/>
      <c r="VIK982" s="336"/>
      <c r="VIL982" s="337"/>
      <c r="VIM982" s="336"/>
      <c r="VIN982" s="337"/>
      <c r="VIO982" s="336"/>
      <c r="VIP982" s="337"/>
      <c r="VIQ982" s="336"/>
      <c r="VIR982" s="337"/>
      <c r="VIS982" s="336"/>
      <c r="VIT982" s="337"/>
      <c r="VIU982" s="336"/>
      <c r="VIV982" s="337"/>
      <c r="VIW982" s="336"/>
      <c r="VIX982" s="337"/>
      <c r="VIY982" s="336"/>
      <c r="VIZ982" s="337"/>
      <c r="VJA982" s="336"/>
      <c r="VJB982" s="337"/>
      <c r="VJC982" s="336"/>
      <c r="VJD982" s="337"/>
      <c r="VJE982" s="336"/>
      <c r="VJF982" s="337"/>
      <c r="VJG982" s="336"/>
      <c r="VJH982" s="337"/>
      <c r="VJI982" s="336"/>
      <c r="VJJ982" s="337"/>
      <c r="VJK982" s="336"/>
      <c r="VJL982" s="337"/>
      <c r="VJM982" s="336"/>
      <c r="VJN982" s="337"/>
      <c r="VJO982" s="336"/>
      <c r="VJP982" s="337"/>
      <c r="VJQ982" s="336"/>
      <c r="VJR982" s="337"/>
      <c r="VJS982" s="336"/>
      <c r="VJT982" s="337"/>
      <c r="VJU982" s="336"/>
      <c r="VJV982" s="337"/>
      <c r="VJW982" s="336"/>
      <c r="VJX982" s="337"/>
      <c r="VJY982" s="336"/>
      <c r="VJZ982" s="337"/>
      <c r="VKA982" s="336"/>
      <c r="VKB982" s="337"/>
      <c r="VKC982" s="336"/>
      <c r="VKD982" s="337"/>
      <c r="VKE982" s="336"/>
      <c r="VKF982" s="337"/>
      <c r="VKG982" s="336"/>
      <c r="VKH982" s="337"/>
      <c r="VKI982" s="336"/>
      <c r="VKJ982" s="337"/>
      <c r="VKK982" s="336"/>
      <c r="VKL982" s="337"/>
      <c r="VKM982" s="336"/>
      <c r="VKN982" s="337"/>
      <c r="VKO982" s="336"/>
      <c r="VKP982" s="337"/>
      <c r="VKQ982" s="336"/>
      <c r="VKR982" s="337"/>
      <c r="VKS982" s="336"/>
      <c r="VKT982" s="337"/>
      <c r="VKU982" s="336"/>
      <c r="VKV982" s="337"/>
      <c r="VKW982" s="336"/>
      <c r="VKX982" s="337"/>
      <c r="VKY982" s="336"/>
      <c r="VKZ982" s="337"/>
      <c r="VLA982" s="336"/>
      <c r="VLB982" s="337"/>
      <c r="VLC982" s="336"/>
      <c r="VLD982" s="337"/>
      <c r="VLE982" s="336"/>
      <c r="VLF982" s="337"/>
      <c r="VLG982" s="336"/>
      <c r="VLH982" s="337"/>
      <c r="VLI982" s="336"/>
      <c r="VLJ982" s="337"/>
      <c r="VLK982" s="336"/>
      <c r="VLL982" s="337"/>
      <c r="VLM982" s="336"/>
      <c r="VLN982" s="337"/>
      <c r="VLO982" s="336"/>
      <c r="VLP982" s="337"/>
      <c r="VLQ982" s="336"/>
      <c r="VLR982" s="337"/>
      <c r="VLS982" s="336"/>
      <c r="VLT982" s="337"/>
      <c r="VLU982" s="336"/>
      <c r="VLV982" s="337"/>
      <c r="VLW982" s="336"/>
      <c r="VLX982" s="337"/>
      <c r="VLY982" s="336"/>
      <c r="VLZ982" s="337"/>
      <c r="VMA982" s="336"/>
      <c r="VMB982" s="337"/>
      <c r="VMC982" s="336"/>
      <c r="VMD982" s="337"/>
      <c r="VME982" s="336"/>
      <c r="VMF982" s="337"/>
      <c r="VMG982" s="336"/>
      <c r="VMH982" s="337"/>
      <c r="VMI982" s="336"/>
      <c r="VMJ982" s="337"/>
      <c r="VMK982" s="336"/>
      <c r="VML982" s="337"/>
      <c r="VMM982" s="336"/>
      <c r="VMN982" s="337"/>
      <c r="VMO982" s="336"/>
      <c r="VMP982" s="337"/>
      <c r="VMQ982" s="336"/>
      <c r="VMR982" s="337"/>
      <c r="VMS982" s="336"/>
      <c r="VMT982" s="337"/>
      <c r="VMU982" s="336"/>
      <c r="VMV982" s="337"/>
      <c r="VMW982" s="336"/>
      <c r="VMX982" s="337"/>
      <c r="VMY982" s="336"/>
      <c r="VMZ982" s="337"/>
      <c r="VNA982" s="336"/>
      <c r="VNB982" s="337"/>
      <c r="VNC982" s="336"/>
      <c r="VND982" s="337"/>
      <c r="VNE982" s="336"/>
      <c r="VNF982" s="337"/>
      <c r="VNG982" s="336"/>
      <c r="VNH982" s="337"/>
      <c r="VNI982" s="336"/>
      <c r="VNJ982" s="337"/>
      <c r="VNK982" s="336"/>
      <c r="VNL982" s="337"/>
      <c r="VNM982" s="336"/>
      <c r="VNN982" s="337"/>
      <c r="VNO982" s="336"/>
      <c r="VNP982" s="337"/>
      <c r="VNQ982" s="336"/>
      <c r="VNR982" s="337"/>
      <c r="VNS982" s="336"/>
      <c r="VNT982" s="337"/>
      <c r="VNU982" s="336"/>
      <c r="VNV982" s="337"/>
      <c r="VNW982" s="336"/>
      <c r="VNX982" s="337"/>
      <c r="VNY982" s="336"/>
      <c r="VNZ982" s="337"/>
      <c r="VOA982" s="336"/>
      <c r="VOB982" s="337"/>
      <c r="VOC982" s="336"/>
      <c r="VOD982" s="337"/>
      <c r="VOE982" s="336"/>
      <c r="VOF982" s="337"/>
      <c r="VOG982" s="336"/>
      <c r="VOH982" s="337"/>
      <c r="VOI982" s="336"/>
      <c r="VOJ982" s="337"/>
      <c r="VOK982" s="336"/>
      <c r="VOL982" s="337"/>
      <c r="VOM982" s="336"/>
      <c r="VON982" s="337"/>
      <c r="VOO982" s="336"/>
      <c r="VOP982" s="337"/>
      <c r="VOQ982" s="336"/>
      <c r="VOR982" s="337"/>
      <c r="VOS982" s="336"/>
      <c r="VOT982" s="337"/>
      <c r="VOU982" s="336"/>
      <c r="VOV982" s="337"/>
      <c r="VOW982" s="336"/>
      <c r="VOX982" s="337"/>
      <c r="VOY982" s="336"/>
      <c r="VOZ982" s="337"/>
      <c r="VPA982" s="336"/>
      <c r="VPB982" s="337"/>
      <c r="VPC982" s="336"/>
      <c r="VPD982" s="337"/>
      <c r="VPE982" s="336"/>
      <c r="VPF982" s="337"/>
      <c r="VPG982" s="336"/>
      <c r="VPH982" s="337"/>
      <c r="VPI982" s="336"/>
      <c r="VPJ982" s="337"/>
      <c r="VPK982" s="336"/>
      <c r="VPL982" s="337"/>
      <c r="VPM982" s="336"/>
      <c r="VPN982" s="337"/>
      <c r="VPO982" s="336"/>
      <c r="VPP982" s="337"/>
      <c r="VPQ982" s="336"/>
      <c r="VPR982" s="337"/>
      <c r="VPS982" s="336"/>
      <c r="VPT982" s="337"/>
      <c r="VPU982" s="336"/>
      <c r="VPV982" s="337"/>
      <c r="VPW982" s="336"/>
      <c r="VPX982" s="337"/>
      <c r="VPY982" s="336"/>
      <c r="VPZ982" s="337"/>
      <c r="VQA982" s="336"/>
      <c r="VQB982" s="337"/>
      <c r="VQC982" s="336"/>
      <c r="VQD982" s="337"/>
      <c r="VQE982" s="336"/>
      <c r="VQF982" s="337"/>
      <c r="VQG982" s="336"/>
      <c r="VQH982" s="337"/>
      <c r="VQI982" s="336"/>
      <c r="VQJ982" s="337"/>
      <c r="VQK982" s="336"/>
      <c r="VQL982" s="337"/>
      <c r="VQM982" s="336"/>
      <c r="VQN982" s="337"/>
      <c r="VQO982" s="336"/>
      <c r="VQP982" s="337"/>
      <c r="VQQ982" s="336"/>
      <c r="VQR982" s="337"/>
      <c r="VQS982" s="336"/>
      <c r="VQT982" s="337"/>
      <c r="VQU982" s="336"/>
      <c r="VQV982" s="337"/>
      <c r="VQW982" s="336"/>
      <c r="VQX982" s="337"/>
      <c r="VQY982" s="336"/>
      <c r="VQZ982" s="337"/>
      <c r="VRA982" s="336"/>
      <c r="VRB982" s="337"/>
      <c r="VRC982" s="336"/>
      <c r="VRD982" s="337"/>
      <c r="VRE982" s="336"/>
      <c r="VRF982" s="337"/>
      <c r="VRG982" s="336"/>
      <c r="VRH982" s="337"/>
      <c r="VRI982" s="336"/>
      <c r="VRJ982" s="337"/>
      <c r="VRK982" s="336"/>
      <c r="VRL982" s="337"/>
      <c r="VRM982" s="336"/>
      <c r="VRN982" s="337"/>
      <c r="VRO982" s="336"/>
      <c r="VRP982" s="337"/>
      <c r="VRQ982" s="336"/>
      <c r="VRR982" s="337"/>
      <c r="VRS982" s="336"/>
      <c r="VRT982" s="337"/>
      <c r="VRU982" s="336"/>
      <c r="VRV982" s="337"/>
      <c r="VRW982" s="336"/>
      <c r="VRX982" s="337"/>
      <c r="VRY982" s="336"/>
      <c r="VRZ982" s="337"/>
      <c r="VSA982" s="336"/>
      <c r="VSB982" s="337"/>
      <c r="VSC982" s="336"/>
      <c r="VSD982" s="337"/>
      <c r="VSE982" s="336"/>
      <c r="VSF982" s="337"/>
      <c r="VSG982" s="336"/>
      <c r="VSH982" s="337"/>
      <c r="VSI982" s="336"/>
      <c r="VSJ982" s="337"/>
      <c r="VSK982" s="336"/>
      <c r="VSL982" s="337"/>
      <c r="VSM982" s="336"/>
      <c r="VSN982" s="337"/>
      <c r="VSO982" s="336"/>
      <c r="VSP982" s="337"/>
      <c r="VSQ982" s="336"/>
      <c r="VSR982" s="337"/>
      <c r="VSS982" s="336"/>
      <c r="VST982" s="337"/>
      <c r="VSU982" s="336"/>
      <c r="VSV982" s="337"/>
      <c r="VSW982" s="336"/>
      <c r="VSX982" s="337"/>
      <c r="VSY982" s="336"/>
      <c r="VSZ982" s="337"/>
      <c r="VTA982" s="336"/>
      <c r="VTB982" s="337"/>
      <c r="VTC982" s="336"/>
      <c r="VTD982" s="337"/>
      <c r="VTE982" s="336"/>
      <c r="VTF982" s="337"/>
      <c r="VTG982" s="336"/>
      <c r="VTH982" s="337"/>
      <c r="VTI982" s="336"/>
      <c r="VTJ982" s="337"/>
      <c r="VTK982" s="336"/>
      <c r="VTL982" s="337"/>
      <c r="VTM982" s="336"/>
      <c r="VTN982" s="337"/>
      <c r="VTO982" s="336"/>
      <c r="VTP982" s="337"/>
      <c r="VTQ982" s="336"/>
      <c r="VTR982" s="337"/>
      <c r="VTS982" s="336"/>
      <c r="VTT982" s="337"/>
      <c r="VTU982" s="336"/>
      <c r="VTV982" s="337"/>
      <c r="VTW982" s="336"/>
      <c r="VTX982" s="337"/>
      <c r="VTY982" s="336"/>
      <c r="VTZ982" s="337"/>
      <c r="VUA982" s="336"/>
      <c r="VUB982" s="337"/>
      <c r="VUC982" s="336"/>
      <c r="VUD982" s="337"/>
      <c r="VUE982" s="336"/>
      <c r="VUF982" s="337"/>
      <c r="VUG982" s="336"/>
      <c r="VUH982" s="337"/>
      <c r="VUI982" s="336"/>
      <c r="VUJ982" s="337"/>
      <c r="VUK982" s="336"/>
      <c r="VUL982" s="337"/>
      <c r="VUM982" s="336"/>
      <c r="VUN982" s="337"/>
      <c r="VUO982" s="336"/>
      <c r="VUP982" s="337"/>
      <c r="VUQ982" s="336"/>
      <c r="VUR982" s="337"/>
      <c r="VUS982" s="336"/>
      <c r="VUT982" s="337"/>
      <c r="VUU982" s="336"/>
      <c r="VUV982" s="337"/>
      <c r="VUW982" s="336"/>
      <c r="VUX982" s="337"/>
      <c r="VUY982" s="336"/>
      <c r="VUZ982" s="337"/>
      <c r="VVA982" s="336"/>
      <c r="VVB982" s="337"/>
      <c r="VVC982" s="336"/>
      <c r="VVD982" s="337"/>
      <c r="VVE982" s="336"/>
      <c r="VVF982" s="337"/>
      <c r="VVG982" s="336"/>
      <c r="VVH982" s="337"/>
      <c r="VVI982" s="336"/>
      <c r="VVJ982" s="337"/>
      <c r="VVK982" s="336"/>
      <c r="VVL982" s="337"/>
      <c r="VVM982" s="336"/>
      <c r="VVN982" s="337"/>
      <c r="VVO982" s="336"/>
      <c r="VVP982" s="337"/>
      <c r="VVQ982" s="336"/>
      <c r="VVR982" s="337"/>
      <c r="VVS982" s="336"/>
      <c r="VVT982" s="337"/>
      <c r="VVU982" s="336"/>
      <c r="VVV982" s="337"/>
      <c r="VVW982" s="336"/>
      <c r="VVX982" s="337"/>
      <c r="VVY982" s="336"/>
      <c r="VVZ982" s="337"/>
      <c r="VWA982" s="336"/>
      <c r="VWB982" s="337"/>
      <c r="VWC982" s="336"/>
      <c r="VWD982" s="337"/>
      <c r="VWE982" s="336"/>
      <c r="VWF982" s="337"/>
      <c r="VWG982" s="336"/>
      <c r="VWH982" s="337"/>
      <c r="VWI982" s="336"/>
      <c r="VWJ982" s="337"/>
      <c r="VWK982" s="336"/>
      <c r="VWL982" s="337"/>
      <c r="VWM982" s="336"/>
      <c r="VWN982" s="337"/>
      <c r="VWO982" s="336"/>
      <c r="VWP982" s="337"/>
      <c r="VWQ982" s="336"/>
      <c r="VWR982" s="337"/>
      <c r="VWS982" s="336"/>
      <c r="VWT982" s="337"/>
      <c r="VWU982" s="336"/>
      <c r="VWV982" s="337"/>
      <c r="VWW982" s="336"/>
      <c r="VWX982" s="337"/>
      <c r="VWY982" s="336"/>
      <c r="VWZ982" s="337"/>
      <c r="VXA982" s="336"/>
      <c r="VXB982" s="337"/>
      <c r="VXC982" s="336"/>
      <c r="VXD982" s="337"/>
      <c r="VXE982" s="336"/>
      <c r="VXF982" s="337"/>
      <c r="VXG982" s="336"/>
      <c r="VXH982" s="337"/>
      <c r="VXI982" s="336"/>
      <c r="VXJ982" s="337"/>
      <c r="VXK982" s="336"/>
      <c r="VXL982" s="337"/>
      <c r="VXM982" s="336"/>
      <c r="VXN982" s="337"/>
      <c r="VXO982" s="336"/>
      <c r="VXP982" s="337"/>
      <c r="VXQ982" s="336"/>
      <c r="VXR982" s="337"/>
      <c r="VXS982" s="336"/>
      <c r="VXT982" s="337"/>
      <c r="VXU982" s="336"/>
      <c r="VXV982" s="337"/>
      <c r="VXW982" s="336"/>
      <c r="VXX982" s="337"/>
      <c r="VXY982" s="336"/>
      <c r="VXZ982" s="337"/>
      <c r="VYA982" s="336"/>
      <c r="VYB982" s="337"/>
      <c r="VYC982" s="336"/>
      <c r="VYD982" s="337"/>
      <c r="VYE982" s="336"/>
      <c r="VYF982" s="337"/>
      <c r="VYG982" s="336"/>
      <c r="VYH982" s="337"/>
      <c r="VYI982" s="336"/>
      <c r="VYJ982" s="337"/>
      <c r="VYK982" s="336"/>
      <c r="VYL982" s="337"/>
      <c r="VYM982" s="336"/>
      <c r="VYN982" s="337"/>
      <c r="VYO982" s="336"/>
      <c r="VYP982" s="337"/>
      <c r="VYQ982" s="336"/>
      <c r="VYR982" s="337"/>
      <c r="VYS982" s="336"/>
      <c r="VYT982" s="337"/>
      <c r="VYU982" s="336"/>
      <c r="VYV982" s="337"/>
      <c r="VYW982" s="336"/>
      <c r="VYX982" s="337"/>
      <c r="VYY982" s="336"/>
      <c r="VYZ982" s="337"/>
      <c r="VZA982" s="336"/>
      <c r="VZB982" s="337"/>
      <c r="VZC982" s="336"/>
      <c r="VZD982" s="337"/>
      <c r="VZE982" s="336"/>
      <c r="VZF982" s="337"/>
      <c r="VZG982" s="336"/>
      <c r="VZH982" s="337"/>
      <c r="VZI982" s="336"/>
      <c r="VZJ982" s="337"/>
      <c r="VZK982" s="336"/>
      <c r="VZL982" s="337"/>
      <c r="VZM982" s="336"/>
      <c r="VZN982" s="337"/>
      <c r="VZO982" s="336"/>
      <c r="VZP982" s="337"/>
      <c r="VZQ982" s="336"/>
      <c r="VZR982" s="337"/>
      <c r="VZS982" s="336"/>
      <c r="VZT982" s="337"/>
      <c r="VZU982" s="336"/>
      <c r="VZV982" s="337"/>
      <c r="VZW982" s="336"/>
      <c r="VZX982" s="337"/>
      <c r="VZY982" s="336"/>
      <c r="VZZ982" s="337"/>
      <c r="WAA982" s="336"/>
      <c r="WAB982" s="337"/>
      <c r="WAC982" s="336"/>
      <c r="WAD982" s="337"/>
      <c r="WAE982" s="336"/>
      <c r="WAF982" s="337"/>
      <c r="WAG982" s="336"/>
      <c r="WAH982" s="337"/>
      <c r="WAI982" s="336"/>
      <c r="WAJ982" s="337"/>
      <c r="WAK982" s="336"/>
      <c r="WAL982" s="337"/>
      <c r="WAM982" s="336"/>
      <c r="WAN982" s="337"/>
      <c r="WAO982" s="336"/>
      <c r="WAP982" s="337"/>
      <c r="WAQ982" s="336"/>
      <c r="WAR982" s="337"/>
      <c r="WAS982" s="336"/>
      <c r="WAT982" s="337"/>
      <c r="WAU982" s="336"/>
      <c r="WAV982" s="337"/>
      <c r="WAW982" s="336"/>
      <c r="WAX982" s="337"/>
      <c r="WAY982" s="336"/>
      <c r="WAZ982" s="337"/>
      <c r="WBA982" s="336"/>
      <c r="WBB982" s="337"/>
      <c r="WBC982" s="336"/>
      <c r="WBD982" s="337"/>
      <c r="WBE982" s="336"/>
      <c r="WBF982" s="337"/>
      <c r="WBG982" s="336"/>
      <c r="WBH982" s="337"/>
      <c r="WBI982" s="336"/>
      <c r="WBJ982" s="337"/>
      <c r="WBK982" s="336"/>
      <c r="WBL982" s="337"/>
      <c r="WBM982" s="336"/>
      <c r="WBN982" s="337"/>
      <c r="WBO982" s="336"/>
      <c r="WBP982" s="337"/>
      <c r="WBQ982" s="336"/>
      <c r="WBR982" s="337"/>
      <c r="WBS982" s="336"/>
      <c r="WBT982" s="337"/>
      <c r="WBU982" s="336"/>
      <c r="WBV982" s="337"/>
      <c r="WBW982" s="336"/>
      <c r="WBX982" s="337"/>
      <c r="WBY982" s="336"/>
      <c r="WBZ982" s="337"/>
      <c r="WCA982" s="336"/>
      <c r="WCB982" s="337"/>
      <c r="WCC982" s="336"/>
      <c r="WCD982" s="337"/>
      <c r="WCE982" s="336"/>
      <c r="WCF982" s="337"/>
      <c r="WCG982" s="336"/>
      <c r="WCH982" s="337"/>
      <c r="WCI982" s="336"/>
      <c r="WCJ982" s="337"/>
      <c r="WCK982" s="336"/>
      <c r="WCL982" s="337"/>
      <c r="WCM982" s="336"/>
      <c r="WCN982" s="337"/>
      <c r="WCO982" s="336"/>
      <c r="WCP982" s="337"/>
      <c r="WCQ982" s="336"/>
      <c r="WCR982" s="337"/>
      <c r="WCS982" s="336"/>
      <c r="WCT982" s="337"/>
      <c r="WCU982" s="336"/>
      <c r="WCV982" s="337"/>
      <c r="WCW982" s="336"/>
      <c r="WCX982" s="337"/>
      <c r="WCY982" s="336"/>
      <c r="WCZ982" s="337"/>
      <c r="WDA982" s="336"/>
      <c r="WDB982" s="337"/>
      <c r="WDC982" s="336"/>
      <c r="WDD982" s="337"/>
      <c r="WDE982" s="336"/>
      <c r="WDF982" s="337"/>
      <c r="WDG982" s="336"/>
      <c r="WDH982" s="337"/>
      <c r="WDI982" s="336"/>
      <c r="WDJ982" s="337"/>
      <c r="WDK982" s="336"/>
      <c r="WDL982" s="337"/>
      <c r="WDM982" s="336"/>
      <c r="WDN982" s="337"/>
      <c r="WDO982" s="336"/>
      <c r="WDP982" s="337"/>
      <c r="WDQ982" s="336"/>
      <c r="WDR982" s="337"/>
      <c r="WDS982" s="336"/>
      <c r="WDT982" s="337"/>
      <c r="WDU982" s="336"/>
      <c r="WDV982" s="337"/>
      <c r="WDW982" s="336"/>
      <c r="WDX982" s="337"/>
      <c r="WDY982" s="336"/>
      <c r="WDZ982" s="337"/>
      <c r="WEA982" s="336"/>
      <c r="WEB982" s="337"/>
      <c r="WEC982" s="336"/>
      <c r="WED982" s="337"/>
      <c r="WEE982" s="336"/>
      <c r="WEF982" s="337"/>
      <c r="WEG982" s="336"/>
      <c r="WEH982" s="337"/>
      <c r="WEI982" s="336"/>
      <c r="WEJ982" s="337"/>
      <c r="WEK982" s="336"/>
      <c r="WEL982" s="337"/>
      <c r="WEM982" s="336"/>
      <c r="WEN982" s="337"/>
      <c r="WEO982" s="336"/>
      <c r="WEP982" s="337"/>
      <c r="WEQ982" s="336"/>
      <c r="WER982" s="337"/>
      <c r="WES982" s="336"/>
      <c r="WET982" s="337"/>
      <c r="WEU982" s="336"/>
      <c r="WEV982" s="337"/>
      <c r="WEW982" s="336"/>
      <c r="WEX982" s="337"/>
      <c r="WEY982" s="336"/>
      <c r="WEZ982" s="337"/>
      <c r="WFA982" s="336"/>
      <c r="WFB982" s="337"/>
      <c r="WFC982" s="336"/>
      <c r="WFD982" s="337"/>
      <c r="WFE982" s="336"/>
      <c r="WFF982" s="337"/>
      <c r="WFG982" s="336"/>
      <c r="WFH982" s="337"/>
      <c r="WFI982" s="336"/>
      <c r="WFJ982" s="337"/>
      <c r="WFK982" s="336"/>
      <c r="WFL982" s="337"/>
      <c r="WFM982" s="336"/>
      <c r="WFN982" s="337"/>
      <c r="WFO982" s="336"/>
      <c r="WFP982" s="337"/>
      <c r="WFQ982" s="336"/>
      <c r="WFR982" s="337"/>
      <c r="WFS982" s="336"/>
      <c r="WFT982" s="337"/>
      <c r="WFU982" s="336"/>
      <c r="WFV982" s="337"/>
      <c r="WFW982" s="336"/>
      <c r="WFX982" s="337"/>
      <c r="WFY982" s="336"/>
      <c r="WFZ982" s="337"/>
      <c r="WGA982" s="336"/>
      <c r="WGB982" s="337"/>
      <c r="WGC982" s="336"/>
      <c r="WGD982" s="337"/>
      <c r="WGE982" s="336"/>
      <c r="WGF982" s="337"/>
      <c r="WGG982" s="336"/>
      <c r="WGH982" s="337"/>
      <c r="WGI982" s="336"/>
      <c r="WGJ982" s="337"/>
      <c r="WGK982" s="336"/>
      <c r="WGL982" s="337"/>
      <c r="WGM982" s="336"/>
      <c r="WGN982" s="337"/>
      <c r="WGO982" s="336"/>
      <c r="WGP982" s="337"/>
      <c r="WGQ982" s="336"/>
      <c r="WGR982" s="337"/>
      <c r="WGS982" s="336"/>
      <c r="WGT982" s="337"/>
      <c r="WGU982" s="336"/>
      <c r="WGV982" s="337"/>
      <c r="WGW982" s="336"/>
      <c r="WGX982" s="337"/>
      <c r="WGY982" s="336"/>
      <c r="WGZ982" s="337"/>
      <c r="WHA982" s="336"/>
      <c r="WHB982" s="337"/>
      <c r="WHC982" s="336"/>
      <c r="WHD982" s="337"/>
      <c r="WHE982" s="336"/>
      <c r="WHF982" s="337"/>
      <c r="WHG982" s="336"/>
      <c r="WHH982" s="337"/>
      <c r="WHI982" s="336"/>
      <c r="WHJ982" s="337"/>
      <c r="WHK982" s="336"/>
      <c r="WHL982" s="337"/>
      <c r="WHM982" s="336"/>
      <c r="WHN982" s="337"/>
      <c r="WHO982" s="336"/>
      <c r="WHP982" s="337"/>
      <c r="WHQ982" s="336"/>
      <c r="WHR982" s="337"/>
      <c r="WHS982" s="336"/>
      <c r="WHT982" s="337"/>
      <c r="WHU982" s="336"/>
      <c r="WHV982" s="337"/>
      <c r="WHW982" s="336"/>
      <c r="WHX982" s="337"/>
      <c r="WHY982" s="336"/>
      <c r="WHZ982" s="337"/>
      <c r="WIA982" s="336"/>
      <c r="WIB982" s="337"/>
      <c r="WIC982" s="336"/>
      <c r="WID982" s="337"/>
      <c r="WIE982" s="336"/>
      <c r="WIF982" s="337"/>
      <c r="WIG982" s="336"/>
      <c r="WIH982" s="337"/>
      <c r="WII982" s="336"/>
      <c r="WIJ982" s="337"/>
      <c r="WIK982" s="336"/>
      <c r="WIL982" s="337"/>
      <c r="WIM982" s="336"/>
      <c r="WIN982" s="337"/>
      <c r="WIO982" s="336"/>
      <c r="WIP982" s="337"/>
      <c r="WIQ982" s="336"/>
      <c r="WIR982" s="337"/>
      <c r="WIS982" s="336"/>
      <c r="WIT982" s="337"/>
      <c r="WIU982" s="336"/>
      <c r="WIV982" s="337"/>
      <c r="WIW982" s="336"/>
      <c r="WIX982" s="337"/>
      <c r="WIY982" s="336"/>
      <c r="WIZ982" s="337"/>
      <c r="WJA982" s="336"/>
      <c r="WJB982" s="337"/>
      <c r="WJC982" s="336"/>
      <c r="WJD982" s="337"/>
      <c r="WJE982" s="336"/>
      <c r="WJF982" s="337"/>
      <c r="WJG982" s="336"/>
      <c r="WJH982" s="337"/>
      <c r="WJI982" s="336"/>
      <c r="WJJ982" s="337"/>
      <c r="WJK982" s="336"/>
      <c r="WJL982" s="337"/>
      <c r="WJM982" s="336"/>
      <c r="WJN982" s="337"/>
      <c r="WJO982" s="336"/>
      <c r="WJP982" s="337"/>
      <c r="WJQ982" s="336"/>
      <c r="WJR982" s="337"/>
      <c r="WJS982" s="336"/>
      <c r="WJT982" s="337"/>
      <c r="WJU982" s="336"/>
      <c r="WJV982" s="337"/>
      <c r="WJW982" s="336"/>
      <c r="WJX982" s="337"/>
      <c r="WJY982" s="336"/>
      <c r="WJZ982" s="337"/>
      <c r="WKA982" s="336"/>
      <c r="WKB982" s="337"/>
      <c r="WKC982" s="336"/>
      <c r="WKD982" s="337"/>
      <c r="WKE982" s="336"/>
      <c r="WKF982" s="337"/>
      <c r="WKG982" s="336"/>
      <c r="WKH982" s="337"/>
      <c r="WKI982" s="336"/>
      <c r="WKJ982" s="337"/>
      <c r="WKK982" s="336"/>
      <c r="WKL982" s="337"/>
      <c r="WKM982" s="336"/>
      <c r="WKN982" s="337"/>
      <c r="WKO982" s="336"/>
      <c r="WKP982" s="337"/>
      <c r="WKQ982" s="336"/>
      <c r="WKR982" s="337"/>
      <c r="WKS982" s="336"/>
      <c r="WKT982" s="337"/>
      <c r="WKU982" s="336"/>
      <c r="WKV982" s="337"/>
      <c r="WKW982" s="336"/>
      <c r="WKX982" s="337"/>
      <c r="WKY982" s="336"/>
      <c r="WKZ982" s="337"/>
      <c r="WLA982" s="336"/>
      <c r="WLB982" s="337"/>
      <c r="WLC982" s="336"/>
      <c r="WLD982" s="337"/>
      <c r="WLE982" s="336"/>
      <c r="WLF982" s="337"/>
      <c r="WLG982" s="336"/>
      <c r="WLH982" s="337"/>
      <c r="WLI982" s="336"/>
      <c r="WLJ982" s="337"/>
      <c r="WLK982" s="336"/>
      <c r="WLL982" s="337"/>
      <c r="WLM982" s="336"/>
      <c r="WLN982" s="337"/>
      <c r="WLO982" s="336"/>
      <c r="WLP982" s="337"/>
      <c r="WLQ982" s="336"/>
      <c r="WLR982" s="337"/>
      <c r="WLS982" s="336"/>
      <c r="WLT982" s="337"/>
      <c r="WLU982" s="336"/>
      <c r="WLV982" s="337"/>
      <c r="WLW982" s="336"/>
      <c r="WLX982" s="337"/>
      <c r="WLY982" s="336"/>
      <c r="WLZ982" s="337"/>
      <c r="WMA982" s="336"/>
      <c r="WMB982" s="337"/>
      <c r="WMC982" s="336"/>
      <c r="WMD982" s="337"/>
      <c r="WME982" s="336"/>
      <c r="WMF982" s="337"/>
      <c r="WMG982" s="336"/>
      <c r="WMH982" s="337"/>
      <c r="WMI982" s="336"/>
      <c r="WMJ982" s="337"/>
      <c r="WMK982" s="336"/>
      <c r="WML982" s="337"/>
      <c r="WMM982" s="336"/>
      <c r="WMN982" s="337"/>
      <c r="WMO982" s="336"/>
      <c r="WMP982" s="337"/>
      <c r="WMQ982" s="336"/>
      <c r="WMR982" s="337"/>
      <c r="WMS982" s="336"/>
      <c r="WMT982" s="337"/>
      <c r="WMU982" s="336"/>
      <c r="WMV982" s="337"/>
      <c r="WMW982" s="336"/>
      <c r="WMX982" s="337"/>
      <c r="WMY982" s="336"/>
      <c r="WMZ982" s="337"/>
      <c r="WNA982" s="336"/>
      <c r="WNB982" s="337"/>
      <c r="WNC982" s="336"/>
      <c r="WND982" s="337"/>
      <c r="WNE982" s="336"/>
      <c r="WNF982" s="337"/>
      <c r="WNG982" s="336"/>
      <c r="WNH982" s="337"/>
      <c r="WNI982" s="336"/>
      <c r="WNJ982" s="337"/>
      <c r="WNK982" s="336"/>
      <c r="WNL982" s="337"/>
      <c r="WNM982" s="336"/>
      <c r="WNN982" s="337"/>
      <c r="WNO982" s="336"/>
      <c r="WNP982" s="337"/>
      <c r="WNQ982" s="336"/>
      <c r="WNR982" s="337"/>
      <c r="WNS982" s="336"/>
      <c r="WNT982" s="337"/>
      <c r="WNU982" s="336"/>
      <c r="WNV982" s="337"/>
      <c r="WNW982" s="336"/>
      <c r="WNX982" s="337"/>
      <c r="WNY982" s="336"/>
      <c r="WNZ982" s="337"/>
      <c r="WOA982" s="336"/>
      <c r="WOB982" s="337"/>
      <c r="WOC982" s="336"/>
      <c r="WOD982" s="337"/>
      <c r="WOE982" s="336"/>
      <c r="WOF982" s="337"/>
      <c r="WOG982" s="336"/>
      <c r="WOH982" s="337"/>
      <c r="WOI982" s="336"/>
      <c r="WOJ982" s="337"/>
      <c r="WOK982" s="336"/>
      <c r="WOL982" s="337"/>
      <c r="WOM982" s="336"/>
      <c r="WON982" s="337"/>
      <c r="WOO982" s="336"/>
      <c r="WOP982" s="337"/>
      <c r="WOQ982" s="336"/>
      <c r="WOR982" s="337"/>
      <c r="WOS982" s="336"/>
      <c r="WOT982" s="337"/>
      <c r="WOU982" s="336"/>
      <c r="WOV982" s="337"/>
      <c r="WOW982" s="336"/>
      <c r="WOX982" s="337"/>
      <c r="WOY982" s="336"/>
      <c r="WOZ982" s="337"/>
      <c r="WPA982" s="336"/>
      <c r="WPB982" s="337"/>
      <c r="WPC982" s="336"/>
      <c r="WPD982" s="337"/>
      <c r="WPE982" s="336"/>
      <c r="WPF982" s="337"/>
      <c r="WPG982" s="336"/>
      <c r="WPH982" s="337"/>
      <c r="WPI982" s="336"/>
      <c r="WPJ982" s="337"/>
      <c r="WPK982" s="336"/>
      <c r="WPL982" s="337"/>
      <c r="WPM982" s="336"/>
      <c r="WPN982" s="337"/>
      <c r="WPO982" s="336"/>
      <c r="WPP982" s="337"/>
      <c r="WPQ982" s="336"/>
      <c r="WPR982" s="337"/>
      <c r="WPS982" s="336"/>
      <c r="WPT982" s="337"/>
      <c r="WPU982" s="336"/>
      <c r="WPV982" s="337"/>
      <c r="WPW982" s="336"/>
      <c r="WPX982" s="337"/>
      <c r="WPY982" s="336"/>
      <c r="WPZ982" s="337"/>
      <c r="WQA982" s="336"/>
      <c r="WQB982" s="337"/>
      <c r="WQC982" s="336"/>
      <c r="WQD982" s="337"/>
      <c r="WQE982" s="336"/>
      <c r="WQF982" s="337"/>
      <c r="WQG982" s="336"/>
      <c r="WQH982" s="337"/>
      <c r="WQI982" s="336"/>
      <c r="WQJ982" s="337"/>
      <c r="WQK982" s="336"/>
      <c r="WQL982" s="337"/>
      <c r="WQM982" s="336"/>
      <c r="WQN982" s="337"/>
      <c r="WQO982" s="336"/>
      <c r="WQP982" s="337"/>
      <c r="WQQ982" s="336"/>
      <c r="WQR982" s="337"/>
      <c r="WQS982" s="336"/>
      <c r="WQT982" s="337"/>
      <c r="WQU982" s="336"/>
      <c r="WQV982" s="337"/>
      <c r="WQW982" s="336"/>
      <c r="WQX982" s="337"/>
      <c r="WQY982" s="336"/>
      <c r="WQZ982" s="337"/>
      <c r="WRA982" s="336"/>
      <c r="WRB982" s="337"/>
      <c r="WRC982" s="336"/>
      <c r="WRD982" s="337"/>
      <c r="WRE982" s="336"/>
      <c r="WRF982" s="337"/>
      <c r="WRG982" s="336"/>
      <c r="WRH982" s="337"/>
      <c r="WRI982" s="336"/>
      <c r="WRJ982" s="337"/>
      <c r="WRK982" s="336"/>
      <c r="WRL982" s="337"/>
      <c r="WRM982" s="336"/>
      <c r="WRN982" s="337"/>
      <c r="WRO982" s="336"/>
      <c r="WRP982" s="337"/>
      <c r="WRQ982" s="336"/>
      <c r="WRR982" s="337"/>
      <c r="WRS982" s="336"/>
      <c r="WRT982" s="337"/>
      <c r="WRU982" s="336"/>
      <c r="WRV982" s="337"/>
      <c r="WRW982" s="336"/>
      <c r="WRX982" s="337"/>
      <c r="WRY982" s="336"/>
      <c r="WRZ982" s="337"/>
      <c r="WSA982" s="336"/>
      <c r="WSB982" s="337"/>
      <c r="WSC982" s="336"/>
      <c r="WSD982" s="337"/>
      <c r="WSE982" s="336"/>
      <c r="WSF982" s="337"/>
      <c r="WSG982" s="336"/>
      <c r="WSH982" s="337"/>
      <c r="WSI982" s="336"/>
      <c r="WSJ982" s="337"/>
      <c r="WSK982" s="336"/>
      <c r="WSL982" s="337"/>
      <c r="WSM982" s="336"/>
      <c r="WSN982" s="337"/>
      <c r="WSO982" s="336"/>
      <c r="WSP982" s="337"/>
      <c r="WSQ982" s="336"/>
      <c r="WSR982" s="337"/>
      <c r="WSS982" s="336"/>
      <c r="WST982" s="337"/>
      <c r="WSU982" s="336"/>
      <c r="WSV982" s="337"/>
      <c r="WSW982" s="336"/>
      <c r="WSX982" s="337"/>
      <c r="WSY982" s="336"/>
      <c r="WSZ982" s="337"/>
      <c r="WTA982" s="336"/>
      <c r="WTB982" s="337"/>
      <c r="WTC982" s="336"/>
      <c r="WTD982" s="337"/>
      <c r="WTE982" s="336"/>
      <c r="WTF982" s="337"/>
      <c r="WTG982" s="336"/>
      <c r="WTH982" s="337"/>
      <c r="WTI982" s="336"/>
      <c r="WTJ982" s="337"/>
      <c r="WTK982" s="336"/>
      <c r="WTL982" s="337"/>
      <c r="WTM982" s="336"/>
      <c r="WTN982" s="337"/>
      <c r="WTO982" s="336"/>
      <c r="WTP982" s="337"/>
      <c r="WTQ982" s="336"/>
      <c r="WTR982" s="337"/>
      <c r="WTS982" s="336"/>
      <c r="WTT982" s="337"/>
      <c r="WTU982" s="336"/>
      <c r="WTV982" s="337"/>
      <c r="WTW982" s="336"/>
      <c r="WTX982" s="337"/>
      <c r="WTY982" s="336"/>
      <c r="WTZ982" s="337"/>
      <c r="WUA982" s="336"/>
      <c r="WUB982" s="337"/>
      <c r="WUC982" s="336"/>
      <c r="WUD982" s="337"/>
      <c r="WUE982" s="336"/>
      <c r="WUF982" s="337"/>
      <c r="WUG982" s="336"/>
      <c r="WUH982" s="337"/>
      <c r="WUI982" s="336"/>
      <c r="WUJ982" s="337"/>
      <c r="WUK982" s="336"/>
      <c r="WUL982" s="337"/>
      <c r="WUM982" s="336"/>
      <c r="WUN982" s="337"/>
      <c r="WUO982" s="336"/>
      <c r="WUP982" s="337"/>
      <c r="WUQ982" s="336"/>
      <c r="WUR982" s="337"/>
      <c r="WUS982" s="336"/>
      <c r="WUT982" s="337"/>
      <c r="WUU982" s="336"/>
      <c r="WUV982" s="337"/>
      <c r="WUW982" s="336"/>
      <c r="WUX982" s="337"/>
      <c r="WUY982" s="336"/>
      <c r="WUZ982" s="337"/>
      <c r="WVA982" s="336"/>
      <c r="WVB982" s="337"/>
      <c r="WVC982" s="336"/>
      <c r="WVD982" s="337"/>
      <c r="WVE982" s="336"/>
      <c r="WVF982" s="337"/>
      <c r="WVG982" s="336"/>
      <c r="WVH982" s="337"/>
      <c r="WVI982" s="336"/>
      <c r="WVJ982" s="337"/>
      <c r="WVK982" s="336"/>
      <c r="WVL982" s="337"/>
      <c r="WVM982" s="336"/>
      <c r="WVN982" s="337"/>
      <c r="WVO982" s="336"/>
      <c r="WVP982" s="337"/>
      <c r="WVQ982" s="336"/>
      <c r="WVR982" s="337"/>
      <c r="WVS982" s="336"/>
      <c r="WVT982" s="337"/>
      <c r="WVU982" s="336"/>
      <c r="WVV982" s="337"/>
      <c r="WVW982" s="336"/>
      <c r="WVX982" s="337"/>
      <c r="WVY982" s="336"/>
      <c r="WVZ982" s="337"/>
      <c r="WWA982" s="336"/>
      <c r="WWB982" s="337"/>
      <c r="WWC982" s="336"/>
      <c r="WWD982" s="337"/>
      <c r="WWE982" s="336"/>
      <c r="WWF982" s="337"/>
      <c r="WWG982" s="336"/>
      <c r="WWH982" s="337"/>
      <c r="WWI982" s="336"/>
      <c r="WWJ982" s="337"/>
      <c r="WWK982" s="336"/>
      <c r="WWL982" s="337"/>
      <c r="WWM982" s="336"/>
      <c r="WWN982" s="337"/>
      <c r="WWO982" s="336"/>
      <c r="WWP982" s="337"/>
      <c r="WWQ982" s="336"/>
      <c r="WWR982" s="337"/>
      <c r="WWS982" s="336"/>
      <c r="WWT982" s="337"/>
      <c r="WWU982" s="336"/>
      <c r="WWV982" s="337"/>
      <c r="WWW982" s="336"/>
      <c r="WWX982" s="337"/>
      <c r="WWY982" s="336"/>
      <c r="WWZ982" s="337"/>
      <c r="WXA982" s="336"/>
      <c r="WXB982" s="337"/>
      <c r="WXC982" s="336"/>
      <c r="WXD982" s="337"/>
      <c r="WXE982" s="336"/>
      <c r="WXF982" s="337"/>
      <c r="WXG982" s="336"/>
      <c r="WXH982" s="337"/>
      <c r="WXI982" s="336"/>
      <c r="WXJ982" s="337"/>
      <c r="WXK982" s="336"/>
      <c r="WXL982" s="337"/>
      <c r="WXM982" s="336"/>
      <c r="WXN982" s="337"/>
      <c r="WXO982" s="336"/>
      <c r="WXP982" s="337"/>
      <c r="WXQ982" s="336"/>
      <c r="WXR982" s="337"/>
      <c r="WXS982" s="336"/>
      <c r="WXT982" s="337"/>
      <c r="WXU982" s="336"/>
      <c r="WXV982" s="337"/>
      <c r="WXW982" s="336"/>
      <c r="WXX982" s="337"/>
      <c r="WXY982" s="336"/>
      <c r="WXZ982" s="337"/>
      <c r="WYA982" s="336"/>
      <c r="WYB982" s="337"/>
      <c r="WYC982" s="336"/>
      <c r="WYD982" s="337"/>
      <c r="WYE982" s="336"/>
      <c r="WYF982" s="337"/>
      <c r="WYG982" s="336"/>
      <c r="WYH982" s="337"/>
      <c r="WYI982" s="336"/>
      <c r="WYJ982" s="337"/>
      <c r="WYK982" s="336"/>
      <c r="WYL982" s="337"/>
      <c r="WYM982" s="336"/>
      <c r="WYN982" s="337"/>
      <c r="WYO982" s="336"/>
      <c r="WYP982" s="337"/>
      <c r="WYQ982" s="336"/>
      <c r="WYR982" s="337"/>
      <c r="WYS982" s="336"/>
      <c r="WYT982" s="337"/>
      <c r="WYU982" s="336"/>
      <c r="WYV982" s="337"/>
      <c r="WYW982" s="336"/>
      <c r="WYX982" s="337"/>
      <c r="WYY982" s="336"/>
      <c r="WYZ982" s="337"/>
      <c r="WZA982" s="336"/>
      <c r="WZB982" s="337"/>
      <c r="WZC982" s="336"/>
      <c r="WZD982" s="337"/>
      <c r="WZE982" s="336"/>
      <c r="WZF982" s="337"/>
      <c r="WZG982" s="336"/>
      <c r="WZH982" s="337"/>
      <c r="WZI982" s="336"/>
      <c r="WZJ982" s="337"/>
      <c r="WZK982" s="336"/>
      <c r="WZL982" s="337"/>
      <c r="WZM982" s="336"/>
      <c r="WZN982" s="337"/>
      <c r="WZO982" s="336"/>
      <c r="WZP982" s="337"/>
      <c r="WZQ982" s="336"/>
      <c r="WZR982" s="337"/>
      <c r="WZS982" s="336"/>
      <c r="WZT982" s="337"/>
      <c r="WZU982" s="336"/>
      <c r="WZV982" s="337"/>
      <c r="WZW982" s="336"/>
      <c r="WZX982" s="337"/>
      <c r="WZY982" s="336"/>
      <c r="WZZ982" s="337"/>
      <c r="XAA982" s="336"/>
      <c r="XAB982" s="337"/>
      <c r="XAC982" s="336"/>
      <c r="XAD982" s="337"/>
      <c r="XAE982" s="336"/>
      <c r="XAF982" s="337"/>
      <c r="XAG982" s="336"/>
      <c r="XAH982" s="337"/>
      <c r="XAI982" s="336"/>
      <c r="XAJ982" s="337"/>
      <c r="XAK982" s="336"/>
      <c r="XAL982" s="337"/>
      <c r="XAM982" s="336"/>
      <c r="XAN982" s="337"/>
      <c r="XAO982" s="336"/>
      <c r="XAP982" s="337"/>
      <c r="XAQ982" s="336"/>
      <c r="XAR982" s="337"/>
      <c r="XAS982" s="336"/>
      <c r="XAT982" s="337"/>
      <c r="XAU982" s="336"/>
      <c r="XAV982" s="337"/>
      <c r="XAW982" s="336"/>
      <c r="XAX982" s="337"/>
      <c r="XAY982" s="336"/>
      <c r="XAZ982" s="337"/>
      <c r="XBA982" s="336"/>
      <c r="XBB982" s="337"/>
      <c r="XBC982" s="336"/>
      <c r="XBD982" s="337"/>
      <c r="XBE982" s="336"/>
      <c r="XBF982" s="337"/>
      <c r="XBG982" s="336"/>
      <c r="XBH982" s="337"/>
      <c r="XBI982" s="336"/>
      <c r="XBJ982" s="337"/>
      <c r="XBK982" s="336"/>
      <c r="XBL982" s="337"/>
      <c r="XBM982" s="336"/>
      <c r="XBN982" s="337"/>
      <c r="XBO982" s="336"/>
      <c r="XBP982" s="337"/>
      <c r="XBQ982" s="336"/>
      <c r="XBR982" s="337"/>
      <c r="XBS982" s="336"/>
      <c r="XBT982" s="337"/>
      <c r="XBU982" s="336"/>
      <c r="XBV982" s="337"/>
      <c r="XBW982" s="336"/>
      <c r="XBX982" s="337"/>
      <c r="XBY982" s="336"/>
      <c r="XBZ982" s="337"/>
      <c r="XCA982" s="336"/>
      <c r="XCB982" s="337"/>
      <c r="XCC982" s="336"/>
      <c r="XCD982" s="337"/>
      <c r="XCE982" s="336"/>
      <c r="XCF982" s="337"/>
      <c r="XCG982" s="336"/>
      <c r="XCH982" s="337"/>
      <c r="XCI982" s="336"/>
      <c r="XCJ982" s="337"/>
      <c r="XCK982" s="336"/>
      <c r="XCL982" s="337"/>
      <c r="XCM982" s="336"/>
      <c r="XCN982" s="337"/>
      <c r="XCO982" s="336"/>
      <c r="XCP982" s="337"/>
      <c r="XCQ982" s="336"/>
      <c r="XCR982" s="337"/>
      <c r="XCS982" s="336"/>
      <c r="XCT982" s="337"/>
      <c r="XCU982" s="336"/>
      <c r="XCV982" s="337"/>
      <c r="XCW982" s="336"/>
      <c r="XCX982" s="337"/>
      <c r="XCY982" s="336"/>
      <c r="XCZ982" s="337"/>
      <c r="XDA982" s="336"/>
      <c r="XDB982" s="337"/>
      <c r="XDC982" s="336"/>
      <c r="XDD982" s="337"/>
      <c r="XDE982" s="336"/>
      <c r="XDF982" s="337"/>
      <c r="XDG982" s="336"/>
      <c r="XDH982" s="337"/>
      <c r="XDI982" s="336"/>
      <c r="XDJ982" s="337"/>
      <c r="XDK982" s="336"/>
      <c r="XDL982" s="337"/>
      <c r="XDM982" s="336"/>
      <c r="XDN982" s="337"/>
      <c r="XDO982" s="336"/>
      <c r="XDP982" s="337"/>
      <c r="XDQ982" s="336"/>
      <c r="XDR982" s="337"/>
      <c r="XDS982" s="336"/>
      <c r="XDT982" s="337"/>
      <c r="XDU982" s="336"/>
      <c r="XDV982" s="337"/>
      <c r="XDW982" s="336"/>
      <c r="XDX982" s="337"/>
      <c r="XDY982" s="336"/>
      <c r="XDZ982" s="337"/>
      <c r="XEA982" s="336"/>
      <c r="XEB982" s="337"/>
      <c r="XEC982" s="336"/>
      <c r="XED982" s="337"/>
      <c r="XEE982" s="336"/>
      <c r="XEF982" s="337"/>
      <c r="XEG982" s="336"/>
      <c r="XEH982" s="337"/>
      <c r="XEI982" s="336"/>
      <c r="XEJ982" s="337"/>
      <c r="XEK982" s="336"/>
      <c r="XEL982" s="337"/>
      <c r="XEM982" s="336"/>
      <c r="XEN982" s="337"/>
      <c r="XEO982" s="336"/>
      <c r="XEP982" s="337"/>
      <c r="XEQ982" s="336"/>
      <c r="XER982" s="337"/>
      <c r="XES982" s="336"/>
      <c r="XET982" s="337"/>
      <c r="XEU982" s="336"/>
      <c r="XEV982" s="337"/>
      <c r="XEW982" s="336"/>
      <c r="XEX982" s="337"/>
      <c r="XEY982" s="336"/>
      <c r="XEZ982" s="337"/>
      <c r="XFA982" s="336"/>
      <c r="XFB982" s="337"/>
      <c r="XFC982" s="336"/>
      <c r="XFD982" s="337"/>
    </row>
    <row r="983" spans="1:16384" s="1" customFormat="1" ht="32.1" hidden="1">
      <c r="B983" s="48" t="s">
        <v>2097</v>
      </c>
      <c r="C983" s="115"/>
      <c r="D983" s="341" t="s">
        <v>2098</v>
      </c>
      <c r="E983" s="171" t="s">
        <v>46</v>
      </c>
      <c r="J983" s="119">
        <v>45763</v>
      </c>
      <c r="K983" s="329">
        <v>3069564</v>
      </c>
      <c r="N983" s="205" t="s">
        <v>2099</v>
      </c>
      <c r="O983" s="163" t="s">
        <v>2100</v>
      </c>
      <c r="P983" s="198" t="s">
        <v>49</v>
      </c>
      <c r="Q983" s="336"/>
      <c r="R983" s="337"/>
      <c r="S983" s="336"/>
      <c r="T983" s="337"/>
      <c r="U983" s="336"/>
      <c r="V983" s="337"/>
      <c r="W983" s="336"/>
      <c r="X983" s="337"/>
      <c r="Y983" s="336"/>
      <c r="Z983" s="337"/>
      <c r="AA983" s="336"/>
      <c r="AB983" s="337"/>
      <c r="AC983" s="336"/>
      <c r="AD983" s="337"/>
      <c r="AE983" s="336"/>
      <c r="AF983" s="337"/>
      <c r="AG983" s="336"/>
      <c r="AH983" s="337"/>
      <c r="AI983" s="336"/>
      <c r="AJ983" s="337"/>
      <c r="AK983" s="336"/>
      <c r="AL983" s="337"/>
      <c r="AM983" s="336"/>
      <c r="AN983" s="337"/>
      <c r="AO983" s="336"/>
      <c r="AP983" s="337"/>
      <c r="AQ983" s="336"/>
      <c r="AR983" s="337"/>
      <c r="AS983" s="336"/>
      <c r="AT983" s="337"/>
      <c r="AU983" s="336"/>
      <c r="AV983" s="337"/>
      <c r="AW983" s="336"/>
      <c r="AX983" s="337"/>
      <c r="AY983" s="336"/>
      <c r="AZ983" s="337"/>
      <c r="BA983" s="336"/>
      <c r="BB983" s="337"/>
      <c r="BC983" s="336"/>
      <c r="BD983" s="337"/>
      <c r="BE983" s="336"/>
      <c r="BF983" s="337"/>
      <c r="BG983" s="336"/>
      <c r="BH983" s="337"/>
      <c r="BI983" s="336"/>
      <c r="BJ983" s="337"/>
      <c r="BK983" s="336"/>
      <c r="BL983" s="337"/>
      <c r="BM983" s="336"/>
      <c r="BN983" s="337"/>
      <c r="BO983" s="336"/>
      <c r="BP983" s="337"/>
      <c r="BQ983" s="336"/>
      <c r="BR983" s="337"/>
      <c r="BS983" s="336"/>
      <c r="BT983" s="337"/>
      <c r="BU983" s="336"/>
      <c r="BV983" s="337"/>
      <c r="BW983" s="336"/>
      <c r="BX983" s="337"/>
      <c r="BY983" s="336"/>
      <c r="BZ983" s="337"/>
      <c r="CA983" s="336"/>
      <c r="CB983" s="337"/>
      <c r="CC983" s="336"/>
      <c r="CD983" s="337"/>
      <c r="CE983" s="336"/>
      <c r="CF983" s="337"/>
      <c r="CG983" s="336"/>
      <c r="CH983" s="337"/>
      <c r="CI983" s="336"/>
      <c r="CJ983" s="337"/>
      <c r="CK983" s="336"/>
      <c r="CL983" s="337"/>
      <c r="CM983" s="336"/>
      <c r="CN983" s="337"/>
      <c r="CO983" s="336"/>
      <c r="CP983" s="337"/>
      <c r="CQ983" s="336"/>
      <c r="CR983" s="337"/>
      <c r="CS983" s="336"/>
      <c r="CT983" s="337"/>
      <c r="CU983" s="336"/>
      <c r="CV983" s="337"/>
      <c r="CW983" s="336"/>
      <c r="CX983" s="337"/>
      <c r="CY983" s="336"/>
      <c r="CZ983" s="337"/>
      <c r="DA983" s="336"/>
      <c r="DB983" s="337"/>
      <c r="DC983" s="336"/>
      <c r="DD983" s="337"/>
      <c r="DE983" s="336"/>
      <c r="DF983" s="337"/>
      <c r="DG983" s="336"/>
      <c r="DH983" s="337"/>
      <c r="DI983" s="336"/>
      <c r="DJ983" s="337"/>
      <c r="DK983" s="336"/>
      <c r="DL983" s="337"/>
      <c r="DM983" s="336"/>
      <c r="DN983" s="337"/>
      <c r="DO983" s="336"/>
      <c r="DP983" s="337"/>
      <c r="DQ983" s="336"/>
      <c r="DR983" s="337"/>
      <c r="DS983" s="336"/>
      <c r="DT983" s="337"/>
      <c r="DU983" s="336"/>
      <c r="DV983" s="337"/>
      <c r="DW983" s="336"/>
      <c r="DX983" s="337"/>
      <c r="DY983" s="336"/>
      <c r="DZ983" s="337"/>
      <c r="EA983" s="336"/>
      <c r="EB983" s="337"/>
      <c r="EC983" s="336"/>
      <c r="ED983" s="337"/>
      <c r="EE983" s="336"/>
      <c r="EF983" s="337"/>
      <c r="EG983" s="336"/>
      <c r="EH983" s="337"/>
      <c r="EI983" s="336"/>
      <c r="EJ983" s="337"/>
      <c r="EK983" s="336"/>
      <c r="EL983" s="337"/>
      <c r="EM983" s="336"/>
      <c r="EN983" s="337"/>
      <c r="EO983" s="336"/>
      <c r="EP983" s="337"/>
      <c r="EQ983" s="336"/>
      <c r="ER983" s="337"/>
      <c r="ES983" s="336"/>
      <c r="ET983" s="337"/>
      <c r="EU983" s="336"/>
      <c r="EV983" s="337"/>
      <c r="EW983" s="336"/>
      <c r="EX983" s="337"/>
      <c r="EY983" s="336"/>
      <c r="EZ983" s="337"/>
      <c r="FA983" s="336"/>
      <c r="FB983" s="337"/>
      <c r="FC983" s="336"/>
      <c r="FD983" s="337"/>
      <c r="FE983" s="336"/>
      <c r="FF983" s="337"/>
      <c r="FG983" s="336"/>
      <c r="FH983" s="337"/>
      <c r="FI983" s="336"/>
      <c r="FJ983" s="337"/>
      <c r="FK983" s="336"/>
      <c r="FL983" s="337"/>
      <c r="FM983" s="336"/>
      <c r="FN983" s="337"/>
      <c r="FO983" s="336"/>
      <c r="FP983" s="337"/>
      <c r="FQ983" s="336"/>
      <c r="FR983" s="337"/>
      <c r="FS983" s="336"/>
      <c r="FT983" s="337"/>
      <c r="FU983" s="336"/>
      <c r="FV983" s="337"/>
      <c r="FW983" s="336"/>
      <c r="FX983" s="337"/>
      <c r="FY983" s="336"/>
      <c r="FZ983" s="337"/>
      <c r="GA983" s="336"/>
      <c r="GB983" s="337"/>
      <c r="GC983" s="336"/>
      <c r="GD983" s="337"/>
      <c r="GE983" s="336"/>
      <c r="GF983" s="337"/>
      <c r="GG983" s="336"/>
      <c r="GH983" s="337"/>
      <c r="GI983" s="336"/>
      <c r="GJ983" s="337"/>
      <c r="GK983" s="336"/>
      <c r="GL983" s="337"/>
      <c r="GM983" s="336"/>
      <c r="GN983" s="337"/>
      <c r="GO983" s="336"/>
      <c r="GP983" s="337"/>
      <c r="GQ983" s="336"/>
      <c r="GR983" s="337"/>
      <c r="GS983" s="336"/>
      <c r="GT983" s="337"/>
      <c r="GU983" s="336"/>
      <c r="GV983" s="337"/>
      <c r="GW983" s="336"/>
      <c r="GX983" s="337"/>
      <c r="GY983" s="336"/>
      <c r="GZ983" s="337"/>
      <c r="HA983" s="336"/>
      <c r="HB983" s="337"/>
      <c r="HC983" s="336"/>
      <c r="HD983" s="337"/>
      <c r="HE983" s="336"/>
      <c r="HF983" s="337"/>
      <c r="HG983" s="336"/>
      <c r="HH983" s="337"/>
      <c r="HI983" s="336"/>
      <c r="HJ983" s="337"/>
      <c r="HK983" s="336"/>
      <c r="HL983" s="337"/>
      <c r="HM983" s="336"/>
      <c r="HN983" s="337"/>
      <c r="HO983" s="336"/>
      <c r="HP983" s="337"/>
      <c r="HQ983" s="336"/>
      <c r="HR983" s="337"/>
      <c r="HS983" s="336"/>
      <c r="HT983" s="337"/>
      <c r="HU983" s="336"/>
      <c r="HV983" s="337"/>
      <c r="HW983" s="336"/>
      <c r="HX983" s="337"/>
      <c r="HY983" s="336"/>
      <c r="HZ983" s="337"/>
      <c r="IA983" s="336"/>
      <c r="IB983" s="337"/>
      <c r="IC983" s="336"/>
      <c r="ID983" s="337"/>
      <c r="IE983" s="336"/>
      <c r="IF983" s="337"/>
      <c r="IG983" s="336"/>
      <c r="IH983" s="337"/>
      <c r="II983" s="336"/>
      <c r="IJ983" s="337"/>
      <c r="IK983" s="336"/>
      <c r="IL983" s="337"/>
      <c r="IM983" s="336"/>
      <c r="IN983" s="337"/>
      <c r="IO983" s="336"/>
      <c r="IP983" s="337"/>
      <c r="IQ983" s="336"/>
      <c r="IR983" s="337"/>
      <c r="IS983" s="336"/>
      <c r="IT983" s="337"/>
      <c r="IU983" s="336"/>
      <c r="IV983" s="337"/>
      <c r="IW983" s="336"/>
      <c r="IX983" s="337"/>
      <c r="IY983" s="336"/>
      <c r="IZ983" s="337"/>
      <c r="JA983" s="336"/>
      <c r="JB983" s="337"/>
      <c r="JC983" s="336"/>
      <c r="JD983" s="337"/>
      <c r="JE983" s="336"/>
      <c r="JF983" s="337"/>
      <c r="JG983" s="336"/>
      <c r="JH983" s="337"/>
      <c r="JI983" s="336"/>
      <c r="JJ983" s="337"/>
      <c r="JK983" s="336"/>
      <c r="JL983" s="337"/>
      <c r="JM983" s="336"/>
      <c r="JN983" s="337"/>
      <c r="JO983" s="336"/>
      <c r="JP983" s="337"/>
      <c r="JQ983" s="336"/>
      <c r="JR983" s="337"/>
      <c r="JS983" s="336"/>
      <c r="JT983" s="337"/>
      <c r="JU983" s="336"/>
      <c r="JV983" s="337"/>
      <c r="JW983" s="336"/>
      <c r="JX983" s="337"/>
      <c r="JY983" s="336"/>
      <c r="JZ983" s="337"/>
      <c r="KA983" s="336"/>
      <c r="KB983" s="337"/>
      <c r="KC983" s="336"/>
      <c r="KD983" s="337"/>
      <c r="KE983" s="336"/>
      <c r="KF983" s="337"/>
      <c r="KG983" s="336"/>
      <c r="KH983" s="337"/>
      <c r="KI983" s="336"/>
      <c r="KJ983" s="337"/>
      <c r="KK983" s="336"/>
      <c r="KL983" s="337"/>
      <c r="KM983" s="336"/>
      <c r="KN983" s="337"/>
      <c r="KO983" s="336"/>
      <c r="KP983" s="337"/>
      <c r="KQ983" s="336"/>
      <c r="KR983" s="337"/>
      <c r="KS983" s="336"/>
      <c r="KT983" s="337"/>
      <c r="KU983" s="336"/>
      <c r="KV983" s="337"/>
      <c r="KW983" s="336"/>
      <c r="KX983" s="337"/>
      <c r="KY983" s="336"/>
      <c r="KZ983" s="337"/>
      <c r="LA983" s="336"/>
      <c r="LB983" s="337"/>
      <c r="LC983" s="336"/>
      <c r="LD983" s="337"/>
      <c r="LE983" s="336"/>
      <c r="LF983" s="337"/>
      <c r="LG983" s="336"/>
      <c r="LH983" s="337"/>
      <c r="LI983" s="336"/>
      <c r="LJ983" s="337"/>
      <c r="LK983" s="336"/>
      <c r="LL983" s="337"/>
      <c r="LM983" s="336"/>
      <c r="LN983" s="337"/>
      <c r="LO983" s="336"/>
      <c r="LP983" s="337"/>
      <c r="LQ983" s="336"/>
      <c r="LR983" s="337"/>
      <c r="LS983" s="336"/>
      <c r="LT983" s="337"/>
      <c r="LU983" s="336"/>
      <c r="LV983" s="337"/>
      <c r="LW983" s="336"/>
      <c r="LX983" s="337"/>
      <c r="LY983" s="336"/>
      <c r="LZ983" s="337"/>
      <c r="MA983" s="336"/>
      <c r="MB983" s="337"/>
      <c r="MC983" s="336"/>
      <c r="MD983" s="337"/>
      <c r="ME983" s="336"/>
      <c r="MF983" s="337"/>
      <c r="MG983" s="336"/>
      <c r="MH983" s="337"/>
      <c r="MI983" s="336"/>
      <c r="MJ983" s="337"/>
      <c r="MK983" s="336"/>
      <c r="ML983" s="337"/>
      <c r="MM983" s="336"/>
      <c r="MN983" s="337"/>
      <c r="MO983" s="336"/>
      <c r="MP983" s="337"/>
      <c r="MQ983" s="336"/>
      <c r="MR983" s="337"/>
      <c r="MS983" s="336"/>
      <c r="MT983" s="337"/>
      <c r="MU983" s="336"/>
      <c r="MV983" s="337"/>
      <c r="MW983" s="336"/>
      <c r="MX983" s="337"/>
      <c r="MY983" s="336"/>
      <c r="MZ983" s="337"/>
      <c r="NA983" s="336"/>
      <c r="NB983" s="337"/>
      <c r="NC983" s="336"/>
      <c r="ND983" s="337"/>
      <c r="NE983" s="336"/>
      <c r="NF983" s="337"/>
      <c r="NG983" s="336"/>
      <c r="NH983" s="337"/>
      <c r="NI983" s="336"/>
      <c r="NJ983" s="337"/>
      <c r="NK983" s="336"/>
      <c r="NL983" s="337"/>
      <c r="NM983" s="336"/>
      <c r="NN983" s="337"/>
      <c r="NO983" s="336"/>
      <c r="NP983" s="337"/>
      <c r="NQ983" s="336"/>
      <c r="NR983" s="337"/>
      <c r="NS983" s="336"/>
      <c r="NT983" s="337"/>
      <c r="NU983" s="336"/>
      <c r="NV983" s="337"/>
      <c r="NW983" s="336"/>
      <c r="NX983" s="337"/>
      <c r="NY983" s="336"/>
      <c r="NZ983" s="337"/>
      <c r="OA983" s="336"/>
      <c r="OB983" s="337"/>
      <c r="OC983" s="336"/>
      <c r="OD983" s="337"/>
      <c r="OE983" s="336"/>
      <c r="OF983" s="337"/>
      <c r="OG983" s="336"/>
      <c r="OH983" s="337"/>
      <c r="OI983" s="336"/>
      <c r="OJ983" s="337"/>
      <c r="OK983" s="336"/>
      <c r="OL983" s="337"/>
      <c r="OM983" s="336"/>
      <c r="ON983" s="337"/>
      <c r="OO983" s="336"/>
      <c r="OP983" s="337"/>
      <c r="OQ983" s="336"/>
      <c r="OR983" s="337"/>
      <c r="OS983" s="336"/>
      <c r="OT983" s="337"/>
      <c r="OU983" s="336"/>
      <c r="OV983" s="337"/>
      <c r="OW983" s="336"/>
      <c r="OX983" s="337"/>
      <c r="OY983" s="336"/>
      <c r="OZ983" s="337"/>
      <c r="PA983" s="336"/>
      <c r="PB983" s="337"/>
      <c r="PC983" s="336"/>
      <c r="PD983" s="337"/>
      <c r="PE983" s="336"/>
      <c r="PF983" s="337"/>
      <c r="PG983" s="336"/>
      <c r="PH983" s="337"/>
      <c r="PI983" s="336"/>
      <c r="PJ983" s="337"/>
      <c r="PK983" s="336"/>
      <c r="PL983" s="337"/>
      <c r="PM983" s="336"/>
      <c r="PN983" s="337"/>
      <c r="PO983" s="336"/>
      <c r="PP983" s="337"/>
      <c r="PQ983" s="336"/>
      <c r="PR983" s="337"/>
      <c r="PS983" s="336"/>
      <c r="PT983" s="337"/>
      <c r="PU983" s="336"/>
      <c r="PV983" s="337"/>
      <c r="PW983" s="336"/>
      <c r="PX983" s="337"/>
      <c r="PY983" s="336"/>
      <c r="PZ983" s="337"/>
      <c r="QA983" s="336"/>
      <c r="QB983" s="337"/>
      <c r="QC983" s="336"/>
      <c r="QD983" s="337"/>
      <c r="QE983" s="336"/>
      <c r="QF983" s="337"/>
      <c r="QG983" s="336"/>
      <c r="QH983" s="337"/>
      <c r="QI983" s="336"/>
      <c r="QJ983" s="337"/>
      <c r="QK983" s="336"/>
      <c r="QL983" s="337"/>
      <c r="QM983" s="336"/>
      <c r="QN983" s="337"/>
      <c r="QO983" s="336"/>
      <c r="QP983" s="337"/>
      <c r="QQ983" s="336"/>
      <c r="QR983" s="337"/>
      <c r="QS983" s="336"/>
      <c r="QT983" s="337"/>
      <c r="QU983" s="336"/>
      <c r="QV983" s="337"/>
      <c r="QW983" s="336"/>
      <c r="QX983" s="337"/>
      <c r="QY983" s="336"/>
      <c r="QZ983" s="337"/>
      <c r="RA983" s="336"/>
      <c r="RB983" s="337"/>
      <c r="RC983" s="336"/>
      <c r="RD983" s="337"/>
      <c r="RE983" s="336"/>
      <c r="RF983" s="337"/>
      <c r="RG983" s="336"/>
      <c r="RH983" s="337"/>
      <c r="RI983" s="336"/>
      <c r="RJ983" s="337"/>
      <c r="RK983" s="336"/>
      <c r="RL983" s="337"/>
      <c r="RM983" s="336"/>
      <c r="RN983" s="337"/>
      <c r="RO983" s="336"/>
      <c r="RP983" s="337"/>
      <c r="RQ983" s="336"/>
      <c r="RR983" s="337"/>
      <c r="RS983" s="336"/>
      <c r="RT983" s="337"/>
      <c r="RU983" s="336"/>
      <c r="RV983" s="337"/>
      <c r="RW983" s="336"/>
      <c r="RX983" s="337"/>
      <c r="RY983" s="336"/>
      <c r="RZ983" s="337"/>
      <c r="SA983" s="336"/>
      <c r="SB983" s="337"/>
      <c r="SC983" s="336"/>
      <c r="SD983" s="337"/>
      <c r="SE983" s="336"/>
      <c r="SF983" s="337"/>
      <c r="SG983" s="336"/>
      <c r="SH983" s="337"/>
      <c r="SI983" s="336"/>
      <c r="SJ983" s="337"/>
      <c r="SK983" s="336"/>
      <c r="SL983" s="337"/>
      <c r="SM983" s="336"/>
      <c r="SN983" s="337"/>
      <c r="SO983" s="336"/>
      <c r="SP983" s="337"/>
      <c r="SQ983" s="336"/>
      <c r="SR983" s="337"/>
      <c r="SS983" s="336"/>
      <c r="ST983" s="337"/>
      <c r="SU983" s="336"/>
      <c r="SV983" s="337"/>
      <c r="SW983" s="336"/>
      <c r="SX983" s="337"/>
      <c r="SY983" s="336"/>
      <c r="SZ983" s="337"/>
      <c r="TA983" s="336"/>
      <c r="TB983" s="337"/>
      <c r="TC983" s="336"/>
      <c r="TD983" s="337"/>
      <c r="TE983" s="336"/>
      <c r="TF983" s="337"/>
      <c r="TG983" s="336"/>
      <c r="TH983" s="337"/>
      <c r="TI983" s="336"/>
      <c r="TJ983" s="337"/>
      <c r="TK983" s="336"/>
      <c r="TL983" s="337"/>
      <c r="TM983" s="336"/>
      <c r="TN983" s="337"/>
      <c r="TO983" s="336"/>
      <c r="TP983" s="337"/>
      <c r="TQ983" s="336"/>
      <c r="TR983" s="337"/>
      <c r="TS983" s="336"/>
      <c r="TT983" s="337"/>
      <c r="TU983" s="336"/>
      <c r="TV983" s="337"/>
      <c r="TW983" s="336"/>
      <c r="TX983" s="337"/>
      <c r="TY983" s="336"/>
      <c r="TZ983" s="337"/>
      <c r="UA983" s="336"/>
      <c r="UB983" s="337"/>
      <c r="UC983" s="336"/>
      <c r="UD983" s="337"/>
      <c r="UE983" s="336"/>
      <c r="UF983" s="337"/>
      <c r="UG983" s="336"/>
      <c r="UH983" s="337"/>
      <c r="UI983" s="336"/>
      <c r="UJ983" s="337"/>
      <c r="UK983" s="336"/>
      <c r="UL983" s="337"/>
      <c r="UM983" s="336"/>
      <c r="UN983" s="337"/>
      <c r="UO983" s="336"/>
      <c r="UP983" s="337"/>
      <c r="UQ983" s="336"/>
      <c r="UR983" s="337"/>
      <c r="US983" s="336"/>
      <c r="UT983" s="337"/>
      <c r="UU983" s="336"/>
      <c r="UV983" s="337"/>
      <c r="UW983" s="336"/>
      <c r="UX983" s="337"/>
      <c r="UY983" s="336"/>
      <c r="UZ983" s="337"/>
      <c r="VA983" s="336"/>
      <c r="VB983" s="337"/>
      <c r="VC983" s="336"/>
      <c r="VD983" s="337"/>
      <c r="VE983" s="336"/>
      <c r="VF983" s="337"/>
      <c r="VG983" s="336"/>
      <c r="VH983" s="337"/>
      <c r="VI983" s="336"/>
      <c r="VJ983" s="337"/>
      <c r="VK983" s="336"/>
      <c r="VL983" s="337"/>
      <c r="VM983" s="336"/>
      <c r="VN983" s="337"/>
      <c r="VO983" s="336"/>
      <c r="VP983" s="337"/>
      <c r="VQ983" s="336"/>
      <c r="VR983" s="337"/>
      <c r="VS983" s="336"/>
      <c r="VT983" s="337"/>
      <c r="VU983" s="336"/>
      <c r="VV983" s="337"/>
      <c r="VW983" s="336"/>
      <c r="VX983" s="337"/>
      <c r="VY983" s="336"/>
      <c r="VZ983" s="337"/>
      <c r="WA983" s="336"/>
      <c r="WB983" s="337"/>
      <c r="WC983" s="336"/>
      <c r="WD983" s="337"/>
      <c r="WE983" s="336"/>
      <c r="WF983" s="337"/>
      <c r="WG983" s="336"/>
      <c r="WH983" s="337"/>
      <c r="WI983" s="336"/>
      <c r="WJ983" s="337"/>
      <c r="WK983" s="336"/>
      <c r="WL983" s="337"/>
      <c r="WM983" s="336"/>
      <c r="WN983" s="337"/>
      <c r="WO983" s="336"/>
      <c r="WP983" s="337"/>
      <c r="WQ983" s="336"/>
      <c r="WR983" s="337"/>
      <c r="WS983" s="336"/>
      <c r="WT983" s="337"/>
      <c r="WU983" s="336"/>
      <c r="WV983" s="337"/>
      <c r="WW983" s="336"/>
      <c r="WX983" s="337"/>
      <c r="WY983" s="336"/>
      <c r="WZ983" s="337"/>
      <c r="XA983" s="336"/>
      <c r="XB983" s="337"/>
      <c r="XC983" s="336"/>
      <c r="XD983" s="337"/>
      <c r="XE983" s="336"/>
      <c r="XF983" s="337"/>
      <c r="XG983" s="336"/>
      <c r="XH983" s="337"/>
      <c r="XI983" s="336"/>
      <c r="XJ983" s="337"/>
      <c r="XK983" s="336"/>
      <c r="XL983" s="337"/>
      <c r="XM983" s="336"/>
      <c r="XN983" s="337"/>
      <c r="XO983" s="336"/>
      <c r="XP983" s="337"/>
      <c r="XQ983" s="336"/>
      <c r="XR983" s="337"/>
      <c r="XS983" s="336"/>
      <c r="XT983" s="337"/>
      <c r="XU983" s="336"/>
      <c r="XV983" s="337"/>
      <c r="XW983" s="336"/>
      <c r="XX983" s="337"/>
      <c r="XY983" s="336"/>
      <c r="XZ983" s="337"/>
      <c r="YA983" s="336"/>
      <c r="YB983" s="337"/>
      <c r="YC983" s="336"/>
      <c r="YD983" s="337"/>
      <c r="YE983" s="336"/>
      <c r="YF983" s="337"/>
      <c r="YG983" s="336"/>
      <c r="YH983" s="337"/>
      <c r="YI983" s="336"/>
      <c r="YJ983" s="337"/>
      <c r="YK983" s="336"/>
      <c r="YL983" s="337"/>
      <c r="YM983" s="336"/>
      <c r="YN983" s="337"/>
      <c r="YO983" s="336"/>
      <c r="YP983" s="337"/>
      <c r="YQ983" s="336"/>
      <c r="YR983" s="337"/>
      <c r="YS983" s="336"/>
      <c r="YT983" s="337"/>
      <c r="YU983" s="336"/>
      <c r="YV983" s="337"/>
      <c r="YW983" s="336"/>
      <c r="YX983" s="337"/>
      <c r="YY983" s="336"/>
      <c r="YZ983" s="337"/>
      <c r="ZA983" s="336"/>
      <c r="ZB983" s="337"/>
      <c r="ZC983" s="336"/>
      <c r="ZD983" s="337"/>
      <c r="ZE983" s="336"/>
      <c r="ZF983" s="337"/>
      <c r="ZG983" s="336"/>
      <c r="ZH983" s="337"/>
      <c r="ZI983" s="336"/>
      <c r="ZJ983" s="337"/>
      <c r="ZK983" s="336"/>
      <c r="ZL983" s="337"/>
      <c r="ZM983" s="336"/>
      <c r="ZN983" s="337"/>
      <c r="ZO983" s="336"/>
      <c r="ZP983" s="337"/>
      <c r="ZQ983" s="336"/>
      <c r="ZR983" s="337"/>
      <c r="ZS983" s="336"/>
      <c r="ZT983" s="337"/>
      <c r="ZU983" s="336"/>
      <c r="ZV983" s="337"/>
      <c r="ZW983" s="336"/>
      <c r="ZX983" s="337"/>
      <c r="ZY983" s="336"/>
      <c r="ZZ983" s="337"/>
      <c r="AAA983" s="336"/>
      <c r="AAB983" s="337"/>
      <c r="AAC983" s="336"/>
      <c r="AAD983" s="337"/>
      <c r="AAE983" s="336"/>
      <c r="AAF983" s="337"/>
      <c r="AAG983" s="336"/>
      <c r="AAH983" s="337"/>
      <c r="AAI983" s="336"/>
      <c r="AAJ983" s="337"/>
      <c r="AAK983" s="336"/>
      <c r="AAL983" s="337"/>
      <c r="AAM983" s="336"/>
      <c r="AAN983" s="337"/>
      <c r="AAO983" s="336"/>
      <c r="AAP983" s="337"/>
      <c r="AAQ983" s="336"/>
      <c r="AAR983" s="337"/>
      <c r="AAS983" s="336"/>
      <c r="AAT983" s="337"/>
      <c r="AAU983" s="336"/>
      <c r="AAV983" s="337"/>
      <c r="AAW983" s="336"/>
      <c r="AAX983" s="337"/>
      <c r="AAY983" s="336"/>
      <c r="AAZ983" s="337"/>
      <c r="ABA983" s="336"/>
      <c r="ABB983" s="337"/>
      <c r="ABC983" s="336"/>
      <c r="ABD983" s="337"/>
      <c r="ABE983" s="336"/>
      <c r="ABF983" s="337"/>
      <c r="ABG983" s="336"/>
      <c r="ABH983" s="337"/>
      <c r="ABI983" s="336"/>
      <c r="ABJ983" s="337"/>
      <c r="ABK983" s="336"/>
      <c r="ABL983" s="337"/>
      <c r="ABM983" s="336"/>
      <c r="ABN983" s="337"/>
      <c r="ABO983" s="336"/>
      <c r="ABP983" s="337"/>
      <c r="ABQ983" s="336"/>
      <c r="ABR983" s="337"/>
      <c r="ABS983" s="336"/>
      <c r="ABT983" s="337"/>
      <c r="ABU983" s="336"/>
      <c r="ABV983" s="337"/>
      <c r="ABW983" s="336"/>
      <c r="ABX983" s="337"/>
      <c r="ABY983" s="336"/>
      <c r="ABZ983" s="337"/>
      <c r="ACA983" s="336"/>
      <c r="ACB983" s="337"/>
      <c r="ACC983" s="336"/>
      <c r="ACD983" s="337"/>
      <c r="ACE983" s="336"/>
      <c r="ACF983" s="337"/>
      <c r="ACG983" s="336"/>
      <c r="ACH983" s="337"/>
      <c r="ACI983" s="336"/>
      <c r="ACJ983" s="337"/>
      <c r="ACK983" s="336"/>
      <c r="ACL983" s="337"/>
      <c r="ACM983" s="336"/>
      <c r="ACN983" s="337"/>
      <c r="ACO983" s="336"/>
      <c r="ACP983" s="337"/>
      <c r="ACQ983" s="336"/>
      <c r="ACR983" s="337"/>
      <c r="ACS983" s="336"/>
      <c r="ACT983" s="337"/>
      <c r="ACU983" s="336"/>
      <c r="ACV983" s="337"/>
      <c r="ACW983" s="336"/>
      <c r="ACX983" s="337"/>
      <c r="ACY983" s="336"/>
      <c r="ACZ983" s="337"/>
      <c r="ADA983" s="336"/>
      <c r="ADB983" s="337"/>
      <c r="ADC983" s="336"/>
      <c r="ADD983" s="337"/>
      <c r="ADE983" s="336"/>
      <c r="ADF983" s="337"/>
      <c r="ADG983" s="336"/>
      <c r="ADH983" s="337"/>
      <c r="ADI983" s="336"/>
      <c r="ADJ983" s="337"/>
      <c r="ADK983" s="336"/>
      <c r="ADL983" s="337"/>
      <c r="ADM983" s="336"/>
      <c r="ADN983" s="337"/>
      <c r="ADO983" s="336"/>
      <c r="ADP983" s="337"/>
      <c r="ADQ983" s="336"/>
      <c r="ADR983" s="337"/>
      <c r="ADS983" s="336"/>
      <c r="ADT983" s="337"/>
      <c r="ADU983" s="336"/>
      <c r="ADV983" s="337"/>
      <c r="ADW983" s="336"/>
      <c r="ADX983" s="337"/>
      <c r="ADY983" s="336"/>
      <c r="ADZ983" s="337"/>
      <c r="AEA983" s="336"/>
      <c r="AEB983" s="337"/>
      <c r="AEC983" s="336"/>
      <c r="AED983" s="337"/>
      <c r="AEE983" s="336"/>
      <c r="AEF983" s="337"/>
      <c r="AEG983" s="336"/>
      <c r="AEH983" s="337"/>
      <c r="AEI983" s="336"/>
      <c r="AEJ983" s="337"/>
      <c r="AEK983" s="336"/>
      <c r="AEL983" s="337"/>
      <c r="AEM983" s="336"/>
      <c r="AEN983" s="337"/>
      <c r="AEO983" s="336"/>
      <c r="AEP983" s="337"/>
      <c r="AEQ983" s="336"/>
      <c r="AER983" s="337"/>
      <c r="AES983" s="336"/>
      <c r="AET983" s="337"/>
      <c r="AEU983" s="336"/>
      <c r="AEV983" s="337"/>
      <c r="AEW983" s="336"/>
      <c r="AEX983" s="337"/>
      <c r="AEY983" s="336"/>
      <c r="AEZ983" s="337"/>
      <c r="AFA983" s="336"/>
      <c r="AFB983" s="337"/>
      <c r="AFC983" s="336"/>
      <c r="AFD983" s="337"/>
      <c r="AFE983" s="336"/>
      <c r="AFF983" s="337"/>
      <c r="AFG983" s="336"/>
      <c r="AFH983" s="337"/>
      <c r="AFI983" s="336"/>
      <c r="AFJ983" s="337"/>
      <c r="AFK983" s="336"/>
      <c r="AFL983" s="337"/>
      <c r="AFM983" s="336"/>
      <c r="AFN983" s="337"/>
      <c r="AFO983" s="336"/>
      <c r="AFP983" s="337"/>
      <c r="AFQ983" s="336"/>
      <c r="AFR983" s="337"/>
      <c r="AFS983" s="336"/>
      <c r="AFT983" s="337"/>
      <c r="AFU983" s="336"/>
      <c r="AFV983" s="337"/>
      <c r="AFW983" s="336"/>
      <c r="AFX983" s="337"/>
      <c r="AFY983" s="336"/>
      <c r="AFZ983" s="337"/>
      <c r="AGA983" s="336"/>
      <c r="AGB983" s="337"/>
      <c r="AGC983" s="336"/>
      <c r="AGD983" s="337"/>
      <c r="AGE983" s="336"/>
      <c r="AGF983" s="337"/>
      <c r="AGG983" s="336"/>
      <c r="AGH983" s="337"/>
      <c r="AGI983" s="336"/>
      <c r="AGJ983" s="337"/>
      <c r="AGK983" s="336"/>
      <c r="AGL983" s="337"/>
      <c r="AGM983" s="336"/>
      <c r="AGN983" s="337"/>
      <c r="AGO983" s="336"/>
      <c r="AGP983" s="337"/>
      <c r="AGQ983" s="336"/>
      <c r="AGR983" s="337"/>
      <c r="AGS983" s="336"/>
      <c r="AGT983" s="337"/>
      <c r="AGU983" s="336"/>
      <c r="AGV983" s="337"/>
      <c r="AGW983" s="336"/>
      <c r="AGX983" s="337"/>
      <c r="AGY983" s="336"/>
      <c r="AGZ983" s="337"/>
      <c r="AHA983" s="336"/>
      <c r="AHB983" s="337"/>
      <c r="AHC983" s="336"/>
      <c r="AHD983" s="337"/>
      <c r="AHE983" s="336"/>
      <c r="AHF983" s="337"/>
      <c r="AHG983" s="336"/>
      <c r="AHH983" s="337"/>
      <c r="AHI983" s="336"/>
      <c r="AHJ983" s="337"/>
      <c r="AHK983" s="336"/>
      <c r="AHL983" s="337"/>
      <c r="AHM983" s="336"/>
      <c r="AHN983" s="337"/>
      <c r="AHO983" s="336"/>
      <c r="AHP983" s="337"/>
      <c r="AHQ983" s="336"/>
      <c r="AHR983" s="337"/>
      <c r="AHS983" s="336"/>
      <c r="AHT983" s="337"/>
      <c r="AHU983" s="336"/>
      <c r="AHV983" s="337"/>
      <c r="AHW983" s="336"/>
      <c r="AHX983" s="337"/>
      <c r="AHY983" s="336"/>
      <c r="AHZ983" s="337"/>
      <c r="AIA983" s="336"/>
      <c r="AIB983" s="337"/>
      <c r="AIC983" s="336"/>
      <c r="AID983" s="337"/>
      <c r="AIE983" s="336"/>
      <c r="AIF983" s="337"/>
      <c r="AIG983" s="336"/>
      <c r="AIH983" s="337"/>
      <c r="AII983" s="336"/>
      <c r="AIJ983" s="337"/>
      <c r="AIK983" s="336"/>
      <c r="AIL983" s="337"/>
      <c r="AIM983" s="336"/>
      <c r="AIN983" s="337"/>
      <c r="AIO983" s="336"/>
      <c r="AIP983" s="337"/>
      <c r="AIQ983" s="336"/>
      <c r="AIR983" s="337"/>
      <c r="AIS983" s="336"/>
      <c r="AIT983" s="337"/>
      <c r="AIU983" s="336"/>
      <c r="AIV983" s="337"/>
      <c r="AIW983" s="336"/>
      <c r="AIX983" s="337"/>
      <c r="AIY983" s="336"/>
      <c r="AIZ983" s="337"/>
      <c r="AJA983" s="336"/>
      <c r="AJB983" s="337"/>
      <c r="AJC983" s="336"/>
      <c r="AJD983" s="337"/>
      <c r="AJE983" s="336"/>
      <c r="AJF983" s="337"/>
      <c r="AJG983" s="336"/>
      <c r="AJH983" s="337"/>
      <c r="AJI983" s="336"/>
      <c r="AJJ983" s="337"/>
      <c r="AJK983" s="336"/>
      <c r="AJL983" s="337"/>
      <c r="AJM983" s="336"/>
      <c r="AJN983" s="337"/>
      <c r="AJO983" s="336"/>
      <c r="AJP983" s="337"/>
      <c r="AJQ983" s="336"/>
      <c r="AJR983" s="337"/>
      <c r="AJS983" s="336"/>
      <c r="AJT983" s="337"/>
      <c r="AJU983" s="336"/>
      <c r="AJV983" s="337"/>
      <c r="AJW983" s="336"/>
      <c r="AJX983" s="337"/>
      <c r="AJY983" s="336"/>
      <c r="AJZ983" s="337"/>
      <c r="AKA983" s="336"/>
      <c r="AKB983" s="337"/>
      <c r="AKC983" s="336"/>
      <c r="AKD983" s="337"/>
      <c r="AKE983" s="336"/>
      <c r="AKF983" s="337"/>
      <c r="AKG983" s="336"/>
      <c r="AKH983" s="337"/>
      <c r="AKI983" s="336"/>
      <c r="AKJ983" s="337"/>
      <c r="AKK983" s="336"/>
      <c r="AKL983" s="337"/>
      <c r="AKM983" s="336"/>
      <c r="AKN983" s="337"/>
      <c r="AKO983" s="336"/>
      <c r="AKP983" s="337"/>
      <c r="AKQ983" s="336"/>
      <c r="AKR983" s="337"/>
      <c r="AKS983" s="336"/>
      <c r="AKT983" s="337"/>
      <c r="AKU983" s="336"/>
      <c r="AKV983" s="337"/>
      <c r="AKW983" s="336"/>
      <c r="AKX983" s="337"/>
      <c r="AKY983" s="336"/>
      <c r="AKZ983" s="337"/>
      <c r="ALA983" s="336"/>
      <c r="ALB983" s="337"/>
      <c r="ALC983" s="336"/>
      <c r="ALD983" s="337"/>
      <c r="ALE983" s="336"/>
      <c r="ALF983" s="337"/>
      <c r="ALG983" s="336"/>
      <c r="ALH983" s="337"/>
      <c r="ALI983" s="336"/>
      <c r="ALJ983" s="337"/>
      <c r="ALK983" s="336"/>
      <c r="ALL983" s="337"/>
      <c r="ALM983" s="336"/>
      <c r="ALN983" s="337"/>
      <c r="ALO983" s="336"/>
      <c r="ALP983" s="337"/>
      <c r="ALQ983" s="336"/>
      <c r="ALR983" s="337"/>
      <c r="ALS983" s="336"/>
      <c r="ALT983" s="337"/>
      <c r="ALU983" s="336"/>
      <c r="ALV983" s="337"/>
      <c r="ALW983" s="336"/>
      <c r="ALX983" s="337"/>
      <c r="ALY983" s="336"/>
      <c r="ALZ983" s="337"/>
      <c r="AMA983" s="336"/>
      <c r="AMB983" s="337"/>
      <c r="AMC983" s="336"/>
      <c r="AMD983" s="337"/>
      <c r="AME983" s="336"/>
      <c r="AMF983" s="337"/>
      <c r="AMG983" s="336"/>
      <c r="AMH983" s="337"/>
      <c r="AMI983" s="336"/>
      <c r="AMJ983" s="337"/>
      <c r="AMK983" s="336"/>
      <c r="AML983" s="337"/>
      <c r="AMM983" s="336"/>
      <c r="AMN983" s="337"/>
      <c r="AMO983" s="336"/>
      <c r="AMP983" s="337"/>
      <c r="AMQ983" s="336"/>
      <c r="AMR983" s="337"/>
      <c r="AMS983" s="336"/>
      <c r="AMT983" s="337"/>
      <c r="AMU983" s="336"/>
      <c r="AMV983" s="337"/>
      <c r="AMW983" s="336"/>
      <c r="AMX983" s="337"/>
      <c r="AMY983" s="336"/>
      <c r="AMZ983" s="337"/>
      <c r="ANA983" s="336"/>
      <c r="ANB983" s="337"/>
      <c r="ANC983" s="336"/>
      <c r="AND983" s="337"/>
      <c r="ANE983" s="336"/>
      <c r="ANF983" s="337"/>
      <c r="ANG983" s="336"/>
      <c r="ANH983" s="337"/>
      <c r="ANI983" s="336"/>
      <c r="ANJ983" s="337"/>
      <c r="ANK983" s="336"/>
      <c r="ANL983" s="337"/>
      <c r="ANM983" s="336"/>
      <c r="ANN983" s="337"/>
      <c r="ANO983" s="336"/>
      <c r="ANP983" s="337"/>
      <c r="ANQ983" s="336"/>
      <c r="ANR983" s="337"/>
      <c r="ANS983" s="336"/>
      <c r="ANT983" s="337"/>
      <c r="ANU983" s="336"/>
      <c r="ANV983" s="337"/>
      <c r="ANW983" s="336"/>
      <c r="ANX983" s="337"/>
      <c r="ANY983" s="336"/>
      <c r="ANZ983" s="337"/>
      <c r="AOA983" s="336"/>
      <c r="AOB983" s="337"/>
      <c r="AOC983" s="336"/>
      <c r="AOD983" s="337"/>
      <c r="AOE983" s="336"/>
      <c r="AOF983" s="337"/>
      <c r="AOG983" s="336"/>
      <c r="AOH983" s="337"/>
      <c r="AOI983" s="336"/>
      <c r="AOJ983" s="337"/>
      <c r="AOK983" s="336"/>
      <c r="AOL983" s="337"/>
      <c r="AOM983" s="336"/>
      <c r="AON983" s="337"/>
      <c r="AOO983" s="336"/>
      <c r="AOP983" s="337"/>
      <c r="AOQ983" s="336"/>
      <c r="AOR983" s="337"/>
      <c r="AOS983" s="336"/>
      <c r="AOT983" s="337"/>
      <c r="AOU983" s="336"/>
      <c r="AOV983" s="337"/>
      <c r="AOW983" s="336"/>
      <c r="AOX983" s="337"/>
      <c r="AOY983" s="336"/>
      <c r="AOZ983" s="337"/>
      <c r="APA983" s="336"/>
      <c r="APB983" s="337"/>
      <c r="APC983" s="336"/>
      <c r="APD983" s="337"/>
      <c r="APE983" s="336"/>
      <c r="APF983" s="337"/>
      <c r="APG983" s="336"/>
      <c r="APH983" s="337"/>
      <c r="API983" s="336"/>
      <c r="APJ983" s="337"/>
      <c r="APK983" s="336"/>
      <c r="APL983" s="337"/>
      <c r="APM983" s="336"/>
      <c r="APN983" s="337"/>
      <c r="APO983" s="336"/>
      <c r="APP983" s="337"/>
      <c r="APQ983" s="336"/>
      <c r="APR983" s="337"/>
      <c r="APS983" s="336"/>
      <c r="APT983" s="337"/>
      <c r="APU983" s="336"/>
      <c r="APV983" s="337"/>
      <c r="APW983" s="336"/>
      <c r="APX983" s="337"/>
      <c r="APY983" s="336"/>
      <c r="APZ983" s="337"/>
      <c r="AQA983" s="336"/>
      <c r="AQB983" s="337"/>
      <c r="AQC983" s="336"/>
      <c r="AQD983" s="337"/>
      <c r="AQE983" s="336"/>
      <c r="AQF983" s="337"/>
      <c r="AQG983" s="336"/>
      <c r="AQH983" s="337"/>
      <c r="AQI983" s="336"/>
      <c r="AQJ983" s="337"/>
      <c r="AQK983" s="336"/>
      <c r="AQL983" s="337"/>
      <c r="AQM983" s="336"/>
      <c r="AQN983" s="337"/>
      <c r="AQO983" s="336"/>
      <c r="AQP983" s="337"/>
      <c r="AQQ983" s="336"/>
      <c r="AQR983" s="337"/>
      <c r="AQS983" s="336"/>
      <c r="AQT983" s="337"/>
      <c r="AQU983" s="336"/>
      <c r="AQV983" s="337"/>
      <c r="AQW983" s="336"/>
      <c r="AQX983" s="337"/>
      <c r="AQY983" s="336"/>
      <c r="AQZ983" s="337"/>
      <c r="ARA983" s="336"/>
      <c r="ARB983" s="337"/>
      <c r="ARC983" s="336"/>
      <c r="ARD983" s="337"/>
      <c r="ARE983" s="336"/>
      <c r="ARF983" s="337"/>
      <c r="ARG983" s="336"/>
      <c r="ARH983" s="337"/>
      <c r="ARI983" s="336"/>
      <c r="ARJ983" s="337"/>
      <c r="ARK983" s="336"/>
      <c r="ARL983" s="337"/>
      <c r="ARM983" s="336"/>
      <c r="ARN983" s="337"/>
      <c r="ARO983" s="336"/>
      <c r="ARP983" s="337"/>
      <c r="ARQ983" s="336"/>
      <c r="ARR983" s="337"/>
      <c r="ARS983" s="336"/>
      <c r="ART983" s="337"/>
      <c r="ARU983" s="336"/>
      <c r="ARV983" s="337"/>
      <c r="ARW983" s="336"/>
      <c r="ARX983" s="337"/>
      <c r="ARY983" s="336"/>
      <c r="ARZ983" s="337"/>
      <c r="ASA983" s="336"/>
      <c r="ASB983" s="337"/>
      <c r="ASC983" s="336"/>
      <c r="ASD983" s="337"/>
      <c r="ASE983" s="336"/>
      <c r="ASF983" s="337"/>
      <c r="ASG983" s="336"/>
      <c r="ASH983" s="337"/>
      <c r="ASI983" s="336"/>
      <c r="ASJ983" s="337"/>
      <c r="ASK983" s="336"/>
      <c r="ASL983" s="337"/>
      <c r="ASM983" s="336"/>
      <c r="ASN983" s="337"/>
      <c r="ASO983" s="336"/>
      <c r="ASP983" s="337"/>
      <c r="ASQ983" s="336"/>
      <c r="ASR983" s="337"/>
      <c r="ASS983" s="336"/>
      <c r="AST983" s="337"/>
      <c r="ASU983" s="336"/>
      <c r="ASV983" s="337"/>
      <c r="ASW983" s="336"/>
      <c r="ASX983" s="337"/>
      <c r="ASY983" s="336"/>
      <c r="ASZ983" s="337"/>
      <c r="ATA983" s="336"/>
      <c r="ATB983" s="337"/>
      <c r="ATC983" s="336"/>
      <c r="ATD983" s="337"/>
      <c r="ATE983" s="336"/>
      <c r="ATF983" s="337"/>
      <c r="ATG983" s="336"/>
      <c r="ATH983" s="337"/>
      <c r="ATI983" s="336"/>
      <c r="ATJ983" s="337"/>
      <c r="ATK983" s="336"/>
      <c r="ATL983" s="337"/>
      <c r="ATM983" s="336"/>
      <c r="ATN983" s="337"/>
      <c r="ATO983" s="336"/>
      <c r="ATP983" s="337"/>
      <c r="ATQ983" s="336"/>
      <c r="ATR983" s="337"/>
      <c r="ATS983" s="336"/>
      <c r="ATT983" s="337"/>
      <c r="ATU983" s="336"/>
      <c r="ATV983" s="337"/>
      <c r="ATW983" s="336"/>
      <c r="ATX983" s="337"/>
      <c r="ATY983" s="336"/>
      <c r="ATZ983" s="337"/>
      <c r="AUA983" s="336"/>
      <c r="AUB983" s="337"/>
      <c r="AUC983" s="336"/>
      <c r="AUD983" s="337"/>
      <c r="AUE983" s="336"/>
      <c r="AUF983" s="337"/>
      <c r="AUG983" s="336"/>
      <c r="AUH983" s="337"/>
      <c r="AUI983" s="336"/>
      <c r="AUJ983" s="337"/>
      <c r="AUK983" s="336"/>
      <c r="AUL983" s="337"/>
      <c r="AUM983" s="336"/>
      <c r="AUN983" s="337"/>
      <c r="AUO983" s="336"/>
      <c r="AUP983" s="337"/>
      <c r="AUQ983" s="336"/>
      <c r="AUR983" s="337"/>
      <c r="AUS983" s="336"/>
      <c r="AUT983" s="337"/>
      <c r="AUU983" s="336"/>
      <c r="AUV983" s="337"/>
      <c r="AUW983" s="336"/>
      <c r="AUX983" s="337"/>
      <c r="AUY983" s="336"/>
      <c r="AUZ983" s="337"/>
      <c r="AVA983" s="336"/>
      <c r="AVB983" s="337"/>
      <c r="AVC983" s="336"/>
      <c r="AVD983" s="337"/>
      <c r="AVE983" s="336"/>
      <c r="AVF983" s="337"/>
      <c r="AVG983" s="336"/>
      <c r="AVH983" s="337"/>
      <c r="AVI983" s="336"/>
      <c r="AVJ983" s="337"/>
      <c r="AVK983" s="336"/>
      <c r="AVL983" s="337"/>
      <c r="AVM983" s="336"/>
      <c r="AVN983" s="337"/>
      <c r="AVO983" s="336"/>
      <c r="AVP983" s="337"/>
      <c r="AVQ983" s="336"/>
      <c r="AVR983" s="337"/>
      <c r="AVS983" s="336"/>
      <c r="AVT983" s="337"/>
      <c r="AVU983" s="336"/>
      <c r="AVV983" s="337"/>
      <c r="AVW983" s="336"/>
      <c r="AVX983" s="337"/>
      <c r="AVY983" s="336"/>
      <c r="AVZ983" s="337"/>
      <c r="AWA983" s="336"/>
      <c r="AWB983" s="337"/>
      <c r="AWC983" s="336"/>
      <c r="AWD983" s="337"/>
      <c r="AWE983" s="336"/>
      <c r="AWF983" s="337"/>
      <c r="AWG983" s="336"/>
      <c r="AWH983" s="337"/>
      <c r="AWI983" s="336"/>
      <c r="AWJ983" s="337"/>
      <c r="AWK983" s="336"/>
      <c r="AWL983" s="337"/>
      <c r="AWM983" s="336"/>
      <c r="AWN983" s="337"/>
      <c r="AWO983" s="336"/>
      <c r="AWP983" s="337"/>
      <c r="AWQ983" s="336"/>
      <c r="AWR983" s="337"/>
      <c r="AWS983" s="336"/>
      <c r="AWT983" s="337"/>
      <c r="AWU983" s="336"/>
      <c r="AWV983" s="337"/>
      <c r="AWW983" s="336"/>
      <c r="AWX983" s="337"/>
      <c r="AWY983" s="336"/>
      <c r="AWZ983" s="337"/>
      <c r="AXA983" s="336"/>
      <c r="AXB983" s="337"/>
      <c r="AXC983" s="336"/>
      <c r="AXD983" s="337"/>
      <c r="AXE983" s="336"/>
      <c r="AXF983" s="337"/>
      <c r="AXG983" s="336"/>
      <c r="AXH983" s="337"/>
      <c r="AXI983" s="336"/>
      <c r="AXJ983" s="337"/>
      <c r="AXK983" s="336"/>
      <c r="AXL983" s="337"/>
      <c r="AXM983" s="336"/>
      <c r="AXN983" s="337"/>
      <c r="AXO983" s="336"/>
      <c r="AXP983" s="337"/>
      <c r="AXQ983" s="336"/>
      <c r="AXR983" s="337"/>
      <c r="AXS983" s="336"/>
      <c r="AXT983" s="337"/>
      <c r="AXU983" s="336"/>
      <c r="AXV983" s="337"/>
      <c r="AXW983" s="336"/>
      <c r="AXX983" s="337"/>
      <c r="AXY983" s="336"/>
      <c r="AXZ983" s="337"/>
      <c r="AYA983" s="336"/>
      <c r="AYB983" s="337"/>
      <c r="AYC983" s="336"/>
      <c r="AYD983" s="337"/>
      <c r="AYE983" s="336"/>
      <c r="AYF983" s="337"/>
      <c r="AYG983" s="336"/>
      <c r="AYH983" s="337"/>
      <c r="AYI983" s="336"/>
      <c r="AYJ983" s="337"/>
      <c r="AYK983" s="336"/>
      <c r="AYL983" s="337"/>
      <c r="AYM983" s="336"/>
      <c r="AYN983" s="337"/>
      <c r="AYO983" s="336"/>
      <c r="AYP983" s="337"/>
      <c r="AYQ983" s="336"/>
      <c r="AYR983" s="337"/>
      <c r="AYS983" s="336"/>
      <c r="AYT983" s="337"/>
      <c r="AYU983" s="336"/>
      <c r="AYV983" s="337"/>
      <c r="AYW983" s="336"/>
      <c r="AYX983" s="337"/>
      <c r="AYY983" s="336"/>
      <c r="AYZ983" s="337"/>
      <c r="AZA983" s="336"/>
      <c r="AZB983" s="337"/>
      <c r="AZC983" s="336"/>
      <c r="AZD983" s="337"/>
      <c r="AZE983" s="336"/>
      <c r="AZF983" s="337"/>
      <c r="AZG983" s="336"/>
      <c r="AZH983" s="337"/>
      <c r="AZI983" s="336"/>
      <c r="AZJ983" s="337"/>
      <c r="AZK983" s="336"/>
      <c r="AZL983" s="337"/>
      <c r="AZM983" s="336"/>
      <c r="AZN983" s="337"/>
      <c r="AZO983" s="336"/>
      <c r="AZP983" s="337"/>
      <c r="AZQ983" s="336"/>
      <c r="AZR983" s="337"/>
      <c r="AZS983" s="336"/>
      <c r="AZT983" s="337"/>
      <c r="AZU983" s="336"/>
      <c r="AZV983" s="337"/>
      <c r="AZW983" s="336"/>
      <c r="AZX983" s="337"/>
      <c r="AZY983" s="336"/>
      <c r="AZZ983" s="337"/>
      <c r="BAA983" s="336"/>
      <c r="BAB983" s="337"/>
      <c r="BAC983" s="336"/>
      <c r="BAD983" s="337"/>
      <c r="BAE983" s="336"/>
      <c r="BAF983" s="337"/>
      <c r="BAG983" s="336"/>
      <c r="BAH983" s="337"/>
      <c r="BAI983" s="336"/>
      <c r="BAJ983" s="337"/>
      <c r="BAK983" s="336"/>
      <c r="BAL983" s="337"/>
      <c r="BAM983" s="336"/>
      <c r="BAN983" s="337"/>
      <c r="BAO983" s="336"/>
      <c r="BAP983" s="337"/>
      <c r="BAQ983" s="336"/>
      <c r="BAR983" s="337"/>
      <c r="BAS983" s="336"/>
      <c r="BAT983" s="337"/>
      <c r="BAU983" s="336"/>
      <c r="BAV983" s="337"/>
      <c r="BAW983" s="336"/>
      <c r="BAX983" s="337"/>
      <c r="BAY983" s="336"/>
      <c r="BAZ983" s="337"/>
      <c r="BBA983" s="336"/>
      <c r="BBB983" s="337"/>
      <c r="BBC983" s="336"/>
      <c r="BBD983" s="337"/>
      <c r="BBE983" s="336"/>
      <c r="BBF983" s="337"/>
      <c r="BBG983" s="336"/>
      <c r="BBH983" s="337"/>
      <c r="BBI983" s="336"/>
      <c r="BBJ983" s="337"/>
      <c r="BBK983" s="336"/>
      <c r="BBL983" s="337"/>
      <c r="BBM983" s="336"/>
      <c r="BBN983" s="337"/>
      <c r="BBO983" s="336"/>
      <c r="BBP983" s="337"/>
      <c r="BBQ983" s="336"/>
      <c r="BBR983" s="337"/>
      <c r="BBS983" s="336"/>
      <c r="BBT983" s="337"/>
      <c r="BBU983" s="336"/>
      <c r="BBV983" s="337"/>
      <c r="BBW983" s="336"/>
      <c r="BBX983" s="337"/>
      <c r="BBY983" s="336"/>
      <c r="BBZ983" s="337"/>
      <c r="BCA983" s="336"/>
      <c r="BCB983" s="337"/>
      <c r="BCC983" s="336"/>
      <c r="BCD983" s="337"/>
      <c r="BCE983" s="336"/>
      <c r="BCF983" s="337"/>
      <c r="BCG983" s="336"/>
      <c r="BCH983" s="337"/>
      <c r="BCI983" s="336"/>
      <c r="BCJ983" s="337"/>
      <c r="BCK983" s="336"/>
      <c r="BCL983" s="337"/>
      <c r="BCM983" s="336"/>
      <c r="BCN983" s="337"/>
      <c r="BCO983" s="336"/>
      <c r="BCP983" s="337"/>
      <c r="BCQ983" s="336"/>
      <c r="BCR983" s="337"/>
      <c r="BCS983" s="336"/>
      <c r="BCT983" s="337"/>
      <c r="BCU983" s="336"/>
      <c r="BCV983" s="337"/>
      <c r="BCW983" s="336"/>
      <c r="BCX983" s="337"/>
      <c r="BCY983" s="336"/>
      <c r="BCZ983" s="337"/>
      <c r="BDA983" s="336"/>
      <c r="BDB983" s="337"/>
      <c r="BDC983" s="336"/>
      <c r="BDD983" s="337"/>
      <c r="BDE983" s="336"/>
      <c r="BDF983" s="337"/>
      <c r="BDG983" s="336"/>
      <c r="BDH983" s="337"/>
      <c r="BDI983" s="336"/>
      <c r="BDJ983" s="337"/>
      <c r="BDK983" s="336"/>
      <c r="BDL983" s="337"/>
      <c r="BDM983" s="336"/>
      <c r="BDN983" s="337"/>
      <c r="BDO983" s="336"/>
      <c r="BDP983" s="337"/>
      <c r="BDQ983" s="336"/>
      <c r="BDR983" s="337"/>
      <c r="BDS983" s="336"/>
      <c r="BDT983" s="337"/>
      <c r="BDU983" s="336"/>
      <c r="BDV983" s="337"/>
      <c r="BDW983" s="336"/>
      <c r="BDX983" s="337"/>
      <c r="BDY983" s="336"/>
      <c r="BDZ983" s="337"/>
      <c r="BEA983" s="336"/>
      <c r="BEB983" s="337"/>
      <c r="BEC983" s="336"/>
      <c r="BED983" s="337"/>
      <c r="BEE983" s="336"/>
      <c r="BEF983" s="337"/>
      <c r="BEG983" s="336"/>
      <c r="BEH983" s="337"/>
      <c r="BEI983" s="336"/>
      <c r="BEJ983" s="337"/>
      <c r="BEK983" s="336"/>
      <c r="BEL983" s="337"/>
      <c r="BEM983" s="336"/>
      <c r="BEN983" s="337"/>
      <c r="BEO983" s="336"/>
      <c r="BEP983" s="337"/>
      <c r="BEQ983" s="336"/>
      <c r="BER983" s="337"/>
      <c r="BES983" s="336"/>
      <c r="BET983" s="337"/>
      <c r="BEU983" s="336"/>
      <c r="BEV983" s="337"/>
      <c r="BEW983" s="336"/>
      <c r="BEX983" s="337"/>
      <c r="BEY983" s="336"/>
      <c r="BEZ983" s="337"/>
      <c r="BFA983" s="336"/>
      <c r="BFB983" s="337"/>
      <c r="BFC983" s="336"/>
      <c r="BFD983" s="337"/>
      <c r="BFE983" s="336"/>
      <c r="BFF983" s="337"/>
      <c r="BFG983" s="336"/>
      <c r="BFH983" s="337"/>
      <c r="BFI983" s="336"/>
      <c r="BFJ983" s="337"/>
      <c r="BFK983" s="336"/>
      <c r="BFL983" s="337"/>
      <c r="BFM983" s="336"/>
      <c r="BFN983" s="337"/>
      <c r="BFO983" s="336"/>
      <c r="BFP983" s="337"/>
      <c r="BFQ983" s="336"/>
      <c r="BFR983" s="337"/>
      <c r="BFS983" s="336"/>
      <c r="BFT983" s="337"/>
      <c r="BFU983" s="336"/>
      <c r="BFV983" s="337"/>
      <c r="BFW983" s="336"/>
      <c r="BFX983" s="337"/>
      <c r="BFY983" s="336"/>
      <c r="BFZ983" s="337"/>
      <c r="BGA983" s="336"/>
      <c r="BGB983" s="337"/>
      <c r="BGC983" s="336"/>
      <c r="BGD983" s="337"/>
      <c r="BGE983" s="336"/>
      <c r="BGF983" s="337"/>
      <c r="BGG983" s="336"/>
      <c r="BGH983" s="337"/>
      <c r="BGI983" s="336"/>
      <c r="BGJ983" s="337"/>
      <c r="BGK983" s="336"/>
      <c r="BGL983" s="337"/>
      <c r="BGM983" s="336"/>
      <c r="BGN983" s="337"/>
      <c r="BGO983" s="336"/>
      <c r="BGP983" s="337"/>
      <c r="BGQ983" s="336"/>
      <c r="BGR983" s="337"/>
      <c r="BGS983" s="336"/>
      <c r="BGT983" s="337"/>
      <c r="BGU983" s="336"/>
      <c r="BGV983" s="337"/>
      <c r="BGW983" s="336"/>
      <c r="BGX983" s="337"/>
      <c r="BGY983" s="336"/>
      <c r="BGZ983" s="337"/>
      <c r="BHA983" s="336"/>
      <c r="BHB983" s="337"/>
      <c r="BHC983" s="336"/>
      <c r="BHD983" s="337"/>
      <c r="BHE983" s="336"/>
      <c r="BHF983" s="337"/>
      <c r="BHG983" s="336"/>
      <c r="BHH983" s="337"/>
      <c r="BHI983" s="336"/>
      <c r="BHJ983" s="337"/>
      <c r="BHK983" s="336"/>
      <c r="BHL983" s="337"/>
      <c r="BHM983" s="336"/>
      <c r="BHN983" s="337"/>
      <c r="BHO983" s="336"/>
      <c r="BHP983" s="337"/>
      <c r="BHQ983" s="336"/>
      <c r="BHR983" s="337"/>
      <c r="BHS983" s="336"/>
      <c r="BHT983" s="337"/>
      <c r="BHU983" s="336"/>
      <c r="BHV983" s="337"/>
      <c r="BHW983" s="336"/>
      <c r="BHX983" s="337"/>
      <c r="BHY983" s="336"/>
      <c r="BHZ983" s="337"/>
      <c r="BIA983" s="336"/>
      <c r="BIB983" s="337"/>
      <c r="BIC983" s="336"/>
      <c r="BID983" s="337"/>
      <c r="BIE983" s="336"/>
      <c r="BIF983" s="337"/>
      <c r="BIG983" s="336"/>
      <c r="BIH983" s="337"/>
      <c r="BII983" s="336"/>
      <c r="BIJ983" s="337"/>
      <c r="BIK983" s="336"/>
      <c r="BIL983" s="337"/>
      <c r="BIM983" s="336"/>
      <c r="BIN983" s="337"/>
      <c r="BIO983" s="336"/>
      <c r="BIP983" s="337"/>
      <c r="BIQ983" s="336"/>
      <c r="BIR983" s="337"/>
      <c r="BIS983" s="336"/>
      <c r="BIT983" s="337"/>
      <c r="BIU983" s="336"/>
      <c r="BIV983" s="337"/>
      <c r="BIW983" s="336"/>
      <c r="BIX983" s="337"/>
      <c r="BIY983" s="336"/>
      <c r="BIZ983" s="337"/>
      <c r="BJA983" s="336"/>
      <c r="BJB983" s="337"/>
      <c r="BJC983" s="336"/>
      <c r="BJD983" s="337"/>
      <c r="BJE983" s="336"/>
      <c r="BJF983" s="337"/>
      <c r="BJG983" s="336"/>
      <c r="BJH983" s="337"/>
      <c r="BJI983" s="336"/>
      <c r="BJJ983" s="337"/>
      <c r="BJK983" s="336"/>
      <c r="BJL983" s="337"/>
      <c r="BJM983" s="336"/>
      <c r="BJN983" s="337"/>
      <c r="BJO983" s="336"/>
      <c r="BJP983" s="337"/>
      <c r="BJQ983" s="336"/>
      <c r="BJR983" s="337"/>
      <c r="BJS983" s="336"/>
      <c r="BJT983" s="337"/>
      <c r="BJU983" s="336"/>
      <c r="BJV983" s="337"/>
      <c r="BJW983" s="336"/>
      <c r="BJX983" s="337"/>
      <c r="BJY983" s="336"/>
      <c r="BJZ983" s="337"/>
      <c r="BKA983" s="336"/>
      <c r="BKB983" s="337"/>
      <c r="BKC983" s="336"/>
      <c r="BKD983" s="337"/>
      <c r="BKE983" s="336"/>
      <c r="BKF983" s="337"/>
      <c r="BKG983" s="336"/>
      <c r="BKH983" s="337"/>
      <c r="BKI983" s="336"/>
      <c r="BKJ983" s="337"/>
      <c r="BKK983" s="336"/>
      <c r="BKL983" s="337"/>
      <c r="BKM983" s="336"/>
      <c r="BKN983" s="337"/>
      <c r="BKO983" s="336"/>
      <c r="BKP983" s="337"/>
      <c r="BKQ983" s="336"/>
      <c r="BKR983" s="337"/>
      <c r="BKS983" s="336"/>
      <c r="BKT983" s="337"/>
      <c r="BKU983" s="336"/>
      <c r="BKV983" s="337"/>
      <c r="BKW983" s="336"/>
      <c r="BKX983" s="337"/>
      <c r="BKY983" s="336"/>
      <c r="BKZ983" s="337"/>
      <c r="BLA983" s="336"/>
      <c r="BLB983" s="337"/>
      <c r="BLC983" s="336"/>
      <c r="BLD983" s="337"/>
      <c r="BLE983" s="336"/>
      <c r="BLF983" s="337"/>
      <c r="BLG983" s="336"/>
      <c r="BLH983" s="337"/>
      <c r="BLI983" s="336"/>
      <c r="BLJ983" s="337"/>
      <c r="BLK983" s="336"/>
      <c r="BLL983" s="337"/>
      <c r="BLM983" s="336"/>
      <c r="BLN983" s="337"/>
      <c r="BLO983" s="336"/>
      <c r="BLP983" s="337"/>
      <c r="BLQ983" s="336"/>
      <c r="BLR983" s="337"/>
      <c r="BLS983" s="336"/>
      <c r="BLT983" s="337"/>
      <c r="BLU983" s="336"/>
      <c r="BLV983" s="337"/>
      <c r="BLW983" s="336"/>
      <c r="BLX983" s="337"/>
      <c r="BLY983" s="336"/>
      <c r="BLZ983" s="337"/>
      <c r="BMA983" s="336"/>
      <c r="BMB983" s="337"/>
      <c r="BMC983" s="336"/>
      <c r="BMD983" s="337"/>
      <c r="BME983" s="336"/>
      <c r="BMF983" s="337"/>
      <c r="BMG983" s="336"/>
      <c r="BMH983" s="337"/>
      <c r="BMI983" s="336"/>
      <c r="BMJ983" s="337"/>
      <c r="BMK983" s="336"/>
      <c r="BML983" s="337"/>
      <c r="BMM983" s="336"/>
      <c r="BMN983" s="337"/>
      <c r="BMO983" s="336"/>
      <c r="BMP983" s="337"/>
      <c r="BMQ983" s="336"/>
      <c r="BMR983" s="337"/>
      <c r="BMS983" s="336"/>
      <c r="BMT983" s="337"/>
      <c r="BMU983" s="336"/>
      <c r="BMV983" s="337"/>
      <c r="BMW983" s="336"/>
      <c r="BMX983" s="337"/>
      <c r="BMY983" s="336"/>
      <c r="BMZ983" s="337"/>
      <c r="BNA983" s="336"/>
      <c r="BNB983" s="337"/>
      <c r="BNC983" s="336"/>
      <c r="BND983" s="337"/>
      <c r="BNE983" s="336"/>
      <c r="BNF983" s="337"/>
      <c r="BNG983" s="336"/>
      <c r="BNH983" s="337"/>
      <c r="BNI983" s="336"/>
      <c r="BNJ983" s="337"/>
      <c r="BNK983" s="336"/>
      <c r="BNL983" s="337"/>
      <c r="BNM983" s="336"/>
      <c r="BNN983" s="337"/>
      <c r="BNO983" s="336"/>
      <c r="BNP983" s="337"/>
      <c r="BNQ983" s="336"/>
      <c r="BNR983" s="337"/>
      <c r="BNS983" s="336"/>
      <c r="BNT983" s="337"/>
      <c r="BNU983" s="336"/>
      <c r="BNV983" s="337"/>
      <c r="BNW983" s="336"/>
      <c r="BNX983" s="337"/>
      <c r="BNY983" s="336"/>
      <c r="BNZ983" s="337"/>
      <c r="BOA983" s="336"/>
      <c r="BOB983" s="337"/>
      <c r="BOC983" s="336"/>
      <c r="BOD983" s="337"/>
      <c r="BOE983" s="336"/>
      <c r="BOF983" s="337"/>
      <c r="BOG983" s="336"/>
      <c r="BOH983" s="337"/>
      <c r="BOI983" s="336"/>
      <c r="BOJ983" s="337"/>
      <c r="BOK983" s="336"/>
      <c r="BOL983" s="337"/>
      <c r="BOM983" s="336"/>
      <c r="BON983" s="337"/>
      <c r="BOO983" s="336"/>
      <c r="BOP983" s="337"/>
      <c r="BOQ983" s="336"/>
      <c r="BOR983" s="337"/>
      <c r="BOS983" s="336"/>
      <c r="BOT983" s="337"/>
      <c r="BOU983" s="336"/>
      <c r="BOV983" s="337"/>
      <c r="BOW983" s="336"/>
      <c r="BOX983" s="337"/>
      <c r="BOY983" s="336"/>
      <c r="BOZ983" s="337"/>
      <c r="BPA983" s="336"/>
      <c r="BPB983" s="337"/>
      <c r="BPC983" s="336"/>
      <c r="BPD983" s="337"/>
      <c r="BPE983" s="336"/>
      <c r="BPF983" s="337"/>
      <c r="BPG983" s="336"/>
      <c r="BPH983" s="337"/>
      <c r="BPI983" s="336"/>
      <c r="BPJ983" s="337"/>
      <c r="BPK983" s="336"/>
      <c r="BPL983" s="337"/>
      <c r="BPM983" s="336"/>
      <c r="BPN983" s="337"/>
      <c r="BPO983" s="336"/>
      <c r="BPP983" s="337"/>
      <c r="BPQ983" s="336"/>
      <c r="BPR983" s="337"/>
      <c r="BPS983" s="336"/>
      <c r="BPT983" s="337"/>
      <c r="BPU983" s="336"/>
      <c r="BPV983" s="337"/>
      <c r="BPW983" s="336"/>
      <c r="BPX983" s="337"/>
      <c r="BPY983" s="336"/>
      <c r="BPZ983" s="337"/>
      <c r="BQA983" s="336"/>
      <c r="BQB983" s="337"/>
      <c r="BQC983" s="336"/>
      <c r="BQD983" s="337"/>
      <c r="BQE983" s="336"/>
      <c r="BQF983" s="337"/>
      <c r="BQG983" s="336"/>
      <c r="BQH983" s="337"/>
      <c r="BQI983" s="336"/>
      <c r="BQJ983" s="337"/>
      <c r="BQK983" s="336"/>
      <c r="BQL983" s="337"/>
      <c r="BQM983" s="336"/>
      <c r="BQN983" s="337"/>
      <c r="BQO983" s="336"/>
      <c r="BQP983" s="337"/>
      <c r="BQQ983" s="336"/>
      <c r="BQR983" s="337"/>
      <c r="BQS983" s="336"/>
      <c r="BQT983" s="337"/>
      <c r="BQU983" s="336"/>
      <c r="BQV983" s="337"/>
      <c r="BQW983" s="336"/>
      <c r="BQX983" s="337"/>
      <c r="BQY983" s="336"/>
      <c r="BQZ983" s="337"/>
      <c r="BRA983" s="336"/>
      <c r="BRB983" s="337"/>
      <c r="BRC983" s="336"/>
      <c r="BRD983" s="337"/>
      <c r="BRE983" s="336"/>
      <c r="BRF983" s="337"/>
      <c r="BRG983" s="336"/>
      <c r="BRH983" s="337"/>
      <c r="BRI983" s="336"/>
      <c r="BRJ983" s="337"/>
      <c r="BRK983" s="336"/>
      <c r="BRL983" s="337"/>
      <c r="BRM983" s="336"/>
      <c r="BRN983" s="337"/>
      <c r="BRO983" s="336"/>
      <c r="BRP983" s="337"/>
      <c r="BRQ983" s="336"/>
      <c r="BRR983" s="337"/>
      <c r="BRS983" s="336"/>
      <c r="BRT983" s="337"/>
      <c r="BRU983" s="336"/>
      <c r="BRV983" s="337"/>
      <c r="BRW983" s="336"/>
      <c r="BRX983" s="337"/>
      <c r="BRY983" s="336"/>
      <c r="BRZ983" s="337"/>
      <c r="BSA983" s="336"/>
      <c r="BSB983" s="337"/>
      <c r="BSC983" s="336"/>
      <c r="BSD983" s="337"/>
      <c r="BSE983" s="336"/>
      <c r="BSF983" s="337"/>
      <c r="BSG983" s="336"/>
      <c r="BSH983" s="337"/>
      <c r="BSI983" s="336"/>
      <c r="BSJ983" s="337"/>
      <c r="BSK983" s="336"/>
      <c r="BSL983" s="337"/>
      <c r="BSM983" s="336"/>
      <c r="BSN983" s="337"/>
      <c r="BSO983" s="336"/>
      <c r="BSP983" s="337"/>
      <c r="BSQ983" s="336"/>
      <c r="BSR983" s="337"/>
      <c r="BSS983" s="336"/>
      <c r="BST983" s="337"/>
      <c r="BSU983" s="336"/>
      <c r="BSV983" s="337"/>
      <c r="BSW983" s="336"/>
      <c r="BSX983" s="337"/>
      <c r="BSY983" s="336"/>
      <c r="BSZ983" s="337"/>
      <c r="BTA983" s="336"/>
      <c r="BTB983" s="337"/>
      <c r="BTC983" s="336"/>
      <c r="BTD983" s="337"/>
      <c r="BTE983" s="336"/>
      <c r="BTF983" s="337"/>
      <c r="BTG983" s="336"/>
      <c r="BTH983" s="337"/>
      <c r="BTI983" s="336"/>
      <c r="BTJ983" s="337"/>
      <c r="BTK983" s="336"/>
      <c r="BTL983" s="337"/>
      <c r="BTM983" s="336"/>
      <c r="BTN983" s="337"/>
      <c r="BTO983" s="336"/>
      <c r="BTP983" s="337"/>
      <c r="BTQ983" s="336"/>
      <c r="BTR983" s="337"/>
      <c r="BTS983" s="336"/>
      <c r="BTT983" s="337"/>
      <c r="BTU983" s="336"/>
      <c r="BTV983" s="337"/>
      <c r="BTW983" s="336"/>
      <c r="BTX983" s="337"/>
      <c r="BTY983" s="336"/>
      <c r="BTZ983" s="337"/>
      <c r="BUA983" s="336"/>
      <c r="BUB983" s="337"/>
      <c r="BUC983" s="336"/>
      <c r="BUD983" s="337"/>
      <c r="BUE983" s="336"/>
      <c r="BUF983" s="337"/>
      <c r="BUG983" s="336"/>
      <c r="BUH983" s="337"/>
      <c r="BUI983" s="336"/>
      <c r="BUJ983" s="337"/>
      <c r="BUK983" s="336"/>
      <c r="BUL983" s="337"/>
      <c r="BUM983" s="336"/>
      <c r="BUN983" s="337"/>
      <c r="BUO983" s="336"/>
      <c r="BUP983" s="337"/>
      <c r="BUQ983" s="336"/>
      <c r="BUR983" s="337"/>
      <c r="BUS983" s="336"/>
      <c r="BUT983" s="337"/>
      <c r="BUU983" s="336"/>
      <c r="BUV983" s="337"/>
      <c r="BUW983" s="336"/>
      <c r="BUX983" s="337"/>
      <c r="BUY983" s="336"/>
      <c r="BUZ983" s="337"/>
      <c r="BVA983" s="336"/>
      <c r="BVB983" s="337"/>
      <c r="BVC983" s="336"/>
      <c r="BVD983" s="337"/>
      <c r="BVE983" s="336"/>
      <c r="BVF983" s="337"/>
      <c r="BVG983" s="336"/>
      <c r="BVH983" s="337"/>
      <c r="BVI983" s="336"/>
      <c r="BVJ983" s="337"/>
      <c r="BVK983" s="336"/>
      <c r="BVL983" s="337"/>
      <c r="BVM983" s="336"/>
      <c r="BVN983" s="337"/>
      <c r="BVO983" s="336"/>
      <c r="BVP983" s="337"/>
      <c r="BVQ983" s="336"/>
      <c r="BVR983" s="337"/>
      <c r="BVS983" s="336"/>
      <c r="BVT983" s="337"/>
      <c r="BVU983" s="336"/>
      <c r="BVV983" s="337"/>
      <c r="BVW983" s="336"/>
      <c r="BVX983" s="337"/>
      <c r="BVY983" s="336"/>
      <c r="BVZ983" s="337"/>
      <c r="BWA983" s="336"/>
      <c r="BWB983" s="337"/>
      <c r="BWC983" s="336"/>
      <c r="BWD983" s="337"/>
      <c r="BWE983" s="336"/>
      <c r="BWF983" s="337"/>
      <c r="BWG983" s="336"/>
      <c r="BWH983" s="337"/>
      <c r="BWI983" s="336"/>
      <c r="BWJ983" s="337"/>
      <c r="BWK983" s="336"/>
      <c r="BWL983" s="337"/>
      <c r="BWM983" s="336"/>
      <c r="BWN983" s="337"/>
      <c r="BWO983" s="336"/>
      <c r="BWP983" s="337"/>
      <c r="BWQ983" s="336"/>
      <c r="BWR983" s="337"/>
      <c r="BWS983" s="336"/>
      <c r="BWT983" s="337"/>
      <c r="BWU983" s="336"/>
      <c r="BWV983" s="337"/>
      <c r="BWW983" s="336"/>
      <c r="BWX983" s="337"/>
      <c r="BWY983" s="336"/>
      <c r="BWZ983" s="337"/>
      <c r="BXA983" s="336"/>
      <c r="BXB983" s="337"/>
      <c r="BXC983" s="336"/>
      <c r="BXD983" s="337"/>
      <c r="BXE983" s="336"/>
      <c r="BXF983" s="337"/>
      <c r="BXG983" s="336"/>
      <c r="BXH983" s="337"/>
      <c r="BXI983" s="336"/>
      <c r="BXJ983" s="337"/>
      <c r="BXK983" s="336"/>
      <c r="BXL983" s="337"/>
      <c r="BXM983" s="336"/>
      <c r="BXN983" s="337"/>
      <c r="BXO983" s="336"/>
      <c r="BXP983" s="337"/>
      <c r="BXQ983" s="336"/>
      <c r="BXR983" s="337"/>
      <c r="BXS983" s="336"/>
      <c r="BXT983" s="337"/>
      <c r="BXU983" s="336"/>
      <c r="BXV983" s="337"/>
      <c r="BXW983" s="336"/>
      <c r="BXX983" s="337"/>
      <c r="BXY983" s="336"/>
      <c r="BXZ983" s="337"/>
      <c r="BYA983" s="336"/>
      <c r="BYB983" s="337"/>
      <c r="BYC983" s="336"/>
      <c r="BYD983" s="337"/>
      <c r="BYE983" s="336"/>
      <c r="BYF983" s="337"/>
      <c r="BYG983" s="336"/>
      <c r="BYH983" s="337"/>
      <c r="BYI983" s="336"/>
      <c r="BYJ983" s="337"/>
      <c r="BYK983" s="336"/>
      <c r="BYL983" s="337"/>
      <c r="BYM983" s="336"/>
      <c r="BYN983" s="337"/>
      <c r="BYO983" s="336"/>
      <c r="BYP983" s="337"/>
      <c r="BYQ983" s="336"/>
      <c r="BYR983" s="337"/>
      <c r="BYS983" s="336"/>
      <c r="BYT983" s="337"/>
      <c r="BYU983" s="336"/>
      <c r="BYV983" s="337"/>
      <c r="BYW983" s="336"/>
      <c r="BYX983" s="337"/>
      <c r="BYY983" s="336"/>
      <c r="BYZ983" s="337"/>
      <c r="BZA983" s="336"/>
      <c r="BZB983" s="337"/>
      <c r="BZC983" s="336"/>
      <c r="BZD983" s="337"/>
      <c r="BZE983" s="336"/>
      <c r="BZF983" s="337"/>
      <c r="BZG983" s="336"/>
      <c r="BZH983" s="337"/>
      <c r="BZI983" s="336"/>
      <c r="BZJ983" s="337"/>
      <c r="BZK983" s="336"/>
      <c r="BZL983" s="337"/>
      <c r="BZM983" s="336"/>
      <c r="BZN983" s="337"/>
      <c r="BZO983" s="336"/>
      <c r="BZP983" s="337"/>
      <c r="BZQ983" s="336"/>
      <c r="BZR983" s="337"/>
      <c r="BZS983" s="336"/>
      <c r="BZT983" s="337"/>
      <c r="BZU983" s="336"/>
      <c r="BZV983" s="337"/>
      <c r="BZW983" s="336"/>
      <c r="BZX983" s="337"/>
      <c r="BZY983" s="336"/>
      <c r="BZZ983" s="337"/>
      <c r="CAA983" s="336"/>
      <c r="CAB983" s="337"/>
      <c r="CAC983" s="336"/>
      <c r="CAD983" s="337"/>
      <c r="CAE983" s="336"/>
      <c r="CAF983" s="337"/>
      <c r="CAG983" s="336"/>
      <c r="CAH983" s="337"/>
      <c r="CAI983" s="336"/>
      <c r="CAJ983" s="337"/>
      <c r="CAK983" s="336"/>
      <c r="CAL983" s="337"/>
      <c r="CAM983" s="336"/>
      <c r="CAN983" s="337"/>
      <c r="CAO983" s="336"/>
      <c r="CAP983" s="337"/>
      <c r="CAQ983" s="336"/>
      <c r="CAR983" s="337"/>
      <c r="CAS983" s="336"/>
      <c r="CAT983" s="337"/>
      <c r="CAU983" s="336"/>
      <c r="CAV983" s="337"/>
      <c r="CAW983" s="336"/>
      <c r="CAX983" s="337"/>
      <c r="CAY983" s="336"/>
      <c r="CAZ983" s="337"/>
      <c r="CBA983" s="336"/>
      <c r="CBB983" s="337"/>
      <c r="CBC983" s="336"/>
      <c r="CBD983" s="337"/>
      <c r="CBE983" s="336"/>
      <c r="CBF983" s="337"/>
      <c r="CBG983" s="336"/>
      <c r="CBH983" s="337"/>
      <c r="CBI983" s="336"/>
      <c r="CBJ983" s="337"/>
      <c r="CBK983" s="336"/>
      <c r="CBL983" s="337"/>
      <c r="CBM983" s="336"/>
      <c r="CBN983" s="337"/>
      <c r="CBO983" s="336"/>
      <c r="CBP983" s="337"/>
      <c r="CBQ983" s="336"/>
      <c r="CBR983" s="337"/>
      <c r="CBS983" s="336"/>
      <c r="CBT983" s="337"/>
      <c r="CBU983" s="336"/>
      <c r="CBV983" s="337"/>
      <c r="CBW983" s="336"/>
      <c r="CBX983" s="337"/>
      <c r="CBY983" s="336"/>
      <c r="CBZ983" s="337"/>
      <c r="CCA983" s="336"/>
      <c r="CCB983" s="337"/>
      <c r="CCC983" s="336"/>
      <c r="CCD983" s="337"/>
      <c r="CCE983" s="336"/>
      <c r="CCF983" s="337"/>
      <c r="CCG983" s="336"/>
      <c r="CCH983" s="337"/>
      <c r="CCI983" s="336"/>
      <c r="CCJ983" s="337"/>
      <c r="CCK983" s="336"/>
      <c r="CCL983" s="337"/>
      <c r="CCM983" s="336"/>
      <c r="CCN983" s="337"/>
      <c r="CCO983" s="336"/>
      <c r="CCP983" s="337"/>
      <c r="CCQ983" s="336"/>
      <c r="CCR983" s="337"/>
      <c r="CCS983" s="336"/>
      <c r="CCT983" s="337"/>
      <c r="CCU983" s="336"/>
      <c r="CCV983" s="337"/>
      <c r="CCW983" s="336"/>
      <c r="CCX983" s="337"/>
      <c r="CCY983" s="336"/>
      <c r="CCZ983" s="337"/>
      <c r="CDA983" s="336"/>
      <c r="CDB983" s="337"/>
      <c r="CDC983" s="336"/>
      <c r="CDD983" s="337"/>
      <c r="CDE983" s="336"/>
      <c r="CDF983" s="337"/>
      <c r="CDG983" s="336"/>
      <c r="CDH983" s="337"/>
      <c r="CDI983" s="336"/>
      <c r="CDJ983" s="337"/>
      <c r="CDK983" s="336"/>
      <c r="CDL983" s="337"/>
      <c r="CDM983" s="336"/>
      <c r="CDN983" s="337"/>
      <c r="CDO983" s="336"/>
      <c r="CDP983" s="337"/>
      <c r="CDQ983" s="336"/>
      <c r="CDR983" s="337"/>
      <c r="CDS983" s="336"/>
      <c r="CDT983" s="337"/>
      <c r="CDU983" s="336"/>
      <c r="CDV983" s="337"/>
      <c r="CDW983" s="336"/>
      <c r="CDX983" s="337"/>
      <c r="CDY983" s="336"/>
      <c r="CDZ983" s="337"/>
      <c r="CEA983" s="336"/>
      <c r="CEB983" s="337"/>
      <c r="CEC983" s="336"/>
      <c r="CED983" s="337"/>
      <c r="CEE983" s="336"/>
      <c r="CEF983" s="337"/>
      <c r="CEG983" s="336"/>
      <c r="CEH983" s="337"/>
      <c r="CEI983" s="336"/>
      <c r="CEJ983" s="337"/>
      <c r="CEK983" s="336"/>
      <c r="CEL983" s="337"/>
      <c r="CEM983" s="336"/>
      <c r="CEN983" s="337"/>
      <c r="CEO983" s="336"/>
      <c r="CEP983" s="337"/>
      <c r="CEQ983" s="336"/>
      <c r="CER983" s="337"/>
      <c r="CES983" s="336"/>
      <c r="CET983" s="337"/>
      <c r="CEU983" s="336"/>
      <c r="CEV983" s="337"/>
      <c r="CEW983" s="336"/>
      <c r="CEX983" s="337"/>
      <c r="CEY983" s="336"/>
      <c r="CEZ983" s="337"/>
      <c r="CFA983" s="336"/>
      <c r="CFB983" s="337"/>
      <c r="CFC983" s="336"/>
      <c r="CFD983" s="337"/>
      <c r="CFE983" s="336"/>
      <c r="CFF983" s="337"/>
      <c r="CFG983" s="336"/>
      <c r="CFH983" s="337"/>
      <c r="CFI983" s="336"/>
      <c r="CFJ983" s="337"/>
      <c r="CFK983" s="336"/>
      <c r="CFL983" s="337"/>
      <c r="CFM983" s="336"/>
      <c r="CFN983" s="337"/>
      <c r="CFO983" s="336"/>
      <c r="CFP983" s="337"/>
      <c r="CFQ983" s="336"/>
      <c r="CFR983" s="337"/>
      <c r="CFS983" s="336"/>
      <c r="CFT983" s="337"/>
      <c r="CFU983" s="336"/>
      <c r="CFV983" s="337"/>
      <c r="CFW983" s="336"/>
      <c r="CFX983" s="337"/>
      <c r="CFY983" s="336"/>
      <c r="CFZ983" s="337"/>
      <c r="CGA983" s="336"/>
      <c r="CGB983" s="337"/>
      <c r="CGC983" s="336"/>
      <c r="CGD983" s="337"/>
      <c r="CGE983" s="336"/>
      <c r="CGF983" s="337"/>
      <c r="CGG983" s="336"/>
      <c r="CGH983" s="337"/>
      <c r="CGI983" s="336"/>
      <c r="CGJ983" s="337"/>
      <c r="CGK983" s="336"/>
      <c r="CGL983" s="337"/>
      <c r="CGM983" s="336"/>
      <c r="CGN983" s="337"/>
      <c r="CGO983" s="336"/>
      <c r="CGP983" s="337"/>
      <c r="CGQ983" s="336"/>
      <c r="CGR983" s="337"/>
      <c r="CGS983" s="336"/>
      <c r="CGT983" s="337"/>
      <c r="CGU983" s="336"/>
      <c r="CGV983" s="337"/>
      <c r="CGW983" s="336"/>
      <c r="CGX983" s="337"/>
      <c r="CGY983" s="336"/>
      <c r="CGZ983" s="337"/>
      <c r="CHA983" s="336"/>
      <c r="CHB983" s="337"/>
      <c r="CHC983" s="336"/>
      <c r="CHD983" s="337"/>
      <c r="CHE983" s="336"/>
      <c r="CHF983" s="337"/>
      <c r="CHG983" s="336"/>
      <c r="CHH983" s="337"/>
      <c r="CHI983" s="336"/>
      <c r="CHJ983" s="337"/>
      <c r="CHK983" s="336"/>
      <c r="CHL983" s="337"/>
      <c r="CHM983" s="336"/>
      <c r="CHN983" s="337"/>
      <c r="CHO983" s="336"/>
      <c r="CHP983" s="337"/>
      <c r="CHQ983" s="336"/>
      <c r="CHR983" s="337"/>
      <c r="CHS983" s="336"/>
      <c r="CHT983" s="337"/>
      <c r="CHU983" s="336"/>
      <c r="CHV983" s="337"/>
      <c r="CHW983" s="336"/>
      <c r="CHX983" s="337"/>
      <c r="CHY983" s="336"/>
      <c r="CHZ983" s="337"/>
      <c r="CIA983" s="336"/>
      <c r="CIB983" s="337"/>
      <c r="CIC983" s="336"/>
      <c r="CID983" s="337"/>
      <c r="CIE983" s="336"/>
      <c r="CIF983" s="337"/>
      <c r="CIG983" s="336"/>
      <c r="CIH983" s="337"/>
      <c r="CII983" s="336"/>
      <c r="CIJ983" s="337"/>
      <c r="CIK983" s="336"/>
      <c r="CIL983" s="337"/>
      <c r="CIM983" s="336"/>
      <c r="CIN983" s="337"/>
      <c r="CIO983" s="336"/>
      <c r="CIP983" s="337"/>
      <c r="CIQ983" s="336"/>
      <c r="CIR983" s="337"/>
      <c r="CIS983" s="336"/>
      <c r="CIT983" s="337"/>
      <c r="CIU983" s="336"/>
      <c r="CIV983" s="337"/>
      <c r="CIW983" s="336"/>
      <c r="CIX983" s="337"/>
      <c r="CIY983" s="336"/>
      <c r="CIZ983" s="337"/>
      <c r="CJA983" s="336"/>
      <c r="CJB983" s="337"/>
      <c r="CJC983" s="336"/>
      <c r="CJD983" s="337"/>
      <c r="CJE983" s="336"/>
      <c r="CJF983" s="337"/>
      <c r="CJG983" s="336"/>
      <c r="CJH983" s="337"/>
      <c r="CJI983" s="336"/>
      <c r="CJJ983" s="337"/>
      <c r="CJK983" s="336"/>
      <c r="CJL983" s="337"/>
      <c r="CJM983" s="336"/>
      <c r="CJN983" s="337"/>
      <c r="CJO983" s="336"/>
      <c r="CJP983" s="337"/>
      <c r="CJQ983" s="336"/>
      <c r="CJR983" s="337"/>
      <c r="CJS983" s="336"/>
      <c r="CJT983" s="337"/>
      <c r="CJU983" s="336"/>
      <c r="CJV983" s="337"/>
      <c r="CJW983" s="336"/>
      <c r="CJX983" s="337"/>
      <c r="CJY983" s="336"/>
      <c r="CJZ983" s="337"/>
      <c r="CKA983" s="336"/>
      <c r="CKB983" s="337"/>
      <c r="CKC983" s="336"/>
      <c r="CKD983" s="337"/>
      <c r="CKE983" s="336"/>
      <c r="CKF983" s="337"/>
      <c r="CKG983" s="336"/>
      <c r="CKH983" s="337"/>
      <c r="CKI983" s="336"/>
      <c r="CKJ983" s="337"/>
      <c r="CKK983" s="336"/>
      <c r="CKL983" s="337"/>
      <c r="CKM983" s="336"/>
      <c r="CKN983" s="337"/>
      <c r="CKO983" s="336"/>
      <c r="CKP983" s="337"/>
      <c r="CKQ983" s="336"/>
      <c r="CKR983" s="337"/>
      <c r="CKS983" s="336"/>
      <c r="CKT983" s="337"/>
      <c r="CKU983" s="336"/>
      <c r="CKV983" s="337"/>
      <c r="CKW983" s="336"/>
      <c r="CKX983" s="337"/>
      <c r="CKY983" s="336"/>
      <c r="CKZ983" s="337"/>
      <c r="CLA983" s="336"/>
      <c r="CLB983" s="337"/>
      <c r="CLC983" s="336"/>
      <c r="CLD983" s="337"/>
      <c r="CLE983" s="336"/>
      <c r="CLF983" s="337"/>
      <c r="CLG983" s="336"/>
      <c r="CLH983" s="337"/>
      <c r="CLI983" s="336"/>
      <c r="CLJ983" s="337"/>
      <c r="CLK983" s="336"/>
      <c r="CLL983" s="337"/>
      <c r="CLM983" s="336"/>
      <c r="CLN983" s="337"/>
      <c r="CLO983" s="336"/>
      <c r="CLP983" s="337"/>
      <c r="CLQ983" s="336"/>
      <c r="CLR983" s="337"/>
      <c r="CLS983" s="336"/>
      <c r="CLT983" s="337"/>
      <c r="CLU983" s="336"/>
      <c r="CLV983" s="337"/>
      <c r="CLW983" s="336"/>
      <c r="CLX983" s="337"/>
      <c r="CLY983" s="336"/>
      <c r="CLZ983" s="337"/>
      <c r="CMA983" s="336"/>
      <c r="CMB983" s="337"/>
      <c r="CMC983" s="336"/>
      <c r="CMD983" s="337"/>
      <c r="CME983" s="336"/>
      <c r="CMF983" s="337"/>
      <c r="CMG983" s="336"/>
      <c r="CMH983" s="337"/>
      <c r="CMI983" s="336"/>
      <c r="CMJ983" s="337"/>
      <c r="CMK983" s="336"/>
      <c r="CML983" s="337"/>
      <c r="CMM983" s="336"/>
      <c r="CMN983" s="337"/>
      <c r="CMO983" s="336"/>
      <c r="CMP983" s="337"/>
      <c r="CMQ983" s="336"/>
      <c r="CMR983" s="337"/>
      <c r="CMS983" s="336"/>
      <c r="CMT983" s="337"/>
      <c r="CMU983" s="336"/>
      <c r="CMV983" s="337"/>
      <c r="CMW983" s="336"/>
      <c r="CMX983" s="337"/>
      <c r="CMY983" s="336"/>
      <c r="CMZ983" s="337"/>
      <c r="CNA983" s="336"/>
      <c r="CNB983" s="337"/>
      <c r="CNC983" s="336"/>
      <c r="CND983" s="337"/>
      <c r="CNE983" s="336"/>
      <c r="CNF983" s="337"/>
      <c r="CNG983" s="336"/>
      <c r="CNH983" s="337"/>
      <c r="CNI983" s="336"/>
      <c r="CNJ983" s="337"/>
      <c r="CNK983" s="336"/>
      <c r="CNL983" s="337"/>
      <c r="CNM983" s="336"/>
      <c r="CNN983" s="337"/>
      <c r="CNO983" s="336"/>
      <c r="CNP983" s="337"/>
      <c r="CNQ983" s="336"/>
      <c r="CNR983" s="337"/>
      <c r="CNS983" s="336"/>
      <c r="CNT983" s="337"/>
      <c r="CNU983" s="336"/>
      <c r="CNV983" s="337"/>
      <c r="CNW983" s="336"/>
      <c r="CNX983" s="337"/>
      <c r="CNY983" s="336"/>
      <c r="CNZ983" s="337"/>
      <c r="COA983" s="336"/>
      <c r="COB983" s="337"/>
      <c r="COC983" s="336"/>
      <c r="COD983" s="337"/>
      <c r="COE983" s="336"/>
      <c r="COF983" s="337"/>
      <c r="COG983" s="336"/>
      <c r="COH983" s="337"/>
      <c r="COI983" s="336"/>
      <c r="COJ983" s="337"/>
      <c r="COK983" s="336"/>
      <c r="COL983" s="337"/>
      <c r="COM983" s="336"/>
      <c r="CON983" s="337"/>
      <c r="COO983" s="336"/>
      <c r="COP983" s="337"/>
      <c r="COQ983" s="336"/>
      <c r="COR983" s="337"/>
      <c r="COS983" s="336"/>
      <c r="COT983" s="337"/>
      <c r="COU983" s="336"/>
      <c r="COV983" s="337"/>
      <c r="COW983" s="336"/>
      <c r="COX983" s="337"/>
      <c r="COY983" s="336"/>
      <c r="COZ983" s="337"/>
      <c r="CPA983" s="336"/>
      <c r="CPB983" s="337"/>
      <c r="CPC983" s="336"/>
      <c r="CPD983" s="337"/>
      <c r="CPE983" s="336"/>
      <c r="CPF983" s="337"/>
      <c r="CPG983" s="336"/>
      <c r="CPH983" s="337"/>
      <c r="CPI983" s="336"/>
      <c r="CPJ983" s="337"/>
      <c r="CPK983" s="336"/>
      <c r="CPL983" s="337"/>
      <c r="CPM983" s="336"/>
      <c r="CPN983" s="337"/>
      <c r="CPO983" s="336"/>
      <c r="CPP983" s="337"/>
      <c r="CPQ983" s="336"/>
      <c r="CPR983" s="337"/>
      <c r="CPS983" s="336"/>
      <c r="CPT983" s="337"/>
      <c r="CPU983" s="336"/>
      <c r="CPV983" s="337"/>
      <c r="CPW983" s="336"/>
      <c r="CPX983" s="337"/>
      <c r="CPY983" s="336"/>
      <c r="CPZ983" s="337"/>
      <c r="CQA983" s="336"/>
      <c r="CQB983" s="337"/>
      <c r="CQC983" s="336"/>
      <c r="CQD983" s="337"/>
      <c r="CQE983" s="336"/>
      <c r="CQF983" s="337"/>
      <c r="CQG983" s="336"/>
      <c r="CQH983" s="337"/>
      <c r="CQI983" s="336"/>
      <c r="CQJ983" s="337"/>
      <c r="CQK983" s="336"/>
      <c r="CQL983" s="337"/>
      <c r="CQM983" s="336"/>
      <c r="CQN983" s="337"/>
      <c r="CQO983" s="336"/>
      <c r="CQP983" s="337"/>
      <c r="CQQ983" s="336"/>
      <c r="CQR983" s="337"/>
      <c r="CQS983" s="336"/>
      <c r="CQT983" s="337"/>
      <c r="CQU983" s="336"/>
      <c r="CQV983" s="337"/>
      <c r="CQW983" s="336"/>
      <c r="CQX983" s="337"/>
      <c r="CQY983" s="336"/>
      <c r="CQZ983" s="337"/>
      <c r="CRA983" s="336"/>
      <c r="CRB983" s="337"/>
      <c r="CRC983" s="336"/>
      <c r="CRD983" s="337"/>
      <c r="CRE983" s="336"/>
      <c r="CRF983" s="337"/>
      <c r="CRG983" s="336"/>
      <c r="CRH983" s="337"/>
      <c r="CRI983" s="336"/>
      <c r="CRJ983" s="337"/>
      <c r="CRK983" s="336"/>
      <c r="CRL983" s="337"/>
      <c r="CRM983" s="336"/>
      <c r="CRN983" s="337"/>
      <c r="CRO983" s="336"/>
      <c r="CRP983" s="337"/>
      <c r="CRQ983" s="336"/>
      <c r="CRR983" s="337"/>
      <c r="CRS983" s="336"/>
      <c r="CRT983" s="337"/>
      <c r="CRU983" s="336"/>
      <c r="CRV983" s="337"/>
      <c r="CRW983" s="336"/>
      <c r="CRX983" s="337"/>
      <c r="CRY983" s="336"/>
      <c r="CRZ983" s="337"/>
      <c r="CSA983" s="336"/>
      <c r="CSB983" s="337"/>
      <c r="CSC983" s="336"/>
      <c r="CSD983" s="337"/>
      <c r="CSE983" s="336"/>
      <c r="CSF983" s="337"/>
      <c r="CSG983" s="336"/>
      <c r="CSH983" s="337"/>
      <c r="CSI983" s="336"/>
      <c r="CSJ983" s="337"/>
      <c r="CSK983" s="336"/>
      <c r="CSL983" s="337"/>
      <c r="CSM983" s="336"/>
      <c r="CSN983" s="337"/>
      <c r="CSO983" s="336"/>
      <c r="CSP983" s="337"/>
      <c r="CSQ983" s="336"/>
      <c r="CSR983" s="337"/>
      <c r="CSS983" s="336"/>
      <c r="CST983" s="337"/>
      <c r="CSU983" s="336"/>
      <c r="CSV983" s="337"/>
      <c r="CSW983" s="336"/>
      <c r="CSX983" s="337"/>
      <c r="CSY983" s="336"/>
      <c r="CSZ983" s="337"/>
      <c r="CTA983" s="336"/>
      <c r="CTB983" s="337"/>
      <c r="CTC983" s="336"/>
      <c r="CTD983" s="337"/>
      <c r="CTE983" s="336"/>
      <c r="CTF983" s="337"/>
      <c r="CTG983" s="336"/>
      <c r="CTH983" s="337"/>
      <c r="CTI983" s="336"/>
      <c r="CTJ983" s="337"/>
      <c r="CTK983" s="336"/>
      <c r="CTL983" s="337"/>
      <c r="CTM983" s="336"/>
      <c r="CTN983" s="337"/>
      <c r="CTO983" s="336"/>
      <c r="CTP983" s="337"/>
      <c r="CTQ983" s="336"/>
      <c r="CTR983" s="337"/>
      <c r="CTS983" s="336"/>
      <c r="CTT983" s="337"/>
      <c r="CTU983" s="336"/>
      <c r="CTV983" s="337"/>
      <c r="CTW983" s="336"/>
      <c r="CTX983" s="337"/>
      <c r="CTY983" s="336"/>
      <c r="CTZ983" s="337"/>
      <c r="CUA983" s="336"/>
      <c r="CUB983" s="337"/>
      <c r="CUC983" s="336"/>
      <c r="CUD983" s="337"/>
      <c r="CUE983" s="336"/>
      <c r="CUF983" s="337"/>
      <c r="CUG983" s="336"/>
      <c r="CUH983" s="337"/>
      <c r="CUI983" s="336"/>
      <c r="CUJ983" s="337"/>
      <c r="CUK983" s="336"/>
      <c r="CUL983" s="337"/>
      <c r="CUM983" s="336"/>
      <c r="CUN983" s="337"/>
      <c r="CUO983" s="336"/>
      <c r="CUP983" s="337"/>
      <c r="CUQ983" s="336"/>
      <c r="CUR983" s="337"/>
      <c r="CUS983" s="336"/>
      <c r="CUT983" s="337"/>
      <c r="CUU983" s="336"/>
      <c r="CUV983" s="337"/>
      <c r="CUW983" s="336"/>
      <c r="CUX983" s="337"/>
      <c r="CUY983" s="336"/>
      <c r="CUZ983" s="337"/>
      <c r="CVA983" s="336"/>
      <c r="CVB983" s="337"/>
      <c r="CVC983" s="336"/>
      <c r="CVD983" s="337"/>
      <c r="CVE983" s="336"/>
      <c r="CVF983" s="337"/>
      <c r="CVG983" s="336"/>
      <c r="CVH983" s="337"/>
      <c r="CVI983" s="336"/>
      <c r="CVJ983" s="337"/>
      <c r="CVK983" s="336"/>
      <c r="CVL983" s="337"/>
      <c r="CVM983" s="336"/>
      <c r="CVN983" s="337"/>
      <c r="CVO983" s="336"/>
      <c r="CVP983" s="337"/>
      <c r="CVQ983" s="336"/>
      <c r="CVR983" s="337"/>
      <c r="CVS983" s="336"/>
      <c r="CVT983" s="337"/>
      <c r="CVU983" s="336"/>
      <c r="CVV983" s="337"/>
      <c r="CVW983" s="336"/>
      <c r="CVX983" s="337"/>
      <c r="CVY983" s="336"/>
      <c r="CVZ983" s="337"/>
      <c r="CWA983" s="336"/>
      <c r="CWB983" s="337"/>
      <c r="CWC983" s="336"/>
      <c r="CWD983" s="337"/>
      <c r="CWE983" s="336"/>
      <c r="CWF983" s="337"/>
      <c r="CWG983" s="336"/>
      <c r="CWH983" s="337"/>
      <c r="CWI983" s="336"/>
      <c r="CWJ983" s="337"/>
      <c r="CWK983" s="336"/>
      <c r="CWL983" s="337"/>
      <c r="CWM983" s="336"/>
      <c r="CWN983" s="337"/>
      <c r="CWO983" s="336"/>
      <c r="CWP983" s="337"/>
      <c r="CWQ983" s="336"/>
      <c r="CWR983" s="337"/>
      <c r="CWS983" s="336"/>
      <c r="CWT983" s="337"/>
      <c r="CWU983" s="336"/>
      <c r="CWV983" s="337"/>
      <c r="CWW983" s="336"/>
      <c r="CWX983" s="337"/>
      <c r="CWY983" s="336"/>
      <c r="CWZ983" s="337"/>
      <c r="CXA983" s="336"/>
      <c r="CXB983" s="337"/>
      <c r="CXC983" s="336"/>
      <c r="CXD983" s="337"/>
      <c r="CXE983" s="336"/>
      <c r="CXF983" s="337"/>
      <c r="CXG983" s="336"/>
      <c r="CXH983" s="337"/>
      <c r="CXI983" s="336"/>
      <c r="CXJ983" s="337"/>
      <c r="CXK983" s="336"/>
      <c r="CXL983" s="337"/>
      <c r="CXM983" s="336"/>
      <c r="CXN983" s="337"/>
      <c r="CXO983" s="336"/>
      <c r="CXP983" s="337"/>
      <c r="CXQ983" s="336"/>
      <c r="CXR983" s="337"/>
      <c r="CXS983" s="336"/>
      <c r="CXT983" s="337"/>
      <c r="CXU983" s="336"/>
      <c r="CXV983" s="337"/>
      <c r="CXW983" s="336"/>
      <c r="CXX983" s="337"/>
      <c r="CXY983" s="336"/>
      <c r="CXZ983" s="337"/>
      <c r="CYA983" s="336"/>
      <c r="CYB983" s="337"/>
      <c r="CYC983" s="336"/>
      <c r="CYD983" s="337"/>
      <c r="CYE983" s="336"/>
      <c r="CYF983" s="337"/>
      <c r="CYG983" s="336"/>
      <c r="CYH983" s="337"/>
      <c r="CYI983" s="336"/>
      <c r="CYJ983" s="337"/>
      <c r="CYK983" s="336"/>
      <c r="CYL983" s="337"/>
      <c r="CYM983" s="336"/>
      <c r="CYN983" s="337"/>
      <c r="CYO983" s="336"/>
      <c r="CYP983" s="337"/>
      <c r="CYQ983" s="336"/>
      <c r="CYR983" s="337"/>
      <c r="CYS983" s="336"/>
      <c r="CYT983" s="337"/>
      <c r="CYU983" s="336"/>
      <c r="CYV983" s="337"/>
      <c r="CYW983" s="336"/>
      <c r="CYX983" s="337"/>
      <c r="CYY983" s="336"/>
      <c r="CYZ983" s="337"/>
      <c r="CZA983" s="336"/>
      <c r="CZB983" s="337"/>
      <c r="CZC983" s="336"/>
      <c r="CZD983" s="337"/>
      <c r="CZE983" s="336"/>
      <c r="CZF983" s="337"/>
      <c r="CZG983" s="336"/>
      <c r="CZH983" s="337"/>
      <c r="CZI983" s="336"/>
      <c r="CZJ983" s="337"/>
      <c r="CZK983" s="336"/>
      <c r="CZL983" s="337"/>
      <c r="CZM983" s="336"/>
      <c r="CZN983" s="337"/>
      <c r="CZO983" s="336"/>
      <c r="CZP983" s="337"/>
      <c r="CZQ983" s="336"/>
      <c r="CZR983" s="337"/>
      <c r="CZS983" s="336"/>
      <c r="CZT983" s="337"/>
      <c r="CZU983" s="336"/>
      <c r="CZV983" s="337"/>
      <c r="CZW983" s="336"/>
      <c r="CZX983" s="337"/>
      <c r="CZY983" s="336"/>
      <c r="CZZ983" s="337"/>
      <c r="DAA983" s="336"/>
      <c r="DAB983" s="337"/>
      <c r="DAC983" s="336"/>
      <c r="DAD983" s="337"/>
      <c r="DAE983" s="336"/>
      <c r="DAF983" s="337"/>
      <c r="DAG983" s="336"/>
      <c r="DAH983" s="337"/>
      <c r="DAI983" s="336"/>
      <c r="DAJ983" s="337"/>
      <c r="DAK983" s="336"/>
      <c r="DAL983" s="337"/>
      <c r="DAM983" s="336"/>
      <c r="DAN983" s="337"/>
      <c r="DAO983" s="336"/>
      <c r="DAP983" s="337"/>
      <c r="DAQ983" s="336"/>
      <c r="DAR983" s="337"/>
      <c r="DAS983" s="336"/>
      <c r="DAT983" s="337"/>
      <c r="DAU983" s="336"/>
      <c r="DAV983" s="337"/>
      <c r="DAW983" s="336"/>
      <c r="DAX983" s="337"/>
      <c r="DAY983" s="336"/>
      <c r="DAZ983" s="337"/>
      <c r="DBA983" s="336"/>
      <c r="DBB983" s="337"/>
      <c r="DBC983" s="336"/>
      <c r="DBD983" s="337"/>
      <c r="DBE983" s="336"/>
      <c r="DBF983" s="337"/>
      <c r="DBG983" s="336"/>
      <c r="DBH983" s="337"/>
      <c r="DBI983" s="336"/>
      <c r="DBJ983" s="337"/>
      <c r="DBK983" s="336"/>
      <c r="DBL983" s="337"/>
      <c r="DBM983" s="336"/>
      <c r="DBN983" s="337"/>
      <c r="DBO983" s="336"/>
      <c r="DBP983" s="337"/>
      <c r="DBQ983" s="336"/>
      <c r="DBR983" s="337"/>
      <c r="DBS983" s="336"/>
      <c r="DBT983" s="337"/>
      <c r="DBU983" s="336"/>
      <c r="DBV983" s="337"/>
      <c r="DBW983" s="336"/>
      <c r="DBX983" s="337"/>
      <c r="DBY983" s="336"/>
      <c r="DBZ983" s="337"/>
      <c r="DCA983" s="336"/>
      <c r="DCB983" s="337"/>
      <c r="DCC983" s="336"/>
      <c r="DCD983" s="337"/>
      <c r="DCE983" s="336"/>
      <c r="DCF983" s="337"/>
      <c r="DCG983" s="336"/>
      <c r="DCH983" s="337"/>
      <c r="DCI983" s="336"/>
      <c r="DCJ983" s="337"/>
      <c r="DCK983" s="336"/>
      <c r="DCL983" s="337"/>
      <c r="DCM983" s="336"/>
      <c r="DCN983" s="337"/>
      <c r="DCO983" s="336"/>
      <c r="DCP983" s="337"/>
      <c r="DCQ983" s="336"/>
      <c r="DCR983" s="337"/>
      <c r="DCS983" s="336"/>
      <c r="DCT983" s="337"/>
      <c r="DCU983" s="336"/>
      <c r="DCV983" s="337"/>
      <c r="DCW983" s="336"/>
      <c r="DCX983" s="337"/>
      <c r="DCY983" s="336"/>
      <c r="DCZ983" s="337"/>
      <c r="DDA983" s="336"/>
      <c r="DDB983" s="337"/>
      <c r="DDC983" s="336"/>
      <c r="DDD983" s="337"/>
      <c r="DDE983" s="336"/>
      <c r="DDF983" s="337"/>
      <c r="DDG983" s="336"/>
      <c r="DDH983" s="337"/>
      <c r="DDI983" s="336"/>
      <c r="DDJ983" s="337"/>
      <c r="DDK983" s="336"/>
      <c r="DDL983" s="337"/>
      <c r="DDM983" s="336"/>
      <c r="DDN983" s="337"/>
      <c r="DDO983" s="336"/>
      <c r="DDP983" s="337"/>
      <c r="DDQ983" s="336"/>
      <c r="DDR983" s="337"/>
      <c r="DDS983" s="336"/>
      <c r="DDT983" s="337"/>
      <c r="DDU983" s="336"/>
      <c r="DDV983" s="337"/>
      <c r="DDW983" s="336"/>
      <c r="DDX983" s="337"/>
      <c r="DDY983" s="336"/>
      <c r="DDZ983" s="337"/>
      <c r="DEA983" s="336"/>
      <c r="DEB983" s="337"/>
      <c r="DEC983" s="336"/>
      <c r="DED983" s="337"/>
      <c r="DEE983" s="336"/>
      <c r="DEF983" s="337"/>
      <c r="DEG983" s="336"/>
      <c r="DEH983" s="337"/>
      <c r="DEI983" s="336"/>
      <c r="DEJ983" s="337"/>
      <c r="DEK983" s="336"/>
      <c r="DEL983" s="337"/>
      <c r="DEM983" s="336"/>
      <c r="DEN983" s="337"/>
      <c r="DEO983" s="336"/>
      <c r="DEP983" s="337"/>
      <c r="DEQ983" s="336"/>
      <c r="DER983" s="337"/>
      <c r="DES983" s="336"/>
      <c r="DET983" s="337"/>
      <c r="DEU983" s="336"/>
      <c r="DEV983" s="337"/>
      <c r="DEW983" s="336"/>
      <c r="DEX983" s="337"/>
      <c r="DEY983" s="336"/>
      <c r="DEZ983" s="337"/>
      <c r="DFA983" s="336"/>
      <c r="DFB983" s="337"/>
      <c r="DFC983" s="336"/>
      <c r="DFD983" s="337"/>
      <c r="DFE983" s="336"/>
      <c r="DFF983" s="337"/>
      <c r="DFG983" s="336"/>
      <c r="DFH983" s="337"/>
      <c r="DFI983" s="336"/>
      <c r="DFJ983" s="337"/>
      <c r="DFK983" s="336"/>
      <c r="DFL983" s="337"/>
      <c r="DFM983" s="336"/>
      <c r="DFN983" s="337"/>
      <c r="DFO983" s="336"/>
      <c r="DFP983" s="337"/>
      <c r="DFQ983" s="336"/>
      <c r="DFR983" s="337"/>
      <c r="DFS983" s="336"/>
      <c r="DFT983" s="337"/>
      <c r="DFU983" s="336"/>
      <c r="DFV983" s="337"/>
      <c r="DFW983" s="336"/>
      <c r="DFX983" s="337"/>
      <c r="DFY983" s="336"/>
      <c r="DFZ983" s="337"/>
      <c r="DGA983" s="336"/>
      <c r="DGB983" s="337"/>
      <c r="DGC983" s="336"/>
      <c r="DGD983" s="337"/>
      <c r="DGE983" s="336"/>
      <c r="DGF983" s="337"/>
      <c r="DGG983" s="336"/>
      <c r="DGH983" s="337"/>
      <c r="DGI983" s="336"/>
      <c r="DGJ983" s="337"/>
      <c r="DGK983" s="336"/>
      <c r="DGL983" s="337"/>
      <c r="DGM983" s="336"/>
      <c r="DGN983" s="337"/>
      <c r="DGO983" s="336"/>
      <c r="DGP983" s="337"/>
      <c r="DGQ983" s="336"/>
      <c r="DGR983" s="337"/>
      <c r="DGS983" s="336"/>
      <c r="DGT983" s="337"/>
      <c r="DGU983" s="336"/>
      <c r="DGV983" s="337"/>
      <c r="DGW983" s="336"/>
      <c r="DGX983" s="337"/>
      <c r="DGY983" s="336"/>
      <c r="DGZ983" s="337"/>
      <c r="DHA983" s="336"/>
      <c r="DHB983" s="337"/>
      <c r="DHC983" s="336"/>
      <c r="DHD983" s="337"/>
      <c r="DHE983" s="336"/>
      <c r="DHF983" s="337"/>
      <c r="DHG983" s="336"/>
      <c r="DHH983" s="337"/>
      <c r="DHI983" s="336"/>
      <c r="DHJ983" s="337"/>
      <c r="DHK983" s="336"/>
      <c r="DHL983" s="337"/>
      <c r="DHM983" s="336"/>
      <c r="DHN983" s="337"/>
      <c r="DHO983" s="336"/>
      <c r="DHP983" s="337"/>
      <c r="DHQ983" s="336"/>
      <c r="DHR983" s="337"/>
      <c r="DHS983" s="336"/>
      <c r="DHT983" s="337"/>
      <c r="DHU983" s="336"/>
      <c r="DHV983" s="337"/>
      <c r="DHW983" s="336"/>
      <c r="DHX983" s="337"/>
      <c r="DHY983" s="336"/>
      <c r="DHZ983" s="337"/>
      <c r="DIA983" s="336"/>
      <c r="DIB983" s="337"/>
      <c r="DIC983" s="336"/>
      <c r="DID983" s="337"/>
      <c r="DIE983" s="336"/>
      <c r="DIF983" s="337"/>
      <c r="DIG983" s="336"/>
      <c r="DIH983" s="337"/>
      <c r="DII983" s="336"/>
      <c r="DIJ983" s="337"/>
      <c r="DIK983" s="336"/>
      <c r="DIL983" s="337"/>
      <c r="DIM983" s="336"/>
      <c r="DIN983" s="337"/>
      <c r="DIO983" s="336"/>
      <c r="DIP983" s="337"/>
      <c r="DIQ983" s="336"/>
      <c r="DIR983" s="337"/>
      <c r="DIS983" s="336"/>
      <c r="DIT983" s="337"/>
      <c r="DIU983" s="336"/>
      <c r="DIV983" s="337"/>
      <c r="DIW983" s="336"/>
      <c r="DIX983" s="337"/>
      <c r="DIY983" s="336"/>
      <c r="DIZ983" s="337"/>
      <c r="DJA983" s="336"/>
      <c r="DJB983" s="337"/>
      <c r="DJC983" s="336"/>
      <c r="DJD983" s="337"/>
      <c r="DJE983" s="336"/>
      <c r="DJF983" s="337"/>
      <c r="DJG983" s="336"/>
      <c r="DJH983" s="337"/>
      <c r="DJI983" s="336"/>
      <c r="DJJ983" s="337"/>
      <c r="DJK983" s="336"/>
      <c r="DJL983" s="337"/>
      <c r="DJM983" s="336"/>
      <c r="DJN983" s="337"/>
      <c r="DJO983" s="336"/>
      <c r="DJP983" s="337"/>
      <c r="DJQ983" s="336"/>
      <c r="DJR983" s="337"/>
      <c r="DJS983" s="336"/>
      <c r="DJT983" s="337"/>
      <c r="DJU983" s="336"/>
      <c r="DJV983" s="337"/>
      <c r="DJW983" s="336"/>
      <c r="DJX983" s="337"/>
      <c r="DJY983" s="336"/>
      <c r="DJZ983" s="337"/>
      <c r="DKA983" s="336"/>
      <c r="DKB983" s="337"/>
      <c r="DKC983" s="336"/>
      <c r="DKD983" s="337"/>
      <c r="DKE983" s="336"/>
      <c r="DKF983" s="337"/>
      <c r="DKG983" s="336"/>
      <c r="DKH983" s="337"/>
      <c r="DKI983" s="336"/>
      <c r="DKJ983" s="337"/>
      <c r="DKK983" s="336"/>
      <c r="DKL983" s="337"/>
      <c r="DKM983" s="336"/>
      <c r="DKN983" s="337"/>
      <c r="DKO983" s="336"/>
      <c r="DKP983" s="337"/>
      <c r="DKQ983" s="336"/>
      <c r="DKR983" s="337"/>
      <c r="DKS983" s="336"/>
      <c r="DKT983" s="337"/>
      <c r="DKU983" s="336"/>
      <c r="DKV983" s="337"/>
      <c r="DKW983" s="336"/>
      <c r="DKX983" s="337"/>
      <c r="DKY983" s="336"/>
      <c r="DKZ983" s="337"/>
      <c r="DLA983" s="336"/>
      <c r="DLB983" s="337"/>
      <c r="DLC983" s="336"/>
      <c r="DLD983" s="337"/>
      <c r="DLE983" s="336"/>
      <c r="DLF983" s="337"/>
      <c r="DLG983" s="336"/>
      <c r="DLH983" s="337"/>
      <c r="DLI983" s="336"/>
      <c r="DLJ983" s="337"/>
      <c r="DLK983" s="336"/>
      <c r="DLL983" s="337"/>
      <c r="DLM983" s="336"/>
      <c r="DLN983" s="337"/>
      <c r="DLO983" s="336"/>
      <c r="DLP983" s="337"/>
      <c r="DLQ983" s="336"/>
      <c r="DLR983" s="337"/>
      <c r="DLS983" s="336"/>
      <c r="DLT983" s="337"/>
      <c r="DLU983" s="336"/>
      <c r="DLV983" s="337"/>
      <c r="DLW983" s="336"/>
      <c r="DLX983" s="337"/>
      <c r="DLY983" s="336"/>
      <c r="DLZ983" s="337"/>
      <c r="DMA983" s="336"/>
      <c r="DMB983" s="337"/>
      <c r="DMC983" s="336"/>
      <c r="DMD983" s="337"/>
      <c r="DME983" s="336"/>
      <c r="DMF983" s="337"/>
      <c r="DMG983" s="336"/>
      <c r="DMH983" s="337"/>
      <c r="DMI983" s="336"/>
      <c r="DMJ983" s="337"/>
      <c r="DMK983" s="336"/>
      <c r="DML983" s="337"/>
      <c r="DMM983" s="336"/>
      <c r="DMN983" s="337"/>
      <c r="DMO983" s="336"/>
      <c r="DMP983" s="337"/>
      <c r="DMQ983" s="336"/>
      <c r="DMR983" s="337"/>
      <c r="DMS983" s="336"/>
      <c r="DMT983" s="337"/>
      <c r="DMU983" s="336"/>
      <c r="DMV983" s="337"/>
      <c r="DMW983" s="336"/>
      <c r="DMX983" s="337"/>
      <c r="DMY983" s="336"/>
      <c r="DMZ983" s="337"/>
      <c r="DNA983" s="336"/>
      <c r="DNB983" s="337"/>
      <c r="DNC983" s="336"/>
      <c r="DND983" s="337"/>
      <c r="DNE983" s="336"/>
      <c r="DNF983" s="337"/>
      <c r="DNG983" s="336"/>
      <c r="DNH983" s="337"/>
      <c r="DNI983" s="336"/>
      <c r="DNJ983" s="337"/>
      <c r="DNK983" s="336"/>
      <c r="DNL983" s="337"/>
      <c r="DNM983" s="336"/>
      <c r="DNN983" s="337"/>
      <c r="DNO983" s="336"/>
      <c r="DNP983" s="337"/>
      <c r="DNQ983" s="336"/>
      <c r="DNR983" s="337"/>
      <c r="DNS983" s="336"/>
      <c r="DNT983" s="337"/>
      <c r="DNU983" s="336"/>
      <c r="DNV983" s="337"/>
      <c r="DNW983" s="336"/>
      <c r="DNX983" s="337"/>
      <c r="DNY983" s="336"/>
      <c r="DNZ983" s="337"/>
      <c r="DOA983" s="336"/>
      <c r="DOB983" s="337"/>
      <c r="DOC983" s="336"/>
      <c r="DOD983" s="337"/>
      <c r="DOE983" s="336"/>
      <c r="DOF983" s="337"/>
      <c r="DOG983" s="336"/>
      <c r="DOH983" s="337"/>
      <c r="DOI983" s="336"/>
      <c r="DOJ983" s="337"/>
      <c r="DOK983" s="336"/>
      <c r="DOL983" s="337"/>
      <c r="DOM983" s="336"/>
      <c r="DON983" s="337"/>
      <c r="DOO983" s="336"/>
      <c r="DOP983" s="337"/>
      <c r="DOQ983" s="336"/>
      <c r="DOR983" s="337"/>
      <c r="DOS983" s="336"/>
      <c r="DOT983" s="337"/>
      <c r="DOU983" s="336"/>
      <c r="DOV983" s="337"/>
      <c r="DOW983" s="336"/>
      <c r="DOX983" s="337"/>
      <c r="DOY983" s="336"/>
      <c r="DOZ983" s="337"/>
      <c r="DPA983" s="336"/>
      <c r="DPB983" s="337"/>
      <c r="DPC983" s="336"/>
      <c r="DPD983" s="337"/>
      <c r="DPE983" s="336"/>
      <c r="DPF983" s="337"/>
      <c r="DPG983" s="336"/>
      <c r="DPH983" s="337"/>
      <c r="DPI983" s="336"/>
      <c r="DPJ983" s="337"/>
      <c r="DPK983" s="336"/>
      <c r="DPL983" s="337"/>
      <c r="DPM983" s="336"/>
      <c r="DPN983" s="337"/>
      <c r="DPO983" s="336"/>
      <c r="DPP983" s="337"/>
      <c r="DPQ983" s="336"/>
      <c r="DPR983" s="337"/>
      <c r="DPS983" s="336"/>
      <c r="DPT983" s="337"/>
      <c r="DPU983" s="336"/>
      <c r="DPV983" s="337"/>
      <c r="DPW983" s="336"/>
      <c r="DPX983" s="337"/>
      <c r="DPY983" s="336"/>
      <c r="DPZ983" s="337"/>
      <c r="DQA983" s="336"/>
      <c r="DQB983" s="337"/>
      <c r="DQC983" s="336"/>
      <c r="DQD983" s="337"/>
      <c r="DQE983" s="336"/>
      <c r="DQF983" s="337"/>
      <c r="DQG983" s="336"/>
      <c r="DQH983" s="337"/>
      <c r="DQI983" s="336"/>
      <c r="DQJ983" s="337"/>
      <c r="DQK983" s="336"/>
      <c r="DQL983" s="337"/>
      <c r="DQM983" s="336"/>
      <c r="DQN983" s="337"/>
      <c r="DQO983" s="336"/>
      <c r="DQP983" s="337"/>
      <c r="DQQ983" s="336"/>
      <c r="DQR983" s="337"/>
      <c r="DQS983" s="336"/>
      <c r="DQT983" s="337"/>
      <c r="DQU983" s="336"/>
      <c r="DQV983" s="337"/>
      <c r="DQW983" s="336"/>
      <c r="DQX983" s="337"/>
      <c r="DQY983" s="336"/>
      <c r="DQZ983" s="337"/>
      <c r="DRA983" s="336"/>
      <c r="DRB983" s="337"/>
      <c r="DRC983" s="336"/>
      <c r="DRD983" s="337"/>
      <c r="DRE983" s="336"/>
      <c r="DRF983" s="337"/>
      <c r="DRG983" s="336"/>
      <c r="DRH983" s="337"/>
      <c r="DRI983" s="336"/>
      <c r="DRJ983" s="337"/>
      <c r="DRK983" s="336"/>
      <c r="DRL983" s="337"/>
      <c r="DRM983" s="336"/>
      <c r="DRN983" s="337"/>
      <c r="DRO983" s="336"/>
      <c r="DRP983" s="337"/>
      <c r="DRQ983" s="336"/>
      <c r="DRR983" s="337"/>
      <c r="DRS983" s="336"/>
      <c r="DRT983" s="337"/>
      <c r="DRU983" s="336"/>
      <c r="DRV983" s="337"/>
      <c r="DRW983" s="336"/>
      <c r="DRX983" s="337"/>
      <c r="DRY983" s="336"/>
      <c r="DRZ983" s="337"/>
      <c r="DSA983" s="336"/>
      <c r="DSB983" s="337"/>
      <c r="DSC983" s="336"/>
      <c r="DSD983" s="337"/>
      <c r="DSE983" s="336"/>
      <c r="DSF983" s="337"/>
      <c r="DSG983" s="336"/>
      <c r="DSH983" s="337"/>
      <c r="DSI983" s="336"/>
      <c r="DSJ983" s="337"/>
      <c r="DSK983" s="336"/>
      <c r="DSL983" s="337"/>
      <c r="DSM983" s="336"/>
      <c r="DSN983" s="337"/>
      <c r="DSO983" s="336"/>
      <c r="DSP983" s="337"/>
      <c r="DSQ983" s="336"/>
      <c r="DSR983" s="337"/>
      <c r="DSS983" s="336"/>
      <c r="DST983" s="337"/>
      <c r="DSU983" s="336"/>
      <c r="DSV983" s="337"/>
      <c r="DSW983" s="336"/>
      <c r="DSX983" s="337"/>
      <c r="DSY983" s="336"/>
      <c r="DSZ983" s="337"/>
      <c r="DTA983" s="336"/>
      <c r="DTB983" s="337"/>
      <c r="DTC983" s="336"/>
      <c r="DTD983" s="337"/>
      <c r="DTE983" s="336"/>
      <c r="DTF983" s="337"/>
      <c r="DTG983" s="336"/>
      <c r="DTH983" s="337"/>
      <c r="DTI983" s="336"/>
      <c r="DTJ983" s="337"/>
      <c r="DTK983" s="336"/>
      <c r="DTL983" s="337"/>
      <c r="DTM983" s="336"/>
      <c r="DTN983" s="337"/>
      <c r="DTO983" s="336"/>
      <c r="DTP983" s="337"/>
      <c r="DTQ983" s="336"/>
      <c r="DTR983" s="337"/>
      <c r="DTS983" s="336"/>
      <c r="DTT983" s="337"/>
      <c r="DTU983" s="336"/>
      <c r="DTV983" s="337"/>
      <c r="DTW983" s="336"/>
      <c r="DTX983" s="337"/>
      <c r="DTY983" s="336"/>
      <c r="DTZ983" s="337"/>
      <c r="DUA983" s="336"/>
      <c r="DUB983" s="337"/>
      <c r="DUC983" s="336"/>
      <c r="DUD983" s="337"/>
      <c r="DUE983" s="336"/>
      <c r="DUF983" s="337"/>
      <c r="DUG983" s="336"/>
      <c r="DUH983" s="337"/>
      <c r="DUI983" s="336"/>
      <c r="DUJ983" s="337"/>
      <c r="DUK983" s="336"/>
      <c r="DUL983" s="337"/>
      <c r="DUM983" s="336"/>
      <c r="DUN983" s="337"/>
      <c r="DUO983" s="336"/>
      <c r="DUP983" s="337"/>
      <c r="DUQ983" s="336"/>
      <c r="DUR983" s="337"/>
      <c r="DUS983" s="336"/>
      <c r="DUT983" s="337"/>
      <c r="DUU983" s="336"/>
      <c r="DUV983" s="337"/>
      <c r="DUW983" s="336"/>
      <c r="DUX983" s="337"/>
      <c r="DUY983" s="336"/>
      <c r="DUZ983" s="337"/>
      <c r="DVA983" s="336"/>
      <c r="DVB983" s="337"/>
      <c r="DVC983" s="336"/>
      <c r="DVD983" s="337"/>
      <c r="DVE983" s="336"/>
      <c r="DVF983" s="337"/>
      <c r="DVG983" s="336"/>
      <c r="DVH983" s="337"/>
      <c r="DVI983" s="336"/>
      <c r="DVJ983" s="337"/>
      <c r="DVK983" s="336"/>
      <c r="DVL983" s="337"/>
      <c r="DVM983" s="336"/>
      <c r="DVN983" s="337"/>
      <c r="DVO983" s="336"/>
      <c r="DVP983" s="337"/>
      <c r="DVQ983" s="336"/>
      <c r="DVR983" s="337"/>
      <c r="DVS983" s="336"/>
      <c r="DVT983" s="337"/>
      <c r="DVU983" s="336"/>
      <c r="DVV983" s="337"/>
      <c r="DVW983" s="336"/>
      <c r="DVX983" s="337"/>
      <c r="DVY983" s="336"/>
      <c r="DVZ983" s="337"/>
      <c r="DWA983" s="336"/>
      <c r="DWB983" s="337"/>
      <c r="DWC983" s="336"/>
      <c r="DWD983" s="337"/>
      <c r="DWE983" s="336"/>
      <c r="DWF983" s="337"/>
      <c r="DWG983" s="336"/>
      <c r="DWH983" s="337"/>
      <c r="DWI983" s="336"/>
      <c r="DWJ983" s="337"/>
      <c r="DWK983" s="336"/>
      <c r="DWL983" s="337"/>
      <c r="DWM983" s="336"/>
      <c r="DWN983" s="337"/>
      <c r="DWO983" s="336"/>
      <c r="DWP983" s="337"/>
      <c r="DWQ983" s="336"/>
      <c r="DWR983" s="337"/>
      <c r="DWS983" s="336"/>
      <c r="DWT983" s="337"/>
      <c r="DWU983" s="336"/>
      <c r="DWV983" s="337"/>
      <c r="DWW983" s="336"/>
      <c r="DWX983" s="337"/>
      <c r="DWY983" s="336"/>
      <c r="DWZ983" s="337"/>
      <c r="DXA983" s="336"/>
      <c r="DXB983" s="337"/>
      <c r="DXC983" s="336"/>
      <c r="DXD983" s="337"/>
      <c r="DXE983" s="336"/>
      <c r="DXF983" s="337"/>
      <c r="DXG983" s="336"/>
      <c r="DXH983" s="337"/>
      <c r="DXI983" s="336"/>
      <c r="DXJ983" s="337"/>
      <c r="DXK983" s="336"/>
      <c r="DXL983" s="337"/>
      <c r="DXM983" s="336"/>
      <c r="DXN983" s="337"/>
      <c r="DXO983" s="336"/>
      <c r="DXP983" s="337"/>
      <c r="DXQ983" s="336"/>
      <c r="DXR983" s="337"/>
      <c r="DXS983" s="336"/>
      <c r="DXT983" s="337"/>
      <c r="DXU983" s="336"/>
      <c r="DXV983" s="337"/>
      <c r="DXW983" s="336"/>
      <c r="DXX983" s="337"/>
      <c r="DXY983" s="336"/>
      <c r="DXZ983" s="337"/>
      <c r="DYA983" s="336"/>
      <c r="DYB983" s="337"/>
      <c r="DYC983" s="336"/>
      <c r="DYD983" s="337"/>
      <c r="DYE983" s="336"/>
      <c r="DYF983" s="337"/>
      <c r="DYG983" s="336"/>
      <c r="DYH983" s="337"/>
      <c r="DYI983" s="336"/>
      <c r="DYJ983" s="337"/>
      <c r="DYK983" s="336"/>
      <c r="DYL983" s="337"/>
      <c r="DYM983" s="336"/>
      <c r="DYN983" s="337"/>
      <c r="DYO983" s="336"/>
      <c r="DYP983" s="337"/>
      <c r="DYQ983" s="336"/>
      <c r="DYR983" s="337"/>
      <c r="DYS983" s="336"/>
      <c r="DYT983" s="337"/>
      <c r="DYU983" s="336"/>
      <c r="DYV983" s="337"/>
      <c r="DYW983" s="336"/>
      <c r="DYX983" s="337"/>
      <c r="DYY983" s="336"/>
      <c r="DYZ983" s="337"/>
      <c r="DZA983" s="336"/>
      <c r="DZB983" s="337"/>
      <c r="DZC983" s="336"/>
      <c r="DZD983" s="337"/>
      <c r="DZE983" s="336"/>
      <c r="DZF983" s="337"/>
      <c r="DZG983" s="336"/>
      <c r="DZH983" s="337"/>
      <c r="DZI983" s="336"/>
      <c r="DZJ983" s="337"/>
      <c r="DZK983" s="336"/>
      <c r="DZL983" s="337"/>
      <c r="DZM983" s="336"/>
      <c r="DZN983" s="337"/>
      <c r="DZO983" s="336"/>
      <c r="DZP983" s="337"/>
      <c r="DZQ983" s="336"/>
      <c r="DZR983" s="337"/>
      <c r="DZS983" s="336"/>
      <c r="DZT983" s="337"/>
      <c r="DZU983" s="336"/>
      <c r="DZV983" s="337"/>
      <c r="DZW983" s="336"/>
      <c r="DZX983" s="337"/>
      <c r="DZY983" s="336"/>
      <c r="DZZ983" s="337"/>
      <c r="EAA983" s="336"/>
      <c r="EAB983" s="337"/>
      <c r="EAC983" s="336"/>
      <c r="EAD983" s="337"/>
      <c r="EAE983" s="336"/>
      <c r="EAF983" s="337"/>
      <c r="EAG983" s="336"/>
      <c r="EAH983" s="337"/>
      <c r="EAI983" s="336"/>
      <c r="EAJ983" s="337"/>
      <c r="EAK983" s="336"/>
      <c r="EAL983" s="337"/>
      <c r="EAM983" s="336"/>
      <c r="EAN983" s="337"/>
      <c r="EAO983" s="336"/>
      <c r="EAP983" s="337"/>
      <c r="EAQ983" s="336"/>
      <c r="EAR983" s="337"/>
      <c r="EAS983" s="336"/>
      <c r="EAT983" s="337"/>
      <c r="EAU983" s="336"/>
      <c r="EAV983" s="337"/>
      <c r="EAW983" s="336"/>
      <c r="EAX983" s="337"/>
      <c r="EAY983" s="336"/>
      <c r="EAZ983" s="337"/>
      <c r="EBA983" s="336"/>
      <c r="EBB983" s="337"/>
      <c r="EBC983" s="336"/>
      <c r="EBD983" s="337"/>
      <c r="EBE983" s="336"/>
      <c r="EBF983" s="337"/>
      <c r="EBG983" s="336"/>
      <c r="EBH983" s="337"/>
      <c r="EBI983" s="336"/>
      <c r="EBJ983" s="337"/>
      <c r="EBK983" s="336"/>
      <c r="EBL983" s="337"/>
      <c r="EBM983" s="336"/>
      <c r="EBN983" s="337"/>
      <c r="EBO983" s="336"/>
      <c r="EBP983" s="337"/>
      <c r="EBQ983" s="336"/>
      <c r="EBR983" s="337"/>
      <c r="EBS983" s="336"/>
      <c r="EBT983" s="337"/>
      <c r="EBU983" s="336"/>
      <c r="EBV983" s="337"/>
      <c r="EBW983" s="336"/>
      <c r="EBX983" s="337"/>
      <c r="EBY983" s="336"/>
      <c r="EBZ983" s="337"/>
      <c r="ECA983" s="336"/>
      <c r="ECB983" s="337"/>
      <c r="ECC983" s="336"/>
      <c r="ECD983" s="337"/>
      <c r="ECE983" s="336"/>
      <c r="ECF983" s="337"/>
      <c r="ECG983" s="336"/>
      <c r="ECH983" s="337"/>
      <c r="ECI983" s="336"/>
      <c r="ECJ983" s="337"/>
      <c r="ECK983" s="336"/>
      <c r="ECL983" s="337"/>
      <c r="ECM983" s="336"/>
      <c r="ECN983" s="337"/>
      <c r="ECO983" s="336"/>
      <c r="ECP983" s="337"/>
      <c r="ECQ983" s="336"/>
      <c r="ECR983" s="337"/>
      <c r="ECS983" s="336"/>
      <c r="ECT983" s="337"/>
      <c r="ECU983" s="336"/>
      <c r="ECV983" s="337"/>
      <c r="ECW983" s="336"/>
      <c r="ECX983" s="337"/>
      <c r="ECY983" s="336"/>
      <c r="ECZ983" s="337"/>
      <c r="EDA983" s="336"/>
      <c r="EDB983" s="337"/>
      <c r="EDC983" s="336"/>
      <c r="EDD983" s="337"/>
      <c r="EDE983" s="336"/>
      <c r="EDF983" s="337"/>
      <c r="EDG983" s="336"/>
      <c r="EDH983" s="337"/>
      <c r="EDI983" s="336"/>
      <c r="EDJ983" s="337"/>
      <c r="EDK983" s="336"/>
      <c r="EDL983" s="337"/>
      <c r="EDM983" s="336"/>
      <c r="EDN983" s="337"/>
      <c r="EDO983" s="336"/>
      <c r="EDP983" s="337"/>
      <c r="EDQ983" s="336"/>
      <c r="EDR983" s="337"/>
      <c r="EDS983" s="336"/>
      <c r="EDT983" s="337"/>
      <c r="EDU983" s="336"/>
      <c r="EDV983" s="337"/>
      <c r="EDW983" s="336"/>
      <c r="EDX983" s="337"/>
      <c r="EDY983" s="336"/>
      <c r="EDZ983" s="337"/>
      <c r="EEA983" s="336"/>
      <c r="EEB983" s="337"/>
      <c r="EEC983" s="336"/>
      <c r="EED983" s="337"/>
      <c r="EEE983" s="336"/>
      <c r="EEF983" s="337"/>
      <c r="EEG983" s="336"/>
      <c r="EEH983" s="337"/>
      <c r="EEI983" s="336"/>
      <c r="EEJ983" s="337"/>
      <c r="EEK983" s="336"/>
      <c r="EEL983" s="337"/>
      <c r="EEM983" s="336"/>
      <c r="EEN983" s="337"/>
      <c r="EEO983" s="336"/>
      <c r="EEP983" s="337"/>
      <c r="EEQ983" s="336"/>
      <c r="EER983" s="337"/>
      <c r="EES983" s="336"/>
      <c r="EET983" s="337"/>
      <c r="EEU983" s="336"/>
      <c r="EEV983" s="337"/>
      <c r="EEW983" s="336"/>
      <c r="EEX983" s="337"/>
      <c r="EEY983" s="336"/>
      <c r="EEZ983" s="337"/>
      <c r="EFA983" s="336"/>
      <c r="EFB983" s="337"/>
      <c r="EFC983" s="336"/>
      <c r="EFD983" s="337"/>
      <c r="EFE983" s="336"/>
      <c r="EFF983" s="337"/>
      <c r="EFG983" s="336"/>
      <c r="EFH983" s="337"/>
      <c r="EFI983" s="336"/>
      <c r="EFJ983" s="337"/>
      <c r="EFK983" s="336"/>
      <c r="EFL983" s="337"/>
      <c r="EFM983" s="336"/>
      <c r="EFN983" s="337"/>
      <c r="EFO983" s="336"/>
      <c r="EFP983" s="337"/>
      <c r="EFQ983" s="336"/>
      <c r="EFR983" s="337"/>
      <c r="EFS983" s="336"/>
      <c r="EFT983" s="337"/>
      <c r="EFU983" s="336"/>
      <c r="EFV983" s="337"/>
      <c r="EFW983" s="336"/>
      <c r="EFX983" s="337"/>
      <c r="EFY983" s="336"/>
      <c r="EFZ983" s="337"/>
      <c r="EGA983" s="336"/>
      <c r="EGB983" s="337"/>
      <c r="EGC983" s="336"/>
      <c r="EGD983" s="337"/>
      <c r="EGE983" s="336"/>
      <c r="EGF983" s="337"/>
      <c r="EGG983" s="336"/>
      <c r="EGH983" s="337"/>
      <c r="EGI983" s="336"/>
      <c r="EGJ983" s="337"/>
      <c r="EGK983" s="336"/>
      <c r="EGL983" s="337"/>
      <c r="EGM983" s="336"/>
      <c r="EGN983" s="337"/>
      <c r="EGO983" s="336"/>
      <c r="EGP983" s="337"/>
      <c r="EGQ983" s="336"/>
      <c r="EGR983" s="337"/>
      <c r="EGS983" s="336"/>
      <c r="EGT983" s="337"/>
      <c r="EGU983" s="336"/>
      <c r="EGV983" s="337"/>
      <c r="EGW983" s="336"/>
      <c r="EGX983" s="337"/>
      <c r="EGY983" s="336"/>
      <c r="EGZ983" s="337"/>
      <c r="EHA983" s="336"/>
      <c r="EHB983" s="337"/>
      <c r="EHC983" s="336"/>
      <c r="EHD983" s="337"/>
      <c r="EHE983" s="336"/>
      <c r="EHF983" s="337"/>
      <c r="EHG983" s="336"/>
      <c r="EHH983" s="337"/>
      <c r="EHI983" s="336"/>
      <c r="EHJ983" s="337"/>
      <c r="EHK983" s="336"/>
      <c r="EHL983" s="337"/>
      <c r="EHM983" s="336"/>
      <c r="EHN983" s="337"/>
      <c r="EHO983" s="336"/>
      <c r="EHP983" s="337"/>
      <c r="EHQ983" s="336"/>
      <c r="EHR983" s="337"/>
      <c r="EHS983" s="336"/>
      <c r="EHT983" s="337"/>
      <c r="EHU983" s="336"/>
      <c r="EHV983" s="337"/>
      <c r="EHW983" s="336"/>
      <c r="EHX983" s="337"/>
      <c r="EHY983" s="336"/>
      <c r="EHZ983" s="337"/>
      <c r="EIA983" s="336"/>
      <c r="EIB983" s="337"/>
      <c r="EIC983" s="336"/>
      <c r="EID983" s="337"/>
      <c r="EIE983" s="336"/>
      <c r="EIF983" s="337"/>
      <c r="EIG983" s="336"/>
      <c r="EIH983" s="337"/>
      <c r="EII983" s="336"/>
      <c r="EIJ983" s="337"/>
      <c r="EIK983" s="336"/>
      <c r="EIL983" s="337"/>
      <c r="EIM983" s="336"/>
      <c r="EIN983" s="337"/>
      <c r="EIO983" s="336"/>
      <c r="EIP983" s="337"/>
      <c r="EIQ983" s="336"/>
      <c r="EIR983" s="337"/>
      <c r="EIS983" s="336"/>
      <c r="EIT983" s="337"/>
      <c r="EIU983" s="336"/>
      <c r="EIV983" s="337"/>
      <c r="EIW983" s="336"/>
      <c r="EIX983" s="337"/>
      <c r="EIY983" s="336"/>
      <c r="EIZ983" s="337"/>
      <c r="EJA983" s="336"/>
      <c r="EJB983" s="337"/>
      <c r="EJC983" s="336"/>
      <c r="EJD983" s="337"/>
      <c r="EJE983" s="336"/>
      <c r="EJF983" s="337"/>
      <c r="EJG983" s="336"/>
      <c r="EJH983" s="337"/>
      <c r="EJI983" s="336"/>
      <c r="EJJ983" s="337"/>
      <c r="EJK983" s="336"/>
      <c r="EJL983" s="337"/>
      <c r="EJM983" s="336"/>
      <c r="EJN983" s="337"/>
      <c r="EJO983" s="336"/>
      <c r="EJP983" s="337"/>
      <c r="EJQ983" s="336"/>
      <c r="EJR983" s="337"/>
      <c r="EJS983" s="336"/>
      <c r="EJT983" s="337"/>
      <c r="EJU983" s="336"/>
      <c r="EJV983" s="337"/>
      <c r="EJW983" s="336"/>
      <c r="EJX983" s="337"/>
      <c r="EJY983" s="336"/>
      <c r="EJZ983" s="337"/>
      <c r="EKA983" s="336"/>
      <c r="EKB983" s="337"/>
      <c r="EKC983" s="336"/>
      <c r="EKD983" s="337"/>
      <c r="EKE983" s="336"/>
      <c r="EKF983" s="337"/>
      <c r="EKG983" s="336"/>
      <c r="EKH983" s="337"/>
      <c r="EKI983" s="336"/>
      <c r="EKJ983" s="337"/>
      <c r="EKK983" s="336"/>
      <c r="EKL983" s="337"/>
      <c r="EKM983" s="336"/>
      <c r="EKN983" s="337"/>
      <c r="EKO983" s="336"/>
      <c r="EKP983" s="337"/>
      <c r="EKQ983" s="336"/>
      <c r="EKR983" s="337"/>
      <c r="EKS983" s="336"/>
      <c r="EKT983" s="337"/>
      <c r="EKU983" s="336"/>
      <c r="EKV983" s="337"/>
      <c r="EKW983" s="336"/>
      <c r="EKX983" s="337"/>
      <c r="EKY983" s="336"/>
      <c r="EKZ983" s="337"/>
      <c r="ELA983" s="336"/>
      <c r="ELB983" s="337"/>
      <c r="ELC983" s="336"/>
      <c r="ELD983" s="337"/>
      <c r="ELE983" s="336"/>
      <c r="ELF983" s="337"/>
      <c r="ELG983" s="336"/>
      <c r="ELH983" s="337"/>
      <c r="ELI983" s="336"/>
      <c r="ELJ983" s="337"/>
      <c r="ELK983" s="336"/>
      <c r="ELL983" s="337"/>
      <c r="ELM983" s="336"/>
      <c r="ELN983" s="337"/>
      <c r="ELO983" s="336"/>
      <c r="ELP983" s="337"/>
      <c r="ELQ983" s="336"/>
      <c r="ELR983" s="337"/>
      <c r="ELS983" s="336"/>
      <c r="ELT983" s="337"/>
      <c r="ELU983" s="336"/>
      <c r="ELV983" s="337"/>
      <c r="ELW983" s="336"/>
      <c r="ELX983" s="337"/>
      <c r="ELY983" s="336"/>
      <c r="ELZ983" s="337"/>
      <c r="EMA983" s="336"/>
      <c r="EMB983" s="337"/>
      <c r="EMC983" s="336"/>
      <c r="EMD983" s="337"/>
      <c r="EME983" s="336"/>
      <c r="EMF983" s="337"/>
      <c r="EMG983" s="336"/>
      <c r="EMH983" s="337"/>
      <c r="EMI983" s="336"/>
      <c r="EMJ983" s="337"/>
      <c r="EMK983" s="336"/>
      <c r="EML983" s="337"/>
      <c r="EMM983" s="336"/>
      <c r="EMN983" s="337"/>
      <c r="EMO983" s="336"/>
      <c r="EMP983" s="337"/>
      <c r="EMQ983" s="336"/>
      <c r="EMR983" s="337"/>
      <c r="EMS983" s="336"/>
      <c r="EMT983" s="337"/>
      <c r="EMU983" s="336"/>
      <c r="EMV983" s="337"/>
      <c r="EMW983" s="336"/>
      <c r="EMX983" s="337"/>
      <c r="EMY983" s="336"/>
      <c r="EMZ983" s="337"/>
      <c r="ENA983" s="336"/>
      <c r="ENB983" s="337"/>
      <c r="ENC983" s="336"/>
      <c r="END983" s="337"/>
      <c r="ENE983" s="336"/>
      <c r="ENF983" s="337"/>
      <c r="ENG983" s="336"/>
      <c r="ENH983" s="337"/>
      <c r="ENI983" s="336"/>
      <c r="ENJ983" s="337"/>
      <c r="ENK983" s="336"/>
      <c r="ENL983" s="337"/>
      <c r="ENM983" s="336"/>
      <c r="ENN983" s="337"/>
      <c r="ENO983" s="336"/>
      <c r="ENP983" s="337"/>
      <c r="ENQ983" s="336"/>
      <c r="ENR983" s="337"/>
      <c r="ENS983" s="336"/>
      <c r="ENT983" s="337"/>
      <c r="ENU983" s="336"/>
      <c r="ENV983" s="337"/>
      <c r="ENW983" s="336"/>
      <c r="ENX983" s="337"/>
      <c r="ENY983" s="336"/>
      <c r="ENZ983" s="337"/>
      <c r="EOA983" s="336"/>
      <c r="EOB983" s="337"/>
      <c r="EOC983" s="336"/>
      <c r="EOD983" s="337"/>
      <c r="EOE983" s="336"/>
      <c r="EOF983" s="337"/>
      <c r="EOG983" s="336"/>
      <c r="EOH983" s="337"/>
      <c r="EOI983" s="336"/>
      <c r="EOJ983" s="337"/>
      <c r="EOK983" s="336"/>
      <c r="EOL983" s="337"/>
      <c r="EOM983" s="336"/>
      <c r="EON983" s="337"/>
      <c r="EOO983" s="336"/>
      <c r="EOP983" s="337"/>
      <c r="EOQ983" s="336"/>
      <c r="EOR983" s="337"/>
      <c r="EOS983" s="336"/>
      <c r="EOT983" s="337"/>
      <c r="EOU983" s="336"/>
      <c r="EOV983" s="337"/>
      <c r="EOW983" s="336"/>
      <c r="EOX983" s="337"/>
      <c r="EOY983" s="336"/>
      <c r="EOZ983" s="337"/>
      <c r="EPA983" s="336"/>
      <c r="EPB983" s="337"/>
      <c r="EPC983" s="336"/>
      <c r="EPD983" s="337"/>
      <c r="EPE983" s="336"/>
      <c r="EPF983" s="337"/>
      <c r="EPG983" s="336"/>
      <c r="EPH983" s="337"/>
      <c r="EPI983" s="336"/>
      <c r="EPJ983" s="337"/>
      <c r="EPK983" s="336"/>
      <c r="EPL983" s="337"/>
      <c r="EPM983" s="336"/>
      <c r="EPN983" s="337"/>
      <c r="EPO983" s="336"/>
      <c r="EPP983" s="337"/>
      <c r="EPQ983" s="336"/>
      <c r="EPR983" s="337"/>
      <c r="EPS983" s="336"/>
      <c r="EPT983" s="337"/>
      <c r="EPU983" s="336"/>
      <c r="EPV983" s="337"/>
      <c r="EPW983" s="336"/>
      <c r="EPX983" s="337"/>
      <c r="EPY983" s="336"/>
      <c r="EPZ983" s="337"/>
      <c r="EQA983" s="336"/>
      <c r="EQB983" s="337"/>
      <c r="EQC983" s="336"/>
      <c r="EQD983" s="337"/>
      <c r="EQE983" s="336"/>
      <c r="EQF983" s="337"/>
      <c r="EQG983" s="336"/>
      <c r="EQH983" s="337"/>
      <c r="EQI983" s="336"/>
      <c r="EQJ983" s="337"/>
      <c r="EQK983" s="336"/>
      <c r="EQL983" s="337"/>
      <c r="EQM983" s="336"/>
      <c r="EQN983" s="337"/>
      <c r="EQO983" s="336"/>
      <c r="EQP983" s="337"/>
      <c r="EQQ983" s="336"/>
      <c r="EQR983" s="337"/>
      <c r="EQS983" s="336"/>
      <c r="EQT983" s="337"/>
      <c r="EQU983" s="336"/>
      <c r="EQV983" s="337"/>
      <c r="EQW983" s="336"/>
      <c r="EQX983" s="337"/>
      <c r="EQY983" s="336"/>
      <c r="EQZ983" s="337"/>
      <c r="ERA983" s="336"/>
      <c r="ERB983" s="337"/>
      <c r="ERC983" s="336"/>
      <c r="ERD983" s="337"/>
      <c r="ERE983" s="336"/>
      <c r="ERF983" s="337"/>
      <c r="ERG983" s="336"/>
      <c r="ERH983" s="337"/>
      <c r="ERI983" s="336"/>
      <c r="ERJ983" s="337"/>
      <c r="ERK983" s="336"/>
      <c r="ERL983" s="337"/>
      <c r="ERM983" s="336"/>
      <c r="ERN983" s="337"/>
      <c r="ERO983" s="336"/>
      <c r="ERP983" s="337"/>
      <c r="ERQ983" s="336"/>
      <c r="ERR983" s="337"/>
      <c r="ERS983" s="336"/>
      <c r="ERT983" s="337"/>
      <c r="ERU983" s="336"/>
      <c r="ERV983" s="337"/>
      <c r="ERW983" s="336"/>
      <c r="ERX983" s="337"/>
      <c r="ERY983" s="336"/>
      <c r="ERZ983" s="337"/>
      <c r="ESA983" s="336"/>
      <c r="ESB983" s="337"/>
      <c r="ESC983" s="336"/>
      <c r="ESD983" s="337"/>
      <c r="ESE983" s="336"/>
      <c r="ESF983" s="337"/>
      <c r="ESG983" s="336"/>
      <c r="ESH983" s="337"/>
      <c r="ESI983" s="336"/>
      <c r="ESJ983" s="337"/>
      <c r="ESK983" s="336"/>
      <c r="ESL983" s="337"/>
      <c r="ESM983" s="336"/>
      <c r="ESN983" s="337"/>
      <c r="ESO983" s="336"/>
      <c r="ESP983" s="337"/>
      <c r="ESQ983" s="336"/>
      <c r="ESR983" s="337"/>
      <c r="ESS983" s="336"/>
      <c r="EST983" s="337"/>
      <c r="ESU983" s="336"/>
      <c r="ESV983" s="337"/>
      <c r="ESW983" s="336"/>
      <c r="ESX983" s="337"/>
      <c r="ESY983" s="336"/>
      <c r="ESZ983" s="337"/>
      <c r="ETA983" s="336"/>
      <c r="ETB983" s="337"/>
      <c r="ETC983" s="336"/>
      <c r="ETD983" s="337"/>
      <c r="ETE983" s="336"/>
      <c r="ETF983" s="337"/>
      <c r="ETG983" s="336"/>
      <c r="ETH983" s="337"/>
      <c r="ETI983" s="336"/>
      <c r="ETJ983" s="337"/>
      <c r="ETK983" s="336"/>
      <c r="ETL983" s="337"/>
      <c r="ETM983" s="336"/>
      <c r="ETN983" s="337"/>
      <c r="ETO983" s="336"/>
      <c r="ETP983" s="337"/>
      <c r="ETQ983" s="336"/>
      <c r="ETR983" s="337"/>
      <c r="ETS983" s="336"/>
      <c r="ETT983" s="337"/>
      <c r="ETU983" s="336"/>
      <c r="ETV983" s="337"/>
      <c r="ETW983" s="336"/>
      <c r="ETX983" s="337"/>
      <c r="ETY983" s="336"/>
      <c r="ETZ983" s="337"/>
      <c r="EUA983" s="336"/>
      <c r="EUB983" s="337"/>
      <c r="EUC983" s="336"/>
      <c r="EUD983" s="337"/>
      <c r="EUE983" s="336"/>
      <c r="EUF983" s="337"/>
      <c r="EUG983" s="336"/>
      <c r="EUH983" s="337"/>
      <c r="EUI983" s="336"/>
      <c r="EUJ983" s="337"/>
      <c r="EUK983" s="336"/>
      <c r="EUL983" s="337"/>
      <c r="EUM983" s="336"/>
      <c r="EUN983" s="337"/>
      <c r="EUO983" s="336"/>
      <c r="EUP983" s="337"/>
      <c r="EUQ983" s="336"/>
      <c r="EUR983" s="337"/>
      <c r="EUS983" s="336"/>
      <c r="EUT983" s="337"/>
      <c r="EUU983" s="336"/>
      <c r="EUV983" s="337"/>
      <c r="EUW983" s="336"/>
      <c r="EUX983" s="337"/>
      <c r="EUY983" s="336"/>
      <c r="EUZ983" s="337"/>
      <c r="EVA983" s="336"/>
      <c r="EVB983" s="337"/>
      <c r="EVC983" s="336"/>
      <c r="EVD983" s="337"/>
      <c r="EVE983" s="336"/>
      <c r="EVF983" s="337"/>
      <c r="EVG983" s="336"/>
      <c r="EVH983" s="337"/>
      <c r="EVI983" s="336"/>
      <c r="EVJ983" s="337"/>
      <c r="EVK983" s="336"/>
      <c r="EVL983" s="337"/>
      <c r="EVM983" s="336"/>
      <c r="EVN983" s="337"/>
      <c r="EVO983" s="336"/>
      <c r="EVP983" s="337"/>
      <c r="EVQ983" s="336"/>
      <c r="EVR983" s="337"/>
      <c r="EVS983" s="336"/>
      <c r="EVT983" s="337"/>
      <c r="EVU983" s="336"/>
      <c r="EVV983" s="337"/>
      <c r="EVW983" s="336"/>
      <c r="EVX983" s="337"/>
      <c r="EVY983" s="336"/>
      <c r="EVZ983" s="337"/>
      <c r="EWA983" s="336"/>
      <c r="EWB983" s="337"/>
      <c r="EWC983" s="336"/>
      <c r="EWD983" s="337"/>
      <c r="EWE983" s="336"/>
      <c r="EWF983" s="337"/>
      <c r="EWG983" s="336"/>
      <c r="EWH983" s="337"/>
      <c r="EWI983" s="336"/>
      <c r="EWJ983" s="337"/>
      <c r="EWK983" s="336"/>
      <c r="EWL983" s="337"/>
      <c r="EWM983" s="336"/>
      <c r="EWN983" s="337"/>
      <c r="EWO983" s="336"/>
      <c r="EWP983" s="337"/>
      <c r="EWQ983" s="336"/>
      <c r="EWR983" s="337"/>
      <c r="EWS983" s="336"/>
      <c r="EWT983" s="337"/>
      <c r="EWU983" s="336"/>
      <c r="EWV983" s="337"/>
      <c r="EWW983" s="336"/>
      <c r="EWX983" s="337"/>
      <c r="EWY983" s="336"/>
      <c r="EWZ983" s="337"/>
      <c r="EXA983" s="336"/>
      <c r="EXB983" s="337"/>
      <c r="EXC983" s="336"/>
      <c r="EXD983" s="337"/>
      <c r="EXE983" s="336"/>
      <c r="EXF983" s="337"/>
      <c r="EXG983" s="336"/>
      <c r="EXH983" s="337"/>
      <c r="EXI983" s="336"/>
      <c r="EXJ983" s="337"/>
      <c r="EXK983" s="336"/>
      <c r="EXL983" s="337"/>
      <c r="EXM983" s="336"/>
      <c r="EXN983" s="337"/>
      <c r="EXO983" s="336"/>
      <c r="EXP983" s="337"/>
      <c r="EXQ983" s="336"/>
      <c r="EXR983" s="337"/>
      <c r="EXS983" s="336"/>
      <c r="EXT983" s="337"/>
      <c r="EXU983" s="336"/>
      <c r="EXV983" s="337"/>
      <c r="EXW983" s="336"/>
      <c r="EXX983" s="337"/>
      <c r="EXY983" s="336"/>
      <c r="EXZ983" s="337"/>
      <c r="EYA983" s="336"/>
      <c r="EYB983" s="337"/>
      <c r="EYC983" s="336"/>
      <c r="EYD983" s="337"/>
      <c r="EYE983" s="336"/>
      <c r="EYF983" s="337"/>
      <c r="EYG983" s="336"/>
      <c r="EYH983" s="337"/>
      <c r="EYI983" s="336"/>
      <c r="EYJ983" s="337"/>
      <c r="EYK983" s="336"/>
      <c r="EYL983" s="337"/>
      <c r="EYM983" s="336"/>
      <c r="EYN983" s="337"/>
      <c r="EYO983" s="336"/>
      <c r="EYP983" s="337"/>
      <c r="EYQ983" s="336"/>
      <c r="EYR983" s="337"/>
      <c r="EYS983" s="336"/>
      <c r="EYT983" s="337"/>
      <c r="EYU983" s="336"/>
      <c r="EYV983" s="337"/>
      <c r="EYW983" s="336"/>
      <c r="EYX983" s="337"/>
      <c r="EYY983" s="336"/>
      <c r="EYZ983" s="337"/>
      <c r="EZA983" s="336"/>
      <c r="EZB983" s="337"/>
      <c r="EZC983" s="336"/>
      <c r="EZD983" s="337"/>
      <c r="EZE983" s="336"/>
      <c r="EZF983" s="337"/>
      <c r="EZG983" s="336"/>
      <c r="EZH983" s="337"/>
      <c r="EZI983" s="336"/>
      <c r="EZJ983" s="337"/>
      <c r="EZK983" s="336"/>
      <c r="EZL983" s="337"/>
      <c r="EZM983" s="336"/>
      <c r="EZN983" s="337"/>
      <c r="EZO983" s="336"/>
      <c r="EZP983" s="337"/>
      <c r="EZQ983" s="336"/>
      <c r="EZR983" s="337"/>
      <c r="EZS983" s="336"/>
      <c r="EZT983" s="337"/>
      <c r="EZU983" s="336"/>
      <c r="EZV983" s="337"/>
      <c r="EZW983" s="336"/>
      <c r="EZX983" s="337"/>
      <c r="EZY983" s="336"/>
      <c r="EZZ983" s="337"/>
      <c r="FAA983" s="336"/>
      <c r="FAB983" s="337"/>
      <c r="FAC983" s="336"/>
      <c r="FAD983" s="337"/>
      <c r="FAE983" s="336"/>
      <c r="FAF983" s="337"/>
      <c r="FAG983" s="336"/>
      <c r="FAH983" s="337"/>
      <c r="FAI983" s="336"/>
      <c r="FAJ983" s="337"/>
      <c r="FAK983" s="336"/>
      <c r="FAL983" s="337"/>
      <c r="FAM983" s="336"/>
      <c r="FAN983" s="337"/>
      <c r="FAO983" s="336"/>
      <c r="FAP983" s="337"/>
      <c r="FAQ983" s="336"/>
      <c r="FAR983" s="337"/>
      <c r="FAS983" s="336"/>
      <c r="FAT983" s="337"/>
      <c r="FAU983" s="336"/>
      <c r="FAV983" s="337"/>
      <c r="FAW983" s="336"/>
      <c r="FAX983" s="337"/>
      <c r="FAY983" s="336"/>
      <c r="FAZ983" s="337"/>
      <c r="FBA983" s="336"/>
      <c r="FBB983" s="337"/>
      <c r="FBC983" s="336"/>
      <c r="FBD983" s="337"/>
      <c r="FBE983" s="336"/>
      <c r="FBF983" s="337"/>
      <c r="FBG983" s="336"/>
      <c r="FBH983" s="337"/>
      <c r="FBI983" s="336"/>
      <c r="FBJ983" s="337"/>
      <c r="FBK983" s="336"/>
      <c r="FBL983" s="337"/>
      <c r="FBM983" s="336"/>
      <c r="FBN983" s="337"/>
      <c r="FBO983" s="336"/>
      <c r="FBP983" s="337"/>
      <c r="FBQ983" s="336"/>
      <c r="FBR983" s="337"/>
      <c r="FBS983" s="336"/>
      <c r="FBT983" s="337"/>
      <c r="FBU983" s="336"/>
      <c r="FBV983" s="337"/>
      <c r="FBW983" s="336"/>
      <c r="FBX983" s="337"/>
      <c r="FBY983" s="336"/>
      <c r="FBZ983" s="337"/>
      <c r="FCA983" s="336"/>
      <c r="FCB983" s="337"/>
      <c r="FCC983" s="336"/>
      <c r="FCD983" s="337"/>
      <c r="FCE983" s="336"/>
      <c r="FCF983" s="337"/>
      <c r="FCG983" s="336"/>
      <c r="FCH983" s="337"/>
      <c r="FCI983" s="336"/>
      <c r="FCJ983" s="337"/>
      <c r="FCK983" s="336"/>
      <c r="FCL983" s="337"/>
      <c r="FCM983" s="336"/>
      <c r="FCN983" s="337"/>
      <c r="FCO983" s="336"/>
      <c r="FCP983" s="337"/>
      <c r="FCQ983" s="336"/>
      <c r="FCR983" s="337"/>
      <c r="FCS983" s="336"/>
      <c r="FCT983" s="337"/>
      <c r="FCU983" s="336"/>
      <c r="FCV983" s="337"/>
      <c r="FCW983" s="336"/>
      <c r="FCX983" s="337"/>
      <c r="FCY983" s="336"/>
      <c r="FCZ983" s="337"/>
      <c r="FDA983" s="336"/>
      <c r="FDB983" s="337"/>
      <c r="FDC983" s="336"/>
      <c r="FDD983" s="337"/>
      <c r="FDE983" s="336"/>
      <c r="FDF983" s="337"/>
      <c r="FDG983" s="336"/>
      <c r="FDH983" s="337"/>
      <c r="FDI983" s="336"/>
      <c r="FDJ983" s="337"/>
      <c r="FDK983" s="336"/>
      <c r="FDL983" s="337"/>
      <c r="FDM983" s="336"/>
      <c r="FDN983" s="337"/>
      <c r="FDO983" s="336"/>
      <c r="FDP983" s="337"/>
      <c r="FDQ983" s="336"/>
      <c r="FDR983" s="337"/>
      <c r="FDS983" s="336"/>
      <c r="FDT983" s="337"/>
      <c r="FDU983" s="336"/>
      <c r="FDV983" s="337"/>
      <c r="FDW983" s="336"/>
      <c r="FDX983" s="337"/>
      <c r="FDY983" s="336"/>
      <c r="FDZ983" s="337"/>
      <c r="FEA983" s="336"/>
      <c r="FEB983" s="337"/>
      <c r="FEC983" s="336"/>
      <c r="FED983" s="337"/>
      <c r="FEE983" s="336"/>
      <c r="FEF983" s="337"/>
      <c r="FEG983" s="336"/>
      <c r="FEH983" s="337"/>
      <c r="FEI983" s="336"/>
      <c r="FEJ983" s="337"/>
      <c r="FEK983" s="336"/>
      <c r="FEL983" s="337"/>
      <c r="FEM983" s="336"/>
      <c r="FEN983" s="337"/>
      <c r="FEO983" s="336"/>
      <c r="FEP983" s="337"/>
      <c r="FEQ983" s="336"/>
      <c r="FER983" s="337"/>
      <c r="FES983" s="336"/>
      <c r="FET983" s="337"/>
      <c r="FEU983" s="336"/>
      <c r="FEV983" s="337"/>
      <c r="FEW983" s="336"/>
      <c r="FEX983" s="337"/>
      <c r="FEY983" s="336"/>
      <c r="FEZ983" s="337"/>
      <c r="FFA983" s="336"/>
      <c r="FFB983" s="337"/>
      <c r="FFC983" s="336"/>
      <c r="FFD983" s="337"/>
      <c r="FFE983" s="336"/>
      <c r="FFF983" s="337"/>
      <c r="FFG983" s="336"/>
      <c r="FFH983" s="337"/>
      <c r="FFI983" s="336"/>
      <c r="FFJ983" s="337"/>
      <c r="FFK983" s="336"/>
      <c r="FFL983" s="337"/>
      <c r="FFM983" s="336"/>
      <c r="FFN983" s="337"/>
      <c r="FFO983" s="336"/>
      <c r="FFP983" s="337"/>
      <c r="FFQ983" s="336"/>
      <c r="FFR983" s="337"/>
      <c r="FFS983" s="336"/>
      <c r="FFT983" s="337"/>
      <c r="FFU983" s="336"/>
      <c r="FFV983" s="337"/>
      <c r="FFW983" s="336"/>
      <c r="FFX983" s="337"/>
      <c r="FFY983" s="336"/>
      <c r="FFZ983" s="337"/>
      <c r="FGA983" s="336"/>
      <c r="FGB983" s="337"/>
      <c r="FGC983" s="336"/>
      <c r="FGD983" s="337"/>
      <c r="FGE983" s="336"/>
      <c r="FGF983" s="337"/>
      <c r="FGG983" s="336"/>
      <c r="FGH983" s="337"/>
      <c r="FGI983" s="336"/>
      <c r="FGJ983" s="337"/>
      <c r="FGK983" s="336"/>
      <c r="FGL983" s="337"/>
      <c r="FGM983" s="336"/>
      <c r="FGN983" s="337"/>
      <c r="FGO983" s="336"/>
      <c r="FGP983" s="337"/>
      <c r="FGQ983" s="336"/>
      <c r="FGR983" s="337"/>
      <c r="FGS983" s="336"/>
      <c r="FGT983" s="337"/>
      <c r="FGU983" s="336"/>
      <c r="FGV983" s="337"/>
      <c r="FGW983" s="336"/>
      <c r="FGX983" s="337"/>
      <c r="FGY983" s="336"/>
      <c r="FGZ983" s="337"/>
      <c r="FHA983" s="336"/>
      <c r="FHB983" s="337"/>
      <c r="FHC983" s="336"/>
      <c r="FHD983" s="337"/>
      <c r="FHE983" s="336"/>
      <c r="FHF983" s="337"/>
      <c r="FHG983" s="336"/>
      <c r="FHH983" s="337"/>
      <c r="FHI983" s="336"/>
      <c r="FHJ983" s="337"/>
      <c r="FHK983" s="336"/>
      <c r="FHL983" s="337"/>
      <c r="FHM983" s="336"/>
      <c r="FHN983" s="337"/>
      <c r="FHO983" s="336"/>
      <c r="FHP983" s="337"/>
      <c r="FHQ983" s="336"/>
      <c r="FHR983" s="337"/>
      <c r="FHS983" s="336"/>
      <c r="FHT983" s="337"/>
      <c r="FHU983" s="336"/>
      <c r="FHV983" s="337"/>
      <c r="FHW983" s="336"/>
      <c r="FHX983" s="337"/>
      <c r="FHY983" s="336"/>
      <c r="FHZ983" s="337"/>
      <c r="FIA983" s="336"/>
      <c r="FIB983" s="337"/>
      <c r="FIC983" s="336"/>
      <c r="FID983" s="337"/>
      <c r="FIE983" s="336"/>
      <c r="FIF983" s="337"/>
      <c r="FIG983" s="336"/>
      <c r="FIH983" s="337"/>
      <c r="FII983" s="336"/>
      <c r="FIJ983" s="337"/>
      <c r="FIK983" s="336"/>
      <c r="FIL983" s="337"/>
      <c r="FIM983" s="336"/>
      <c r="FIN983" s="337"/>
      <c r="FIO983" s="336"/>
      <c r="FIP983" s="337"/>
      <c r="FIQ983" s="336"/>
      <c r="FIR983" s="337"/>
      <c r="FIS983" s="336"/>
      <c r="FIT983" s="337"/>
      <c r="FIU983" s="336"/>
      <c r="FIV983" s="337"/>
      <c r="FIW983" s="336"/>
      <c r="FIX983" s="337"/>
      <c r="FIY983" s="336"/>
      <c r="FIZ983" s="337"/>
      <c r="FJA983" s="336"/>
      <c r="FJB983" s="337"/>
      <c r="FJC983" s="336"/>
      <c r="FJD983" s="337"/>
      <c r="FJE983" s="336"/>
      <c r="FJF983" s="337"/>
      <c r="FJG983" s="336"/>
      <c r="FJH983" s="337"/>
      <c r="FJI983" s="336"/>
      <c r="FJJ983" s="337"/>
      <c r="FJK983" s="336"/>
      <c r="FJL983" s="337"/>
      <c r="FJM983" s="336"/>
      <c r="FJN983" s="337"/>
      <c r="FJO983" s="336"/>
      <c r="FJP983" s="337"/>
      <c r="FJQ983" s="336"/>
      <c r="FJR983" s="337"/>
      <c r="FJS983" s="336"/>
      <c r="FJT983" s="337"/>
      <c r="FJU983" s="336"/>
      <c r="FJV983" s="337"/>
      <c r="FJW983" s="336"/>
      <c r="FJX983" s="337"/>
      <c r="FJY983" s="336"/>
      <c r="FJZ983" s="337"/>
      <c r="FKA983" s="336"/>
      <c r="FKB983" s="337"/>
      <c r="FKC983" s="336"/>
      <c r="FKD983" s="337"/>
      <c r="FKE983" s="336"/>
      <c r="FKF983" s="337"/>
      <c r="FKG983" s="336"/>
      <c r="FKH983" s="337"/>
      <c r="FKI983" s="336"/>
      <c r="FKJ983" s="337"/>
      <c r="FKK983" s="336"/>
      <c r="FKL983" s="337"/>
      <c r="FKM983" s="336"/>
      <c r="FKN983" s="337"/>
      <c r="FKO983" s="336"/>
      <c r="FKP983" s="337"/>
      <c r="FKQ983" s="336"/>
      <c r="FKR983" s="337"/>
      <c r="FKS983" s="336"/>
      <c r="FKT983" s="337"/>
      <c r="FKU983" s="336"/>
      <c r="FKV983" s="337"/>
      <c r="FKW983" s="336"/>
      <c r="FKX983" s="337"/>
      <c r="FKY983" s="336"/>
      <c r="FKZ983" s="337"/>
      <c r="FLA983" s="336"/>
      <c r="FLB983" s="337"/>
      <c r="FLC983" s="336"/>
      <c r="FLD983" s="337"/>
      <c r="FLE983" s="336"/>
      <c r="FLF983" s="337"/>
      <c r="FLG983" s="336"/>
      <c r="FLH983" s="337"/>
      <c r="FLI983" s="336"/>
      <c r="FLJ983" s="337"/>
      <c r="FLK983" s="336"/>
      <c r="FLL983" s="337"/>
      <c r="FLM983" s="336"/>
      <c r="FLN983" s="337"/>
      <c r="FLO983" s="336"/>
      <c r="FLP983" s="337"/>
      <c r="FLQ983" s="336"/>
      <c r="FLR983" s="337"/>
      <c r="FLS983" s="336"/>
      <c r="FLT983" s="337"/>
      <c r="FLU983" s="336"/>
      <c r="FLV983" s="337"/>
      <c r="FLW983" s="336"/>
      <c r="FLX983" s="337"/>
      <c r="FLY983" s="336"/>
      <c r="FLZ983" s="337"/>
      <c r="FMA983" s="336"/>
      <c r="FMB983" s="337"/>
      <c r="FMC983" s="336"/>
      <c r="FMD983" s="337"/>
      <c r="FME983" s="336"/>
      <c r="FMF983" s="337"/>
      <c r="FMG983" s="336"/>
      <c r="FMH983" s="337"/>
      <c r="FMI983" s="336"/>
      <c r="FMJ983" s="337"/>
      <c r="FMK983" s="336"/>
      <c r="FML983" s="337"/>
      <c r="FMM983" s="336"/>
      <c r="FMN983" s="337"/>
      <c r="FMO983" s="336"/>
      <c r="FMP983" s="337"/>
      <c r="FMQ983" s="336"/>
      <c r="FMR983" s="337"/>
      <c r="FMS983" s="336"/>
      <c r="FMT983" s="337"/>
      <c r="FMU983" s="336"/>
      <c r="FMV983" s="337"/>
      <c r="FMW983" s="336"/>
      <c r="FMX983" s="337"/>
      <c r="FMY983" s="336"/>
      <c r="FMZ983" s="337"/>
      <c r="FNA983" s="336"/>
      <c r="FNB983" s="337"/>
      <c r="FNC983" s="336"/>
      <c r="FND983" s="337"/>
      <c r="FNE983" s="336"/>
      <c r="FNF983" s="337"/>
      <c r="FNG983" s="336"/>
      <c r="FNH983" s="337"/>
      <c r="FNI983" s="336"/>
      <c r="FNJ983" s="337"/>
      <c r="FNK983" s="336"/>
      <c r="FNL983" s="337"/>
      <c r="FNM983" s="336"/>
      <c r="FNN983" s="337"/>
      <c r="FNO983" s="336"/>
      <c r="FNP983" s="337"/>
      <c r="FNQ983" s="336"/>
      <c r="FNR983" s="337"/>
      <c r="FNS983" s="336"/>
      <c r="FNT983" s="337"/>
      <c r="FNU983" s="336"/>
      <c r="FNV983" s="337"/>
      <c r="FNW983" s="336"/>
      <c r="FNX983" s="337"/>
      <c r="FNY983" s="336"/>
      <c r="FNZ983" s="337"/>
      <c r="FOA983" s="336"/>
      <c r="FOB983" s="337"/>
      <c r="FOC983" s="336"/>
      <c r="FOD983" s="337"/>
      <c r="FOE983" s="336"/>
      <c r="FOF983" s="337"/>
      <c r="FOG983" s="336"/>
      <c r="FOH983" s="337"/>
      <c r="FOI983" s="336"/>
      <c r="FOJ983" s="337"/>
      <c r="FOK983" s="336"/>
      <c r="FOL983" s="337"/>
      <c r="FOM983" s="336"/>
      <c r="FON983" s="337"/>
      <c r="FOO983" s="336"/>
      <c r="FOP983" s="337"/>
      <c r="FOQ983" s="336"/>
      <c r="FOR983" s="337"/>
      <c r="FOS983" s="336"/>
      <c r="FOT983" s="337"/>
      <c r="FOU983" s="336"/>
      <c r="FOV983" s="337"/>
      <c r="FOW983" s="336"/>
      <c r="FOX983" s="337"/>
      <c r="FOY983" s="336"/>
      <c r="FOZ983" s="337"/>
      <c r="FPA983" s="336"/>
      <c r="FPB983" s="337"/>
      <c r="FPC983" s="336"/>
      <c r="FPD983" s="337"/>
      <c r="FPE983" s="336"/>
      <c r="FPF983" s="337"/>
      <c r="FPG983" s="336"/>
      <c r="FPH983" s="337"/>
      <c r="FPI983" s="336"/>
      <c r="FPJ983" s="337"/>
      <c r="FPK983" s="336"/>
      <c r="FPL983" s="337"/>
      <c r="FPM983" s="336"/>
      <c r="FPN983" s="337"/>
      <c r="FPO983" s="336"/>
      <c r="FPP983" s="337"/>
      <c r="FPQ983" s="336"/>
      <c r="FPR983" s="337"/>
      <c r="FPS983" s="336"/>
      <c r="FPT983" s="337"/>
      <c r="FPU983" s="336"/>
      <c r="FPV983" s="337"/>
      <c r="FPW983" s="336"/>
      <c r="FPX983" s="337"/>
      <c r="FPY983" s="336"/>
      <c r="FPZ983" s="337"/>
      <c r="FQA983" s="336"/>
      <c r="FQB983" s="337"/>
      <c r="FQC983" s="336"/>
      <c r="FQD983" s="337"/>
      <c r="FQE983" s="336"/>
      <c r="FQF983" s="337"/>
      <c r="FQG983" s="336"/>
      <c r="FQH983" s="337"/>
      <c r="FQI983" s="336"/>
      <c r="FQJ983" s="337"/>
      <c r="FQK983" s="336"/>
      <c r="FQL983" s="337"/>
      <c r="FQM983" s="336"/>
      <c r="FQN983" s="337"/>
      <c r="FQO983" s="336"/>
      <c r="FQP983" s="337"/>
      <c r="FQQ983" s="336"/>
      <c r="FQR983" s="337"/>
      <c r="FQS983" s="336"/>
      <c r="FQT983" s="337"/>
      <c r="FQU983" s="336"/>
      <c r="FQV983" s="337"/>
      <c r="FQW983" s="336"/>
      <c r="FQX983" s="337"/>
      <c r="FQY983" s="336"/>
      <c r="FQZ983" s="337"/>
      <c r="FRA983" s="336"/>
      <c r="FRB983" s="337"/>
      <c r="FRC983" s="336"/>
      <c r="FRD983" s="337"/>
      <c r="FRE983" s="336"/>
      <c r="FRF983" s="337"/>
      <c r="FRG983" s="336"/>
      <c r="FRH983" s="337"/>
      <c r="FRI983" s="336"/>
      <c r="FRJ983" s="337"/>
      <c r="FRK983" s="336"/>
      <c r="FRL983" s="337"/>
      <c r="FRM983" s="336"/>
      <c r="FRN983" s="337"/>
      <c r="FRO983" s="336"/>
      <c r="FRP983" s="337"/>
      <c r="FRQ983" s="336"/>
      <c r="FRR983" s="337"/>
      <c r="FRS983" s="336"/>
      <c r="FRT983" s="337"/>
      <c r="FRU983" s="336"/>
      <c r="FRV983" s="337"/>
      <c r="FRW983" s="336"/>
      <c r="FRX983" s="337"/>
      <c r="FRY983" s="336"/>
      <c r="FRZ983" s="337"/>
      <c r="FSA983" s="336"/>
      <c r="FSB983" s="337"/>
      <c r="FSC983" s="336"/>
      <c r="FSD983" s="337"/>
      <c r="FSE983" s="336"/>
      <c r="FSF983" s="337"/>
      <c r="FSG983" s="336"/>
      <c r="FSH983" s="337"/>
      <c r="FSI983" s="336"/>
      <c r="FSJ983" s="337"/>
      <c r="FSK983" s="336"/>
      <c r="FSL983" s="337"/>
      <c r="FSM983" s="336"/>
      <c r="FSN983" s="337"/>
      <c r="FSO983" s="336"/>
      <c r="FSP983" s="337"/>
      <c r="FSQ983" s="336"/>
      <c r="FSR983" s="337"/>
      <c r="FSS983" s="336"/>
      <c r="FST983" s="337"/>
      <c r="FSU983" s="336"/>
      <c r="FSV983" s="337"/>
      <c r="FSW983" s="336"/>
      <c r="FSX983" s="337"/>
      <c r="FSY983" s="336"/>
      <c r="FSZ983" s="337"/>
      <c r="FTA983" s="336"/>
      <c r="FTB983" s="337"/>
      <c r="FTC983" s="336"/>
      <c r="FTD983" s="337"/>
      <c r="FTE983" s="336"/>
      <c r="FTF983" s="337"/>
      <c r="FTG983" s="336"/>
      <c r="FTH983" s="337"/>
      <c r="FTI983" s="336"/>
      <c r="FTJ983" s="337"/>
      <c r="FTK983" s="336"/>
      <c r="FTL983" s="337"/>
      <c r="FTM983" s="336"/>
      <c r="FTN983" s="337"/>
      <c r="FTO983" s="336"/>
      <c r="FTP983" s="337"/>
      <c r="FTQ983" s="336"/>
      <c r="FTR983" s="337"/>
      <c r="FTS983" s="336"/>
      <c r="FTT983" s="337"/>
      <c r="FTU983" s="336"/>
      <c r="FTV983" s="337"/>
      <c r="FTW983" s="336"/>
      <c r="FTX983" s="337"/>
      <c r="FTY983" s="336"/>
      <c r="FTZ983" s="337"/>
      <c r="FUA983" s="336"/>
      <c r="FUB983" s="337"/>
      <c r="FUC983" s="336"/>
      <c r="FUD983" s="337"/>
      <c r="FUE983" s="336"/>
      <c r="FUF983" s="337"/>
      <c r="FUG983" s="336"/>
      <c r="FUH983" s="337"/>
      <c r="FUI983" s="336"/>
      <c r="FUJ983" s="337"/>
      <c r="FUK983" s="336"/>
      <c r="FUL983" s="337"/>
      <c r="FUM983" s="336"/>
      <c r="FUN983" s="337"/>
      <c r="FUO983" s="336"/>
      <c r="FUP983" s="337"/>
      <c r="FUQ983" s="336"/>
      <c r="FUR983" s="337"/>
      <c r="FUS983" s="336"/>
      <c r="FUT983" s="337"/>
      <c r="FUU983" s="336"/>
      <c r="FUV983" s="337"/>
      <c r="FUW983" s="336"/>
      <c r="FUX983" s="337"/>
      <c r="FUY983" s="336"/>
      <c r="FUZ983" s="337"/>
      <c r="FVA983" s="336"/>
      <c r="FVB983" s="337"/>
      <c r="FVC983" s="336"/>
      <c r="FVD983" s="337"/>
      <c r="FVE983" s="336"/>
      <c r="FVF983" s="337"/>
      <c r="FVG983" s="336"/>
      <c r="FVH983" s="337"/>
      <c r="FVI983" s="336"/>
      <c r="FVJ983" s="337"/>
      <c r="FVK983" s="336"/>
      <c r="FVL983" s="337"/>
      <c r="FVM983" s="336"/>
      <c r="FVN983" s="337"/>
      <c r="FVO983" s="336"/>
      <c r="FVP983" s="337"/>
      <c r="FVQ983" s="336"/>
      <c r="FVR983" s="337"/>
      <c r="FVS983" s="336"/>
      <c r="FVT983" s="337"/>
      <c r="FVU983" s="336"/>
      <c r="FVV983" s="337"/>
      <c r="FVW983" s="336"/>
      <c r="FVX983" s="337"/>
      <c r="FVY983" s="336"/>
      <c r="FVZ983" s="337"/>
      <c r="FWA983" s="336"/>
      <c r="FWB983" s="337"/>
      <c r="FWC983" s="336"/>
      <c r="FWD983" s="337"/>
      <c r="FWE983" s="336"/>
      <c r="FWF983" s="337"/>
      <c r="FWG983" s="336"/>
      <c r="FWH983" s="337"/>
      <c r="FWI983" s="336"/>
      <c r="FWJ983" s="337"/>
      <c r="FWK983" s="336"/>
      <c r="FWL983" s="337"/>
      <c r="FWM983" s="336"/>
      <c r="FWN983" s="337"/>
      <c r="FWO983" s="336"/>
      <c r="FWP983" s="337"/>
      <c r="FWQ983" s="336"/>
      <c r="FWR983" s="337"/>
      <c r="FWS983" s="336"/>
      <c r="FWT983" s="337"/>
      <c r="FWU983" s="336"/>
      <c r="FWV983" s="337"/>
      <c r="FWW983" s="336"/>
      <c r="FWX983" s="337"/>
      <c r="FWY983" s="336"/>
      <c r="FWZ983" s="337"/>
      <c r="FXA983" s="336"/>
      <c r="FXB983" s="337"/>
      <c r="FXC983" s="336"/>
      <c r="FXD983" s="337"/>
      <c r="FXE983" s="336"/>
      <c r="FXF983" s="337"/>
      <c r="FXG983" s="336"/>
      <c r="FXH983" s="337"/>
      <c r="FXI983" s="336"/>
      <c r="FXJ983" s="337"/>
      <c r="FXK983" s="336"/>
      <c r="FXL983" s="337"/>
      <c r="FXM983" s="336"/>
      <c r="FXN983" s="337"/>
      <c r="FXO983" s="336"/>
      <c r="FXP983" s="337"/>
      <c r="FXQ983" s="336"/>
      <c r="FXR983" s="337"/>
      <c r="FXS983" s="336"/>
      <c r="FXT983" s="337"/>
      <c r="FXU983" s="336"/>
      <c r="FXV983" s="337"/>
      <c r="FXW983" s="336"/>
      <c r="FXX983" s="337"/>
      <c r="FXY983" s="336"/>
      <c r="FXZ983" s="337"/>
      <c r="FYA983" s="336"/>
      <c r="FYB983" s="337"/>
      <c r="FYC983" s="336"/>
      <c r="FYD983" s="337"/>
      <c r="FYE983" s="336"/>
      <c r="FYF983" s="337"/>
      <c r="FYG983" s="336"/>
      <c r="FYH983" s="337"/>
      <c r="FYI983" s="336"/>
      <c r="FYJ983" s="337"/>
      <c r="FYK983" s="336"/>
      <c r="FYL983" s="337"/>
      <c r="FYM983" s="336"/>
      <c r="FYN983" s="337"/>
      <c r="FYO983" s="336"/>
      <c r="FYP983" s="337"/>
      <c r="FYQ983" s="336"/>
      <c r="FYR983" s="337"/>
      <c r="FYS983" s="336"/>
      <c r="FYT983" s="337"/>
      <c r="FYU983" s="336"/>
      <c r="FYV983" s="337"/>
      <c r="FYW983" s="336"/>
      <c r="FYX983" s="337"/>
      <c r="FYY983" s="336"/>
      <c r="FYZ983" s="337"/>
      <c r="FZA983" s="336"/>
      <c r="FZB983" s="337"/>
      <c r="FZC983" s="336"/>
      <c r="FZD983" s="337"/>
      <c r="FZE983" s="336"/>
      <c r="FZF983" s="337"/>
      <c r="FZG983" s="336"/>
      <c r="FZH983" s="337"/>
      <c r="FZI983" s="336"/>
      <c r="FZJ983" s="337"/>
      <c r="FZK983" s="336"/>
      <c r="FZL983" s="337"/>
      <c r="FZM983" s="336"/>
      <c r="FZN983" s="337"/>
      <c r="FZO983" s="336"/>
      <c r="FZP983" s="337"/>
      <c r="FZQ983" s="336"/>
      <c r="FZR983" s="337"/>
      <c r="FZS983" s="336"/>
      <c r="FZT983" s="337"/>
      <c r="FZU983" s="336"/>
      <c r="FZV983" s="337"/>
      <c r="FZW983" s="336"/>
      <c r="FZX983" s="337"/>
      <c r="FZY983" s="336"/>
      <c r="FZZ983" s="337"/>
      <c r="GAA983" s="336"/>
      <c r="GAB983" s="337"/>
      <c r="GAC983" s="336"/>
      <c r="GAD983" s="337"/>
      <c r="GAE983" s="336"/>
      <c r="GAF983" s="337"/>
      <c r="GAG983" s="336"/>
      <c r="GAH983" s="337"/>
      <c r="GAI983" s="336"/>
      <c r="GAJ983" s="337"/>
      <c r="GAK983" s="336"/>
      <c r="GAL983" s="337"/>
      <c r="GAM983" s="336"/>
      <c r="GAN983" s="337"/>
      <c r="GAO983" s="336"/>
      <c r="GAP983" s="337"/>
      <c r="GAQ983" s="336"/>
      <c r="GAR983" s="337"/>
      <c r="GAS983" s="336"/>
      <c r="GAT983" s="337"/>
      <c r="GAU983" s="336"/>
      <c r="GAV983" s="337"/>
      <c r="GAW983" s="336"/>
      <c r="GAX983" s="337"/>
      <c r="GAY983" s="336"/>
      <c r="GAZ983" s="337"/>
      <c r="GBA983" s="336"/>
      <c r="GBB983" s="337"/>
      <c r="GBC983" s="336"/>
      <c r="GBD983" s="337"/>
      <c r="GBE983" s="336"/>
      <c r="GBF983" s="337"/>
      <c r="GBG983" s="336"/>
      <c r="GBH983" s="337"/>
      <c r="GBI983" s="336"/>
      <c r="GBJ983" s="337"/>
      <c r="GBK983" s="336"/>
      <c r="GBL983" s="337"/>
      <c r="GBM983" s="336"/>
      <c r="GBN983" s="337"/>
      <c r="GBO983" s="336"/>
      <c r="GBP983" s="337"/>
      <c r="GBQ983" s="336"/>
      <c r="GBR983" s="337"/>
      <c r="GBS983" s="336"/>
      <c r="GBT983" s="337"/>
      <c r="GBU983" s="336"/>
      <c r="GBV983" s="337"/>
      <c r="GBW983" s="336"/>
      <c r="GBX983" s="337"/>
      <c r="GBY983" s="336"/>
      <c r="GBZ983" s="337"/>
      <c r="GCA983" s="336"/>
      <c r="GCB983" s="337"/>
      <c r="GCC983" s="336"/>
      <c r="GCD983" s="337"/>
      <c r="GCE983" s="336"/>
      <c r="GCF983" s="337"/>
      <c r="GCG983" s="336"/>
      <c r="GCH983" s="337"/>
      <c r="GCI983" s="336"/>
      <c r="GCJ983" s="337"/>
      <c r="GCK983" s="336"/>
      <c r="GCL983" s="337"/>
      <c r="GCM983" s="336"/>
      <c r="GCN983" s="337"/>
      <c r="GCO983" s="336"/>
      <c r="GCP983" s="337"/>
      <c r="GCQ983" s="336"/>
      <c r="GCR983" s="337"/>
      <c r="GCS983" s="336"/>
      <c r="GCT983" s="337"/>
      <c r="GCU983" s="336"/>
      <c r="GCV983" s="337"/>
      <c r="GCW983" s="336"/>
      <c r="GCX983" s="337"/>
      <c r="GCY983" s="336"/>
      <c r="GCZ983" s="337"/>
      <c r="GDA983" s="336"/>
      <c r="GDB983" s="337"/>
      <c r="GDC983" s="336"/>
      <c r="GDD983" s="337"/>
      <c r="GDE983" s="336"/>
      <c r="GDF983" s="337"/>
      <c r="GDG983" s="336"/>
      <c r="GDH983" s="337"/>
      <c r="GDI983" s="336"/>
      <c r="GDJ983" s="337"/>
      <c r="GDK983" s="336"/>
      <c r="GDL983" s="337"/>
      <c r="GDM983" s="336"/>
      <c r="GDN983" s="337"/>
      <c r="GDO983" s="336"/>
      <c r="GDP983" s="337"/>
      <c r="GDQ983" s="336"/>
      <c r="GDR983" s="337"/>
      <c r="GDS983" s="336"/>
      <c r="GDT983" s="337"/>
      <c r="GDU983" s="336"/>
      <c r="GDV983" s="337"/>
      <c r="GDW983" s="336"/>
      <c r="GDX983" s="337"/>
      <c r="GDY983" s="336"/>
      <c r="GDZ983" s="337"/>
      <c r="GEA983" s="336"/>
      <c r="GEB983" s="337"/>
      <c r="GEC983" s="336"/>
      <c r="GED983" s="337"/>
      <c r="GEE983" s="336"/>
      <c r="GEF983" s="337"/>
      <c r="GEG983" s="336"/>
      <c r="GEH983" s="337"/>
      <c r="GEI983" s="336"/>
      <c r="GEJ983" s="337"/>
      <c r="GEK983" s="336"/>
      <c r="GEL983" s="337"/>
      <c r="GEM983" s="336"/>
      <c r="GEN983" s="337"/>
      <c r="GEO983" s="336"/>
      <c r="GEP983" s="337"/>
      <c r="GEQ983" s="336"/>
      <c r="GER983" s="337"/>
      <c r="GES983" s="336"/>
      <c r="GET983" s="337"/>
      <c r="GEU983" s="336"/>
      <c r="GEV983" s="337"/>
      <c r="GEW983" s="336"/>
      <c r="GEX983" s="337"/>
      <c r="GEY983" s="336"/>
      <c r="GEZ983" s="337"/>
      <c r="GFA983" s="336"/>
      <c r="GFB983" s="337"/>
      <c r="GFC983" s="336"/>
      <c r="GFD983" s="337"/>
      <c r="GFE983" s="336"/>
      <c r="GFF983" s="337"/>
      <c r="GFG983" s="336"/>
      <c r="GFH983" s="337"/>
      <c r="GFI983" s="336"/>
      <c r="GFJ983" s="337"/>
      <c r="GFK983" s="336"/>
      <c r="GFL983" s="337"/>
      <c r="GFM983" s="336"/>
      <c r="GFN983" s="337"/>
      <c r="GFO983" s="336"/>
      <c r="GFP983" s="337"/>
      <c r="GFQ983" s="336"/>
      <c r="GFR983" s="337"/>
      <c r="GFS983" s="336"/>
      <c r="GFT983" s="337"/>
      <c r="GFU983" s="336"/>
      <c r="GFV983" s="337"/>
      <c r="GFW983" s="336"/>
      <c r="GFX983" s="337"/>
      <c r="GFY983" s="336"/>
      <c r="GFZ983" s="337"/>
      <c r="GGA983" s="336"/>
      <c r="GGB983" s="337"/>
      <c r="GGC983" s="336"/>
      <c r="GGD983" s="337"/>
      <c r="GGE983" s="336"/>
      <c r="GGF983" s="337"/>
      <c r="GGG983" s="336"/>
      <c r="GGH983" s="337"/>
      <c r="GGI983" s="336"/>
      <c r="GGJ983" s="337"/>
      <c r="GGK983" s="336"/>
      <c r="GGL983" s="337"/>
      <c r="GGM983" s="336"/>
      <c r="GGN983" s="337"/>
      <c r="GGO983" s="336"/>
      <c r="GGP983" s="337"/>
      <c r="GGQ983" s="336"/>
      <c r="GGR983" s="337"/>
      <c r="GGS983" s="336"/>
      <c r="GGT983" s="337"/>
      <c r="GGU983" s="336"/>
      <c r="GGV983" s="337"/>
      <c r="GGW983" s="336"/>
      <c r="GGX983" s="337"/>
      <c r="GGY983" s="336"/>
      <c r="GGZ983" s="337"/>
      <c r="GHA983" s="336"/>
      <c r="GHB983" s="337"/>
      <c r="GHC983" s="336"/>
      <c r="GHD983" s="337"/>
      <c r="GHE983" s="336"/>
      <c r="GHF983" s="337"/>
      <c r="GHG983" s="336"/>
      <c r="GHH983" s="337"/>
      <c r="GHI983" s="336"/>
      <c r="GHJ983" s="337"/>
      <c r="GHK983" s="336"/>
      <c r="GHL983" s="337"/>
      <c r="GHM983" s="336"/>
      <c r="GHN983" s="337"/>
      <c r="GHO983" s="336"/>
      <c r="GHP983" s="337"/>
      <c r="GHQ983" s="336"/>
      <c r="GHR983" s="337"/>
      <c r="GHS983" s="336"/>
      <c r="GHT983" s="337"/>
      <c r="GHU983" s="336"/>
      <c r="GHV983" s="337"/>
      <c r="GHW983" s="336"/>
      <c r="GHX983" s="337"/>
      <c r="GHY983" s="336"/>
      <c r="GHZ983" s="337"/>
      <c r="GIA983" s="336"/>
      <c r="GIB983" s="337"/>
      <c r="GIC983" s="336"/>
      <c r="GID983" s="337"/>
      <c r="GIE983" s="336"/>
      <c r="GIF983" s="337"/>
      <c r="GIG983" s="336"/>
      <c r="GIH983" s="337"/>
      <c r="GII983" s="336"/>
      <c r="GIJ983" s="337"/>
      <c r="GIK983" s="336"/>
      <c r="GIL983" s="337"/>
      <c r="GIM983" s="336"/>
      <c r="GIN983" s="337"/>
      <c r="GIO983" s="336"/>
      <c r="GIP983" s="337"/>
      <c r="GIQ983" s="336"/>
      <c r="GIR983" s="337"/>
      <c r="GIS983" s="336"/>
      <c r="GIT983" s="337"/>
      <c r="GIU983" s="336"/>
      <c r="GIV983" s="337"/>
      <c r="GIW983" s="336"/>
      <c r="GIX983" s="337"/>
      <c r="GIY983" s="336"/>
      <c r="GIZ983" s="337"/>
      <c r="GJA983" s="336"/>
      <c r="GJB983" s="337"/>
      <c r="GJC983" s="336"/>
      <c r="GJD983" s="337"/>
      <c r="GJE983" s="336"/>
      <c r="GJF983" s="337"/>
      <c r="GJG983" s="336"/>
      <c r="GJH983" s="337"/>
      <c r="GJI983" s="336"/>
      <c r="GJJ983" s="337"/>
      <c r="GJK983" s="336"/>
      <c r="GJL983" s="337"/>
      <c r="GJM983" s="336"/>
      <c r="GJN983" s="337"/>
      <c r="GJO983" s="336"/>
      <c r="GJP983" s="337"/>
      <c r="GJQ983" s="336"/>
      <c r="GJR983" s="337"/>
      <c r="GJS983" s="336"/>
      <c r="GJT983" s="337"/>
      <c r="GJU983" s="336"/>
      <c r="GJV983" s="337"/>
      <c r="GJW983" s="336"/>
      <c r="GJX983" s="337"/>
      <c r="GJY983" s="336"/>
      <c r="GJZ983" s="337"/>
      <c r="GKA983" s="336"/>
      <c r="GKB983" s="337"/>
      <c r="GKC983" s="336"/>
      <c r="GKD983" s="337"/>
      <c r="GKE983" s="336"/>
      <c r="GKF983" s="337"/>
      <c r="GKG983" s="336"/>
      <c r="GKH983" s="337"/>
      <c r="GKI983" s="336"/>
      <c r="GKJ983" s="337"/>
      <c r="GKK983" s="336"/>
      <c r="GKL983" s="337"/>
      <c r="GKM983" s="336"/>
      <c r="GKN983" s="337"/>
      <c r="GKO983" s="336"/>
      <c r="GKP983" s="337"/>
      <c r="GKQ983" s="336"/>
      <c r="GKR983" s="337"/>
      <c r="GKS983" s="336"/>
      <c r="GKT983" s="337"/>
      <c r="GKU983" s="336"/>
      <c r="GKV983" s="337"/>
      <c r="GKW983" s="336"/>
      <c r="GKX983" s="337"/>
      <c r="GKY983" s="336"/>
      <c r="GKZ983" s="337"/>
      <c r="GLA983" s="336"/>
      <c r="GLB983" s="337"/>
      <c r="GLC983" s="336"/>
      <c r="GLD983" s="337"/>
      <c r="GLE983" s="336"/>
      <c r="GLF983" s="337"/>
      <c r="GLG983" s="336"/>
      <c r="GLH983" s="337"/>
      <c r="GLI983" s="336"/>
      <c r="GLJ983" s="337"/>
      <c r="GLK983" s="336"/>
      <c r="GLL983" s="337"/>
      <c r="GLM983" s="336"/>
      <c r="GLN983" s="337"/>
      <c r="GLO983" s="336"/>
      <c r="GLP983" s="337"/>
      <c r="GLQ983" s="336"/>
      <c r="GLR983" s="337"/>
      <c r="GLS983" s="336"/>
      <c r="GLT983" s="337"/>
      <c r="GLU983" s="336"/>
      <c r="GLV983" s="337"/>
      <c r="GLW983" s="336"/>
      <c r="GLX983" s="337"/>
      <c r="GLY983" s="336"/>
      <c r="GLZ983" s="337"/>
      <c r="GMA983" s="336"/>
      <c r="GMB983" s="337"/>
      <c r="GMC983" s="336"/>
      <c r="GMD983" s="337"/>
      <c r="GME983" s="336"/>
      <c r="GMF983" s="337"/>
      <c r="GMG983" s="336"/>
      <c r="GMH983" s="337"/>
      <c r="GMI983" s="336"/>
      <c r="GMJ983" s="337"/>
      <c r="GMK983" s="336"/>
      <c r="GML983" s="337"/>
      <c r="GMM983" s="336"/>
      <c r="GMN983" s="337"/>
      <c r="GMO983" s="336"/>
      <c r="GMP983" s="337"/>
      <c r="GMQ983" s="336"/>
      <c r="GMR983" s="337"/>
      <c r="GMS983" s="336"/>
      <c r="GMT983" s="337"/>
      <c r="GMU983" s="336"/>
      <c r="GMV983" s="337"/>
      <c r="GMW983" s="336"/>
      <c r="GMX983" s="337"/>
      <c r="GMY983" s="336"/>
      <c r="GMZ983" s="337"/>
      <c r="GNA983" s="336"/>
      <c r="GNB983" s="337"/>
      <c r="GNC983" s="336"/>
      <c r="GND983" s="337"/>
      <c r="GNE983" s="336"/>
      <c r="GNF983" s="337"/>
      <c r="GNG983" s="336"/>
      <c r="GNH983" s="337"/>
      <c r="GNI983" s="336"/>
      <c r="GNJ983" s="337"/>
      <c r="GNK983" s="336"/>
      <c r="GNL983" s="337"/>
      <c r="GNM983" s="336"/>
      <c r="GNN983" s="337"/>
      <c r="GNO983" s="336"/>
      <c r="GNP983" s="337"/>
      <c r="GNQ983" s="336"/>
      <c r="GNR983" s="337"/>
      <c r="GNS983" s="336"/>
      <c r="GNT983" s="337"/>
      <c r="GNU983" s="336"/>
      <c r="GNV983" s="337"/>
      <c r="GNW983" s="336"/>
      <c r="GNX983" s="337"/>
      <c r="GNY983" s="336"/>
      <c r="GNZ983" s="337"/>
      <c r="GOA983" s="336"/>
      <c r="GOB983" s="337"/>
      <c r="GOC983" s="336"/>
      <c r="GOD983" s="337"/>
      <c r="GOE983" s="336"/>
      <c r="GOF983" s="337"/>
      <c r="GOG983" s="336"/>
      <c r="GOH983" s="337"/>
      <c r="GOI983" s="336"/>
      <c r="GOJ983" s="337"/>
      <c r="GOK983" s="336"/>
      <c r="GOL983" s="337"/>
      <c r="GOM983" s="336"/>
      <c r="GON983" s="337"/>
      <c r="GOO983" s="336"/>
      <c r="GOP983" s="337"/>
      <c r="GOQ983" s="336"/>
      <c r="GOR983" s="337"/>
      <c r="GOS983" s="336"/>
      <c r="GOT983" s="337"/>
      <c r="GOU983" s="336"/>
      <c r="GOV983" s="337"/>
      <c r="GOW983" s="336"/>
      <c r="GOX983" s="337"/>
      <c r="GOY983" s="336"/>
      <c r="GOZ983" s="337"/>
      <c r="GPA983" s="336"/>
      <c r="GPB983" s="337"/>
      <c r="GPC983" s="336"/>
      <c r="GPD983" s="337"/>
      <c r="GPE983" s="336"/>
      <c r="GPF983" s="337"/>
      <c r="GPG983" s="336"/>
      <c r="GPH983" s="337"/>
      <c r="GPI983" s="336"/>
      <c r="GPJ983" s="337"/>
      <c r="GPK983" s="336"/>
      <c r="GPL983" s="337"/>
      <c r="GPM983" s="336"/>
      <c r="GPN983" s="337"/>
      <c r="GPO983" s="336"/>
      <c r="GPP983" s="337"/>
      <c r="GPQ983" s="336"/>
      <c r="GPR983" s="337"/>
      <c r="GPS983" s="336"/>
      <c r="GPT983" s="337"/>
      <c r="GPU983" s="336"/>
      <c r="GPV983" s="337"/>
      <c r="GPW983" s="336"/>
      <c r="GPX983" s="337"/>
      <c r="GPY983" s="336"/>
      <c r="GPZ983" s="337"/>
      <c r="GQA983" s="336"/>
      <c r="GQB983" s="337"/>
      <c r="GQC983" s="336"/>
      <c r="GQD983" s="337"/>
      <c r="GQE983" s="336"/>
      <c r="GQF983" s="337"/>
      <c r="GQG983" s="336"/>
      <c r="GQH983" s="337"/>
      <c r="GQI983" s="336"/>
      <c r="GQJ983" s="337"/>
      <c r="GQK983" s="336"/>
      <c r="GQL983" s="337"/>
      <c r="GQM983" s="336"/>
      <c r="GQN983" s="337"/>
      <c r="GQO983" s="336"/>
      <c r="GQP983" s="337"/>
      <c r="GQQ983" s="336"/>
      <c r="GQR983" s="337"/>
      <c r="GQS983" s="336"/>
      <c r="GQT983" s="337"/>
      <c r="GQU983" s="336"/>
      <c r="GQV983" s="337"/>
      <c r="GQW983" s="336"/>
      <c r="GQX983" s="337"/>
      <c r="GQY983" s="336"/>
      <c r="GQZ983" s="337"/>
      <c r="GRA983" s="336"/>
      <c r="GRB983" s="337"/>
      <c r="GRC983" s="336"/>
      <c r="GRD983" s="337"/>
      <c r="GRE983" s="336"/>
      <c r="GRF983" s="337"/>
      <c r="GRG983" s="336"/>
      <c r="GRH983" s="337"/>
      <c r="GRI983" s="336"/>
      <c r="GRJ983" s="337"/>
      <c r="GRK983" s="336"/>
      <c r="GRL983" s="337"/>
      <c r="GRM983" s="336"/>
      <c r="GRN983" s="337"/>
      <c r="GRO983" s="336"/>
      <c r="GRP983" s="337"/>
      <c r="GRQ983" s="336"/>
      <c r="GRR983" s="337"/>
      <c r="GRS983" s="336"/>
      <c r="GRT983" s="337"/>
      <c r="GRU983" s="336"/>
      <c r="GRV983" s="337"/>
      <c r="GRW983" s="336"/>
      <c r="GRX983" s="337"/>
      <c r="GRY983" s="336"/>
      <c r="GRZ983" s="337"/>
      <c r="GSA983" s="336"/>
      <c r="GSB983" s="337"/>
      <c r="GSC983" s="336"/>
      <c r="GSD983" s="337"/>
      <c r="GSE983" s="336"/>
      <c r="GSF983" s="337"/>
      <c r="GSG983" s="336"/>
      <c r="GSH983" s="337"/>
      <c r="GSI983" s="336"/>
      <c r="GSJ983" s="337"/>
      <c r="GSK983" s="336"/>
      <c r="GSL983" s="337"/>
      <c r="GSM983" s="336"/>
      <c r="GSN983" s="337"/>
      <c r="GSO983" s="336"/>
      <c r="GSP983" s="337"/>
      <c r="GSQ983" s="336"/>
      <c r="GSR983" s="337"/>
      <c r="GSS983" s="336"/>
      <c r="GST983" s="337"/>
      <c r="GSU983" s="336"/>
      <c r="GSV983" s="337"/>
      <c r="GSW983" s="336"/>
      <c r="GSX983" s="337"/>
      <c r="GSY983" s="336"/>
      <c r="GSZ983" s="337"/>
      <c r="GTA983" s="336"/>
      <c r="GTB983" s="337"/>
      <c r="GTC983" s="336"/>
      <c r="GTD983" s="337"/>
      <c r="GTE983" s="336"/>
      <c r="GTF983" s="337"/>
      <c r="GTG983" s="336"/>
      <c r="GTH983" s="337"/>
      <c r="GTI983" s="336"/>
      <c r="GTJ983" s="337"/>
      <c r="GTK983" s="336"/>
      <c r="GTL983" s="337"/>
      <c r="GTM983" s="336"/>
      <c r="GTN983" s="337"/>
      <c r="GTO983" s="336"/>
      <c r="GTP983" s="337"/>
      <c r="GTQ983" s="336"/>
      <c r="GTR983" s="337"/>
      <c r="GTS983" s="336"/>
      <c r="GTT983" s="337"/>
      <c r="GTU983" s="336"/>
      <c r="GTV983" s="337"/>
      <c r="GTW983" s="336"/>
      <c r="GTX983" s="337"/>
      <c r="GTY983" s="336"/>
      <c r="GTZ983" s="337"/>
      <c r="GUA983" s="336"/>
      <c r="GUB983" s="337"/>
      <c r="GUC983" s="336"/>
      <c r="GUD983" s="337"/>
      <c r="GUE983" s="336"/>
      <c r="GUF983" s="337"/>
      <c r="GUG983" s="336"/>
      <c r="GUH983" s="337"/>
      <c r="GUI983" s="336"/>
      <c r="GUJ983" s="337"/>
      <c r="GUK983" s="336"/>
      <c r="GUL983" s="337"/>
      <c r="GUM983" s="336"/>
      <c r="GUN983" s="337"/>
      <c r="GUO983" s="336"/>
      <c r="GUP983" s="337"/>
      <c r="GUQ983" s="336"/>
      <c r="GUR983" s="337"/>
      <c r="GUS983" s="336"/>
      <c r="GUT983" s="337"/>
      <c r="GUU983" s="336"/>
      <c r="GUV983" s="337"/>
      <c r="GUW983" s="336"/>
      <c r="GUX983" s="337"/>
      <c r="GUY983" s="336"/>
      <c r="GUZ983" s="337"/>
      <c r="GVA983" s="336"/>
      <c r="GVB983" s="337"/>
      <c r="GVC983" s="336"/>
      <c r="GVD983" s="337"/>
      <c r="GVE983" s="336"/>
      <c r="GVF983" s="337"/>
      <c r="GVG983" s="336"/>
      <c r="GVH983" s="337"/>
      <c r="GVI983" s="336"/>
      <c r="GVJ983" s="337"/>
      <c r="GVK983" s="336"/>
      <c r="GVL983" s="337"/>
      <c r="GVM983" s="336"/>
      <c r="GVN983" s="337"/>
      <c r="GVO983" s="336"/>
      <c r="GVP983" s="337"/>
      <c r="GVQ983" s="336"/>
      <c r="GVR983" s="337"/>
      <c r="GVS983" s="336"/>
      <c r="GVT983" s="337"/>
      <c r="GVU983" s="336"/>
      <c r="GVV983" s="337"/>
      <c r="GVW983" s="336"/>
      <c r="GVX983" s="337"/>
      <c r="GVY983" s="336"/>
      <c r="GVZ983" s="337"/>
      <c r="GWA983" s="336"/>
      <c r="GWB983" s="337"/>
      <c r="GWC983" s="336"/>
      <c r="GWD983" s="337"/>
      <c r="GWE983" s="336"/>
      <c r="GWF983" s="337"/>
      <c r="GWG983" s="336"/>
      <c r="GWH983" s="337"/>
      <c r="GWI983" s="336"/>
      <c r="GWJ983" s="337"/>
      <c r="GWK983" s="336"/>
      <c r="GWL983" s="337"/>
      <c r="GWM983" s="336"/>
      <c r="GWN983" s="337"/>
      <c r="GWO983" s="336"/>
      <c r="GWP983" s="337"/>
      <c r="GWQ983" s="336"/>
      <c r="GWR983" s="337"/>
      <c r="GWS983" s="336"/>
      <c r="GWT983" s="337"/>
      <c r="GWU983" s="336"/>
      <c r="GWV983" s="337"/>
      <c r="GWW983" s="336"/>
      <c r="GWX983" s="337"/>
      <c r="GWY983" s="336"/>
      <c r="GWZ983" s="337"/>
      <c r="GXA983" s="336"/>
      <c r="GXB983" s="337"/>
      <c r="GXC983" s="336"/>
      <c r="GXD983" s="337"/>
      <c r="GXE983" s="336"/>
      <c r="GXF983" s="337"/>
      <c r="GXG983" s="336"/>
      <c r="GXH983" s="337"/>
      <c r="GXI983" s="336"/>
      <c r="GXJ983" s="337"/>
      <c r="GXK983" s="336"/>
      <c r="GXL983" s="337"/>
      <c r="GXM983" s="336"/>
      <c r="GXN983" s="337"/>
      <c r="GXO983" s="336"/>
      <c r="GXP983" s="337"/>
      <c r="GXQ983" s="336"/>
      <c r="GXR983" s="337"/>
      <c r="GXS983" s="336"/>
      <c r="GXT983" s="337"/>
      <c r="GXU983" s="336"/>
      <c r="GXV983" s="337"/>
      <c r="GXW983" s="336"/>
      <c r="GXX983" s="337"/>
      <c r="GXY983" s="336"/>
      <c r="GXZ983" s="337"/>
      <c r="GYA983" s="336"/>
      <c r="GYB983" s="337"/>
      <c r="GYC983" s="336"/>
      <c r="GYD983" s="337"/>
      <c r="GYE983" s="336"/>
      <c r="GYF983" s="337"/>
      <c r="GYG983" s="336"/>
      <c r="GYH983" s="337"/>
      <c r="GYI983" s="336"/>
      <c r="GYJ983" s="337"/>
      <c r="GYK983" s="336"/>
      <c r="GYL983" s="337"/>
      <c r="GYM983" s="336"/>
      <c r="GYN983" s="337"/>
      <c r="GYO983" s="336"/>
      <c r="GYP983" s="337"/>
      <c r="GYQ983" s="336"/>
      <c r="GYR983" s="337"/>
      <c r="GYS983" s="336"/>
      <c r="GYT983" s="337"/>
      <c r="GYU983" s="336"/>
      <c r="GYV983" s="337"/>
      <c r="GYW983" s="336"/>
      <c r="GYX983" s="337"/>
      <c r="GYY983" s="336"/>
      <c r="GYZ983" s="337"/>
      <c r="GZA983" s="336"/>
      <c r="GZB983" s="337"/>
      <c r="GZC983" s="336"/>
      <c r="GZD983" s="337"/>
      <c r="GZE983" s="336"/>
      <c r="GZF983" s="337"/>
      <c r="GZG983" s="336"/>
      <c r="GZH983" s="337"/>
      <c r="GZI983" s="336"/>
      <c r="GZJ983" s="337"/>
      <c r="GZK983" s="336"/>
      <c r="GZL983" s="337"/>
      <c r="GZM983" s="336"/>
      <c r="GZN983" s="337"/>
      <c r="GZO983" s="336"/>
      <c r="GZP983" s="337"/>
      <c r="GZQ983" s="336"/>
      <c r="GZR983" s="337"/>
      <c r="GZS983" s="336"/>
      <c r="GZT983" s="337"/>
      <c r="GZU983" s="336"/>
      <c r="GZV983" s="337"/>
      <c r="GZW983" s="336"/>
      <c r="GZX983" s="337"/>
      <c r="GZY983" s="336"/>
      <c r="GZZ983" s="337"/>
      <c r="HAA983" s="336"/>
      <c r="HAB983" s="337"/>
      <c r="HAC983" s="336"/>
      <c r="HAD983" s="337"/>
      <c r="HAE983" s="336"/>
      <c r="HAF983" s="337"/>
      <c r="HAG983" s="336"/>
      <c r="HAH983" s="337"/>
      <c r="HAI983" s="336"/>
      <c r="HAJ983" s="337"/>
      <c r="HAK983" s="336"/>
      <c r="HAL983" s="337"/>
      <c r="HAM983" s="336"/>
      <c r="HAN983" s="337"/>
      <c r="HAO983" s="336"/>
      <c r="HAP983" s="337"/>
      <c r="HAQ983" s="336"/>
      <c r="HAR983" s="337"/>
      <c r="HAS983" s="336"/>
      <c r="HAT983" s="337"/>
      <c r="HAU983" s="336"/>
      <c r="HAV983" s="337"/>
      <c r="HAW983" s="336"/>
      <c r="HAX983" s="337"/>
      <c r="HAY983" s="336"/>
      <c r="HAZ983" s="337"/>
      <c r="HBA983" s="336"/>
      <c r="HBB983" s="337"/>
      <c r="HBC983" s="336"/>
      <c r="HBD983" s="337"/>
      <c r="HBE983" s="336"/>
      <c r="HBF983" s="337"/>
      <c r="HBG983" s="336"/>
      <c r="HBH983" s="337"/>
      <c r="HBI983" s="336"/>
      <c r="HBJ983" s="337"/>
      <c r="HBK983" s="336"/>
      <c r="HBL983" s="337"/>
      <c r="HBM983" s="336"/>
      <c r="HBN983" s="337"/>
      <c r="HBO983" s="336"/>
      <c r="HBP983" s="337"/>
      <c r="HBQ983" s="336"/>
      <c r="HBR983" s="337"/>
      <c r="HBS983" s="336"/>
      <c r="HBT983" s="337"/>
      <c r="HBU983" s="336"/>
      <c r="HBV983" s="337"/>
      <c r="HBW983" s="336"/>
      <c r="HBX983" s="337"/>
      <c r="HBY983" s="336"/>
      <c r="HBZ983" s="337"/>
      <c r="HCA983" s="336"/>
      <c r="HCB983" s="337"/>
      <c r="HCC983" s="336"/>
      <c r="HCD983" s="337"/>
      <c r="HCE983" s="336"/>
      <c r="HCF983" s="337"/>
      <c r="HCG983" s="336"/>
      <c r="HCH983" s="337"/>
      <c r="HCI983" s="336"/>
      <c r="HCJ983" s="337"/>
      <c r="HCK983" s="336"/>
      <c r="HCL983" s="337"/>
      <c r="HCM983" s="336"/>
      <c r="HCN983" s="337"/>
      <c r="HCO983" s="336"/>
      <c r="HCP983" s="337"/>
      <c r="HCQ983" s="336"/>
      <c r="HCR983" s="337"/>
      <c r="HCS983" s="336"/>
      <c r="HCT983" s="337"/>
      <c r="HCU983" s="336"/>
      <c r="HCV983" s="337"/>
      <c r="HCW983" s="336"/>
      <c r="HCX983" s="337"/>
      <c r="HCY983" s="336"/>
      <c r="HCZ983" s="337"/>
      <c r="HDA983" s="336"/>
      <c r="HDB983" s="337"/>
      <c r="HDC983" s="336"/>
      <c r="HDD983" s="337"/>
      <c r="HDE983" s="336"/>
      <c r="HDF983" s="337"/>
      <c r="HDG983" s="336"/>
      <c r="HDH983" s="337"/>
      <c r="HDI983" s="336"/>
      <c r="HDJ983" s="337"/>
      <c r="HDK983" s="336"/>
      <c r="HDL983" s="337"/>
      <c r="HDM983" s="336"/>
      <c r="HDN983" s="337"/>
      <c r="HDO983" s="336"/>
      <c r="HDP983" s="337"/>
      <c r="HDQ983" s="336"/>
      <c r="HDR983" s="337"/>
      <c r="HDS983" s="336"/>
      <c r="HDT983" s="337"/>
      <c r="HDU983" s="336"/>
      <c r="HDV983" s="337"/>
      <c r="HDW983" s="336"/>
      <c r="HDX983" s="337"/>
      <c r="HDY983" s="336"/>
      <c r="HDZ983" s="337"/>
      <c r="HEA983" s="336"/>
      <c r="HEB983" s="337"/>
      <c r="HEC983" s="336"/>
      <c r="HED983" s="337"/>
      <c r="HEE983" s="336"/>
      <c r="HEF983" s="337"/>
      <c r="HEG983" s="336"/>
      <c r="HEH983" s="337"/>
      <c r="HEI983" s="336"/>
      <c r="HEJ983" s="337"/>
      <c r="HEK983" s="336"/>
      <c r="HEL983" s="337"/>
      <c r="HEM983" s="336"/>
      <c r="HEN983" s="337"/>
      <c r="HEO983" s="336"/>
      <c r="HEP983" s="337"/>
      <c r="HEQ983" s="336"/>
      <c r="HER983" s="337"/>
      <c r="HES983" s="336"/>
      <c r="HET983" s="337"/>
      <c r="HEU983" s="336"/>
      <c r="HEV983" s="337"/>
      <c r="HEW983" s="336"/>
      <c r="HEX983" s="337"/>
      <c r="HEY983" s="336"/>
      <c r="HEZ983" s="337"/>
      <c r="HFA983" s="336"/>
      <c r="HFB983" s="337"/>
      <c r="HFC983" s="336"/>
      <c r="HFD983" s="337"/>
      <c r="HFE983" s="336"/>
      <c r="HFF983" s="337"/>
      <c r="HFG983" s="336"/>
      <c r="HFH983" s="337"/>
      <c r="HFI983" s="336"/>
      <c r="HFJ983" s="337"/>
      <c r="HFK983" s="336"/>
      <c r="HFL983" s="337"/>
      <c r="HFM983" s="336"/>
      <c r="HFN983" s="337"/>
      <c r="HFO983" s="336"/>
      <c r="HFP983" s="337"/>
      <c r="HFQ983" s="336"/>
      <c r="HFR983" s="337"/>
      <c r="HFS983" s="336"/>
      <c r="HFT983" s="337"/>
      <c r="HFU983" s="336"/>
      <c r="HFV983" s="337"/>
      <c r="HFW983" s="336"/>
      <c r="HFX983" s="337"/>
      <c r="HFY983" s="336"/>
      <c r="HFZ983" s="337"/>
      <c r="HGA983" s="336"/>
      <c r="HGB983" s="337"/>
      <c r="HGC983" s="336"/>
      <c r="HGD983" s="337"/>
      <c r="HGE983" s="336"/>
      <c r="HGF983" s="337"/>
      <c r="HGG983" s="336"/>
      <c r="HGH983" s="337"/>
      <c r="HGI983" s="336"/>
      <c r="HGJ983" s="337"/>
      <c r="HGK983" s="336"/>
      <c r="HGL983" s="337"/>
      <c r="HGM983" s="336"/>
      <c r="HGN983" s="337"/>
      <c r="HGO983" s="336"/>
      <c r="HGP983" s="337"/>
      <c r="HGQ983" s="336"/>
      <c r="HGR983" s="337"/>
      <c r="HGS983" s="336"/>
      <c r="HGT983" s="337"/>
      <c r="HGU983" s="336"/>
      <c r="HGV983" s="337"/>
      <c r="HGW983" s="336"/>
      <c r="HGX983" s="337"/>
      <c r="HGY983" s="336"/>
      <c r="HGZ983" s="337"/>
      <c r="HHA983" s="336"/>
      <c r="HHB983" s="337"/>
      <c r="HHC983" s="336"/>
      <c r="HHD983" s="337"/>
      <c r="HHE983" s="336"/>
      <c r="HHF983" s="337"/>
      <c r="HHG983" s="336"/>
      <c r="HHH983" s="337"/>
      <c r="HHI983" s="336"/>
      <c r="HHJ983" s="337"/>
      <c r="HHK983" s="336"/>
      <c r="HHL983" s="337"/>
      <c r="HHM983" s="336"/>
      <c r="HHN983" s="337"/>
      <c r="HHO983" s="336"/>
      <c r="HHP983" s="337"/>
      <c r="HHQ983" s="336"/>
      <c r="HHR983" s="337"/>
      <c r="HHS983" s="336"/>
      <c r="HHT983" s="337"/>
      <c r="HHU983" s="336"/>
      <c r="HHV983" s="337"/>
      <c r="HHW983" s="336"/>
      <c r="HHX983" s="337"/>
      <c r="HHY983" s="336"/>
      <c r="HHZ983" s="337"/>
      <c r="HIA983" s="336"/>
      <c r="HIB983" s="337"/>
      <c r="HIC983" s="336"/>
      <c r="HID983" s="337"/>
      <c r="HIE983" s="336"/>
      <c r="HIF983" s="337"/>
      <c r="HIG983" s="336"/>
      <c r="HIH983" s="337"/>
      <c r="HII983" s="336"/>
      <c r="HIJ983" s="337"/>
      <c r="HIK983" s="336"/>
      <c r="HIL983" s="337"/>
      <c r="HIM983" s="336"/>
      <c r="HIN983" s="337"/>
      <c r="HIO983" s="336"/>
      <c r="HIP983" s="337"/>
      <c r="HIQ983" s="336"/>
      <c r="HIR983" s="337"/>
      <c r="HIS983" s="336"/>
      <c r="HIT983" s="337"/>
      <c r="HIU983" s="336"/>
      <c r="HIV983" s="337"/>
      <c r="HIW983" s="336"/>
      <c r="HIX983" s="337"/>
      <c r="HIY983" s="336"/>
      <c r="HIZ983" s="337"/>
      <c r="HJA983" s="336"/>
      <c r="HJB983" s="337"/>
      <c r="HJC983" s="336"/>
      <c r="HJD983" s="337"/>
      <c r="HJE983" s="336"/>
      <c r="HJF983" s="337"/>
      <c r="HJG983" s="336"/>
      <c r="HJH983" s="337"/>
      <c r="HJI983" s="336"/>
      <c r="HJJ983" s="337"/>
      <c r="HJK983" s="336"/>
      <c r="HJL983" s="337"/>
      <c r="HJM983" s="336"/>
      <c r="HJN983" s="337"/>
      <c r="HJO983" s="336"/>
      <c r="HJP983" s="337"/>
      <c r="HJQ983" s="336"/>
      <c r="HJR983" s="337"/>
      <c r="HJS983" s="336"/>
      <c r="HJT983" s="337"/>
      <c r="HJU983" s="336"/>
      <c r="HJV983" s="337"/>
      <c r="HJW983" s="336"/>
      <c r="HJX983" s="337"/>
      <c r="HJY983" s="336"/>
      <c r="HJZ983" s="337"/>
      <c r="HKA983" s="336"/>
      <c r="HKB983" s="337"/>
      <c r="HKC983" s="336"/>
      <c r="HKD983" s="337"/>
      <c r="HKE983" s="336"/>
      <c r="HKF983" s="337"/>
      <c r="HKG983" s="336"/>
      <c r="HKH983" s="337"/>
      <c r="HKI983" s="336"/>
      <c r="HKJ983" s="337"/>
      <c r="HKK983" s="336"/>
      <c r="HKL983" s="337"/>
      <c r="HKM983" s="336"/>
      <c r="HKN983" s="337"/>
      <c r="HKO983" s="336"/>
      <c r="HKP983" s="337"/>
      <c r="HKQ983" s="336"/>
      <c r="HKR983" s="337"/>
      <c r="HKS983" s="336"/>
      <c r="HKT983" s="337"/>
      <c r="HKU983" s="336"/>
      <c r="HKV983" s="337"/>
      <c r="HKW983" s="336"/>
      <c r="HKX983" s="337"/>
      <c r="HKY983" s="336"/>
      <c r="HKZ983" s="337"/>
      <c r="HLA983" s="336"/>
      <c r="HLB983" s="337"/>
      <c r="HLC983" s="336"/>
      <c r="HLD983" s="337"/>
      <c r="HLE983" s="336"/>
      <c r="HLF983" s="337"/>
      <c r="HLG983" s="336"/>
      <c r="HLH983" s="337"/>
      <c r="HLI983" s="336"/>
      <c r="HLJ983" s="337"/>
      <c r="HLK983" s="336"/>
      <c r="HLL983" s="337"/>
      <c r="HLM983" s="336"/>
      <c r="HLN983" s="337"/>
      <c r="HLO983" s="336"/>
      <c r="HLP983" s="337"/>
      <c r="HLQ983" s="336"/>
      <c r="HLR983" s="337"/>
      <c r="HLS983" s="336"/>
      <c r="HLT983" s="337"/>
      <c r="HLU983" s="336"/>
      <c r="HLV983" s="337"/>
      <c r="HLW983" s="336"/>
      <c r="HLX983" s="337"/>
      <c r="HLY983" s="336"/>
      <c r="HLZ983" s="337"/>
      <c r="HMA983" s="336"/>
      <c r="HMB983" s="337"/>
      <c r="HMC983" s="336"/>
      <c r="HMD983" s="337"/>
      <c r="HME983" s="336"/>
      <c r="HMF983" s="337"/>
      <c r="HMG983" s="336"/>
      <c r="HMH983" s="337"/>
      <c r="HMI983" s="336"/>
      <c r="HMJ983" s="337"/>
      <c r="HMK983" s="336"/>
      <c r="HML983" s="337"/>
      <c r="HMM983" s="336"/>
      <c r="HMN983" s="337"/>
      <c r="HMO983" s="336"/>
      <c r="HMP983" s="337"/>
      <c r="HMQ983" s="336"/>
      <c r="HMR983" s="337"/>
      <c r="HMS983" s="336"/>
      <c r="HMT983" s="337"/>
      <c r="HMU983" s="336"/>
      <c r="HMV983" s="337"/>
      <c r="HMW983" s="336"/>
      <c r="HMX983" s="337"/>
      <c r="HMY983" s="336"/>
      <c r="HMZ983" s="337"/>
      <c r="HNA983" s="336"/>
      <c r="HNB983" s="337"/>
      <c r="HNC983" s="336"/>
      <c r="HND983" s="337"/>
      <c r="HNE983" s="336"/>
      <c r="HNF983" s="337"/>
      <c r="HNG983" s="336"/>
      <c r="HNH983" s="337"/>
      <c r="HNI983" s="336"/>
      <c r="HNJ983" s="337"/>
      <c r="HNK983" s="336"/>
      <c r="HNL983" s="337"/>
      <c r="HNM983" s="336"/>
      <c r="HNN983" s="337"/>
      <c r="HNO983" s="336"/>
      <c r="HNP983" s="337"/>
      <c r="HNQ983" s="336"/>
      <c r="HNR983" s="337"/>
      <c r="HNS983" s="336"/>
      <c r="HNT983" s="337"/>
      <c r="HNU983" s="336"/>
      <c r="HNV983" s="337"/>
      <c r="HNW983" s="336"/>
      <c r="HNX983" s="337"/>
      <c r="HNY983" s="336"/>
      <c r="HNZ983" s="337"/>
      <c r="HOA983" s="336"/>
      <c r="HOB983" s="337"/>
      <c r="HOC983" s="336"/>
      <c r="HOD983" s="337"/>
      <c r="HOE983" s="336"/>
      <c r="HOF983" s="337"/>
      <c r="HOG983" s="336"/>
      <c r="HOH983" s="337"/>
      <c r="HOI983" s="336"/>
      <c r="HOJ983" s="337"/>
      <c r="HOK983" s="336"/>
      <c r="HOL983" s="337"/>
      <c r="HOM983" s="336"/>
      <c r="HON983" s="337"/>
      <c r="HOO983" s="336"/>
      <c r="HOP983" s="337"/>
      <c r="HOQ983" s="336"/>
      <c r="HOR983" s="337"/>
      <c r="HOS983" s="336"/>
      <c r="HOT983" s="337"/>
      <c r="HOU983" s="336"/>
      <c r="HOV983" s="337"/>
      <c r="HOW983" s="336"/>
      <c r="HOX983" s="337"/>
      <c r="HOY983" s="336"/>
      <c r="HOZ983" s="337"/>
      <c r="HPA983" s="336"/>
      <c r="HPB983" s="337"/>
      <c r="HPC983" s="336"/>
      <c r="HPD983" s="337"/>
      <c r="HPE983" s="336"/>
      <c r="HPF983" s="337"/>
      <c r="HPG983" s="336"/>
      <c r="HPH983" s="337"/>
      <c r="HPI983" s="336"/>
      <c r="HPJ983" s="337"/>
      <c r="HPK983" s="336"/>
      <c r="HPL983" s="337"/>
      <c r="HPM983" s="336"/>
      <c r="HPN983" s="337"/>
      <c r="HPO983" s="336"/>
      <c r="HPP983" s="337"/>
      <c r="HPQ983" s="336"/>
      <c r="HPR983" s="337"/>
      <c r="HPS983" s="336"/>
      <c r="HPT983" s="337"/>
      <c r="HPU983" s="336"/>
      <c r="HPV983" s="337"/>
      <c r="HPW983" s="336"/>
      <c r="HPX983" s="337"/>
      <c r="HPY983" s="336"/>
      <c r="HPZ983" s="337"/>
      <c r="HQA983" s="336"/>
      <c r="HQB983" s="337"/>
      <c r="HQC983" s="336"/>
      <c r="HQD983" s="337"/>
      <c r="HQE983" s="336"/>
      <c r="HQF983" s="337"/>
      <c r="HQG983" s="336"/>
      <c r="HQH983" s="337"/>
      <c r="HQI983" s="336"/>
      <c r="HQJ983" s="337"/>
      <c r="HQK983" s="336"/>
      <c r="HQL983" s="337"/>
      <c r="HQM983" s="336"/>
      <c r="HQN983" s="337"/>
      <c r="HQO983" s="336"/>
      <c r="HQP983" s="337"/>
      <c r="HQQ983" s="336"/>
      <c r="HQR983" s="337"/>
      <c r="HQS983" s="336"/>
      <c r="HQT983" s="337"/>
      <c r="HQU983" s="336"/>
      <c r="HQV983" s="337"/>
      <c r="HQW983" s="336"/>
      <c r="HQX983" s="337"/>
      <c r="HQY983" s="336"/>
      <c r="HQZ983" s="337"/>
      <c r="HRA983" s="336"/>
      <c r="HRB983" s="337"/>
      <c r="HRC983" s="336"/>
      <c r="HRD983" s="337"/>
      <c r="HRE983" s="336"/>
      <c r="HRF983" s="337"/>
      <c r="HRG983" s="336"/>
      <c r="HRH983" s="337"/>
      <c r="HRI983" s="336"/>
      <c r="HRJ983" s="337"/>
      <c r="HRK983" s="336"/>
      <c r="HRL983" s="337"/>
      <c r="HRM983" s="336"/>
      <c r="HRN983" s="337"/>
      <c r="HRO983" s="336"/>
      <c r="HRP983" s="337"/>
      <c r="HRQ983" s="336"/>
      <c r="HRR983" s="337"/>
      <c r="HRS983" s="336"/>
      <c r="HRT983" s="337"/>
      <c r="HRU983" s="336"/>
      <c r="HRV983" s="337"/>
      <c r="HRW983" s="336"/>
      <c r="HRX983" s="337"/>
      <c r="HRY983" s="336"/>
      <c r="HRZ983" s="337"/>
      <c r="HSA983" s="336"/>
      <c r="HSB983" s="337"/>
      <c r="HSC983" s="336"/>
      <c r="HSD983" s="337"/>
      <c r="HSE983" s="336"/>
      <c r="HSF983" s="337"/>
      <c r="HSG983" s="336"/>
      <c r="HSH983" s="337"/>
      <c r="HSI983" s="336"/>
      <c r="HSJ983" s="337"/>
      <c r="HSK983" s="336"/>
      <c r="HSL983" s="337"/>
      <c r="HSM983" s="336"/>
      <c r="HSN983" s="337"/>
      <c r="HSO983" s="336"/>
      <c r="HSP983" s="337"/>
      <c r="HSQ983" s="336"/>
      <c r="HSR983" s="337"/>
      <c r="HSS983" s="336"/>
      <c r="HST983" s="337"/>
      <c r="HSU983" s="336"/>
      <c r="HSV983" s="337"/>
      <c r="HSW983" s="336"/>
      <c r="HSX983" s="337"/>
      <c r="HSY983" s="336"/>
      <c r="HSZ983" s="337"/>
      <c r="HTA983" s="336"/>
      <c r="HTB983" s="337"/>
      <c r="HTC983" s="336"/>
      <c r="HTD983" s="337"/>
      <c r="HTE983" s="336"/>
      <c r="HTF983" s="337"/>
      <c r="HTG983" s="336"/>
      <c r="HTH983" s="337"/>
      <c r="HTI983" s="336"/>
      <c r="HTJ983" s="337"/>
      <c r="HTK983" s="336"/>
      <c r="HTL983" s="337"/>
      <c r="HTM983" s="336"/>
      <c r="HTN983" s="337"/>
      <c r="HTO983" s="336"/>
      <c r="HTP983" s="337"/>
      <c r="HTQ983" s="336"/>
      <c r="HTR983" s="337"/>
      <c r="HTS983" s="336"/>
      <c r="HTT983" s="337"/>
      <c r="HTU983" s="336"/>
      <c r="HTV983" s="337"/>
      <c r="HTW983" s="336"/>
      <c r="HTX983" s="337"/>
      <c r="HTY983" s="336"/>
      <c r="HTZ983" s="337"/>
      <c r="HUA983" s="336"/>
      <c r="HUB983" s="337"/>
      <c r="HUC983" s="336"/>
      <c r="HUD983" s="337"/>
      <c r="HUE983" s="336"/>
      <c r="HUF983" s="337"/>
      <c r="HUG983" s="336"/>
      <c r="HUH983" s="337"/>
      <c r="HUI983" s="336"/>
      <c r="HUJ983" s="337"/>
      <c r="HUK983" s="336"/>
      <c r="HUL983" s="337"/>
      <c r="HUM983" s="336"/>
      <c r="HUN983" s="337"/>
      <c r="HUO983" s="336"/>
      <c r="HUP983" s="337"/>
      <c r="HUQ983" s="336"/>
      <c r="HUR983" s="337"/>
      <c r="HUS983" s="336"/>
      <c r="HUT983" s="337"/>
      <c r="HUU983" s="336"/>
      <c r="HUV983" s="337"/>
      <c r="HUW983" s="336"/>
      <c r="HUX983" s="337"/>
      <c r="HUY983" s="336"/>
      <c r="HUZ983" s="337"/>
      <c r="HVA983" s="336"/>
      <c r="HVB983" s="337"/>
      <c r="HVC983" s="336"/>
      <c r="HVD983" s="337"/>
      <c r="HVE983" s="336"/>
      <c r="HVF983" s="337"/>
      <c r="HVG983" s="336"/>
      <c r="HVH983" s="337"/>
      <c r="HVI983" s="336"/>
      <c r="HVJ983" s="337"/>
      <c r="HVK983" s="336"/>
      <c r="HVL983" s="337"/>
      <c r="HVM983" s="336"/>
      <c r="HVN983" s="337"/>
      <c r="HVO983" s="336"/>
      <c r="HVP983" s="337"/>
      <c r="HVQ983" s="336"/>
      <c r="HVR983" s="337"/>
      <c r="HVS983" s="336"/>
      <c r="HVT983" s="337"/>
      <c r="HVU983" s="336"/>
      <c r="HVV983" s="337"/>
      <c r="HVW983" s="336"/>
      <c r="HVX983" s="337"/>
      <c r="HVY983" s="336"/>
      <c r="HVZ983" s="337"/>
      <c r="HWA983" s="336"/>
      <c r="HWB983" s="337"/>
      <c r="HWC983" s="336"/>
      <c r="HWD983" s="337"/>
      <c r="HWE983" s="336"/>
      <c r="HWF983" s="337"/>
      <c r="HWG983" s="336"/>
      <c r="HWH983" s="337"/>
      <c r="HWI983" s="336"/>
      <c r="HWJ983" s="337"/>
      <c r="HWK983" s="336"/>
      <c r="HWL983" s="337"/>
      <c r="HWM983" s="336"/>
      <c r="HWN983" s="337"/>
      <c r="HWO983" s="336"/>
      <c r="HWP983" s="337"/>
      <c r="HWQ983" s="336"/>
      <c r="HWR983" s="337"/>
      <c r="HWS983" s="336"/>
      <c r="HWT983" s="337"/>
      <c r="HWU983" s="336"/>
      <c r="HWV983" s="337"/>
      <c r="HWW983" s="336"/>
      <c r="HWX983" s="337"/>
      <c r="HWY983" s="336"/>
      <c r="HWZ983" s="337"/>
      <c r="HXA983" s="336"/>
      <c r="HXB983" s="337"/>
      <c r="HXC983" s="336"/>
      <c r="HXD983" s="337"/>
      <c r="HXE983" s="336"/>
      <c r="HXF983" s="337"/>
      <c r="HXG983" s="336"/>
      <c r="HXH983" s="337"/>
      <c r="HXI983" s="336"/>
      <c r="HXJ983" s="337"/>
      <c r="HXK983" s="336"/>
      <c r="HXL983" s="337"/>
      <c r="HXM983" s="336"/>
      <c r="HXN983" s="337"/>
      <c r="HXO983" s="336"/>
      <c r="HXP983" s="337"/>
      <c r="HXQ983" s="336"/>
      <c r="HXR983" s="337"/>
      <c r="HXS983" s="336"/>
      <c r="HXT983" s="337"/>
      <c r="HXU983" s="336"/>
      <c r="HXV983" s="337"/>
      <c r="HXW983" s="336"/>
      <c r="HXX983" s="337"/>
      <c r="HXY983" s="336"/>
      <c r="HXZ983" s="337"/>
      <c r="HYA983" s="336"/>
      <c r="HYB983" s="337"/>
      <c r="HYC983" s="336"/>
      <c r="HYD983" s="337"/>
      <c r="HYE983" s="336"/>
      <c r="HYF983" s="337"/>
      <c r="HYG983" s="336"/>
      <c r="HYH983" s="337"/>
      <c r="HYI983" s="336"/>
      <c r="HYJ983" s="337"/>
      <c r="HYK983" s="336"/>
      <c r="HYL983" s="337"/>
      <c r="HYM983" s="336"/>
      <c r="HYN983" s="337"/>
      <c r="HYO983" s="336"/>
      <c r="HYP983" s="337"/>
      <c r="HYQ983" s="336"/>
      <c r="HYR983" s="337"/>
      <c r="HYS983" s="336"/>
      <c r="HYT983" s="337"/>
      <c r="HYU983" s="336"/>
      <c r="HYV983" s="337"/>
      <c r="HYW983" s="336"/>
      <c r="HYX983" s="337"/>
      <c r="HYY983" s="336"/>
      <c r="HYZ983" s="337"/>
      <c r="HZA983" s="336"/>
      <c r="HZB983" s="337"/>
      <c r="HZC983" s="336"/>
      <c r="HZD983" s="337"/>
      <c r="HZE983" s="336"/>
      <c r="HZF983" s="337"/>
      <c r="HZG983" s="336"/>
      <c r="HZH983" s="337"/>
      <c r="HZI983" s="336"/>
      <c r="HZJ983" s="337"/>
      <c r="HZK983" s="336"/>
      <c r="HZL983" s="337"/>
      <c r="HZM983" s="336"/>
      <c r="HZN983" s="337"/>
      <c r="HZO983" s="336"/>
      <c r="HZP983" s="337"/>
      <c r="HZQ983" s="336"/>
      <c r="HZR983" s="337"/>
      <c r="HZS983" s="336"/>
      <c r="HZT983" s="337"/>
      <c r="HZU983" s="336"/>
      <c r="HZV983" s="337"/>
      <c r="HZW983" s="336"/>
      <c r="HZX983" s="337"/>
      <c r="HZY983" s="336"/>
      <c r="HZZ983" s="337"/>
      <c r="IAA983" s="336"/>
      <c r="IAB983" s="337"/>
      <c r="IAC983" s="336"/>
      <c r="IAD983" s="337"/>
      <c r="IAE983" s="336"/>
      <c r="IAF983" s="337"/>
      <c r="IAG983" s="336"/>
      <c r="IAH983" s="337"/>
      <c r="IAI983" s="336"/>
      <c r="IAJ983" s="337"/>
      <c r="IAK983" s="336"/>
      <c r="IAL983" s="337"/>
      <c r="IAM983" s="336"/>
      <c r="IAN983" s="337"/>
      <c r="IAO983" s="336"/>
      <c r="IAP983" s="337"/>
      <c r="IAQ983" s="336"/>
      <c r="IAR983" s="337"/>
      <c r="IAS983" s="336"/>
      <c r="IAT983" s="337"/>
      <c r="IAU983" s="336"/>
      <c r="IAV983" s="337"/>
      <c r="IAW983" s="336"/>
      <c r="IAX983" s="337"/>
      <c r="IAY983" s="336"/>
      <c r="IAZ983" s="337"/>
      <c r="IBA983" s="336"/>
      <c r="IBB983" s="337"/>
      <c r="IBC983" s="336"/>
      <c r="IBD983" s="337"/>
      <c r="IBE983" s="336"/>
      <c r="IBF983" s="337"/>
      <c r="IBG983" s="336"/>
      <c r="IBH983" s="337"/>
      <c r="IBI983" s="336"/>
      <c r="IBJ983" s="337"/>
      <c r="IBK983" s="336"/>
      <c r="IBL983" s="337"/>
      <c r="IBM983" s="336"/>
      <c r="IBN983" s="337"/>
      <c r="IBO983" s="336"/>
      <c r="IBP983" s="337"/>
      <c r="IBQ983" s="336"/>
      <c r="IBR983" s="337"/>
      <c r="IBS983" s="336"/>
      <c r="IBT983" s="337"/>
      <c r="IBU983" s="336"/>
      <c r="IBV983" s="337"/>
      <c r="IBW983" s="336"/>
      <c r="IBX983" s="337"/>
      <c r="IBY983" s="336"/>
      <c r="IBZ983" s="337"/>
      <c r="ICA983" s="336"/>
      <c r="ICB983" s="337"/>
      <c r="ICC983" s="336"/>
      <c r="ICD983" s="337"/>
      <c r="ICE983" s="336"/>
      <c r="ICF983" s="337"/>
      <c r="ICG983" s="336"/>
      <c r="ICH983" s="337"/>
      <c r="ICI983" s="336"/>
      <c r="ICJ983" s="337"/>
      <c r="ICK983" s="336"/>
      <c r="ICL983" s="337"/>
      <c r="ICM983" s="336"/>
      <c r="ICN983" s="337"/>
      <c r="ICO983" s="336"/>
      <c r="ICP983" s="337"/>
      <c r="ICQ983" s="336"/>
      <c r="ICR983" s="337"/>
      <c r="ICS983" s="336"/>
      <c r="ICT983" s="337"/>
      <c r="ICU983" s="336"/>
      <c r="ICV983" s="337"/>
      <c r="ICW983" s="336"/>
      <c r="ICX983" s="337"/>
      <c r="ICY983" s="336"/>
      <c r="ICZ983" s="337"/>
      <c r="IDA983" s="336"/>
      <c r="IDB983" s="337"/>
      <c r="IDC983" s="336"/>
      <c r="IDD983" s="337"/>
      <c r="IDE983" s="336"/>
      <c r="IDF983" s="337"/>
      <c r="IDG983" s="336"/>
      <c r="IDH983" s="337"/>
      <c r="IDI983" s="336"/>
      <c r="IDJ983" s="337"/>
      <c r="IDK983" s="336"/>
      <c r="IDL983" s="337"/>
      <c r="IDM983" s="336"/>
      <c r="IDN983" s="337"/>
      <c r="IDO983" s="336"/>
      <c r="IDP983" s="337"/>
      <c r="IDQ983" s="336"/>
      <c r="IDR983" s="337"/>
      <c r="IDS983" s="336"/>
      <c r="IDT983" s="337"/>
      <c r="IDU983" s="336"/>
      <c r="IDV983" s="337"/>
      <c r="IDW983" s="336"/>
      <c r="IDX983" s="337"/>
      <c r="IDY983" s="336"/>
      <c r="IDZ983" s="337"/>
      <c r="IEA983" s="336"/>
      <c r="IEB983" s="337"/>
      <c r="IEC983" s="336"/>
      <c r="IED983" s="337"/>
      <c r="IEE983" s="336"/>
      <c r="IEF983" s="337"/>
      <c r="IEG983" s="336"/>
      <c r="IEH983" s="337"/>
      <c r="IEI983" s="336"/>
      <c r="IEJ983" s="337"/>
      <c r="IEK983" s="336"/>
      <c r="IEL983" s="337"/>
      <c r="IEM983" s="336"/>
      <c r="IEN983" s="337"/>
      <c r="IEO983" s="336"/>
      <c r="IEP983" s="337"/>
      <c r="IEQ983" s="336"/>
      <c r="IER983" s="337"/>
      <c r="IES983" s="336"/>
      <c r="IET983" s="337"/>
      <c r="IEU983" s="336"/>
      <c r="IEV983" s="337"/>
      <c r="IEW983" s="336"/>
      <c r="IEX983" s="337"/>
      <c r="IEY983" s="336"/>
      <c r="IEZ983" s="337"/>
      <c r="IFA983" s="336"/>
      <c r="IFB983" s="337"/>
      <c r="IFC983" s="336"/>
      <c r="IFD983" s="337"/>
      <c r="IFE983" s="336"/>
      <c r="IFF983" s="337"/>
      <c r="IFG983" s="336"/>
      <c r="IFH983" s="337"/>
      <c r="IFI983" s="336"/>
      <c r="IFJ983" s="337"/>
      <c r="IFK983" s="336"/>
      <c r="IFL983" s="337"/>
      <c r="IFM983" s="336"/>
      <c r="IFN983" s="337"/>
      <c r="IFO983" s="336"/>
      <c r="IFP983" s="337"/>
      <c r="IFQ983" s="336"/>
      <c r="IFR983" s="337"/>
      <c r="IFS983" s="336"/>
      <c r="IFT983" s="337"/>
      <c r="IFU983" s="336"/>
      <c r="IFV983" s="337"/>
      <c r="IFW983" s="336"/>
      <c r="IFX983" s="337"/>
      <c r="IFY983" s="336"/>
      <c r="IFZ983" s="337"/>
      <c r="IGA983" s="336"/>
      <c r="IGB983" s="337"/>
      <c r="IGC983" s="336"/>
      <c r="IGD983" s="337"/>
      <c r="IGE983" s="336"/>
      <c r="IGF983" s="337"/>
      <c r="IGG983" s="336"/>
      <c r="IGH983" s="337"/>
      <c r="IGI983" s="336"/>
      <c r="IGJ983" s="337"/>
      <c r="IGK983" s="336"/>
      <c r="IGL983" s="337"/>
      <c r="IGM983" s="336"/>
      <c r="IGN983" s="337"/>
      <c r="IGO983" s="336"/>
      <c r="IGP983" s="337"/>
      <c r="IGQ983" s="336"/>
      <c r="IGR983" s="337"/>
      <c r="IGS983" s="336"/>
      <c r="IGT983" s="337"/>
      <c r="IGU983" s="336"/>
      <c r="IGV983" s="337"/>
      <c r="IGW983" s="336"/>
      <c r="IGX983" s="337"/>
      <c r="IGY983" s="336"/>
      <c r="IGZ983" s="337"/>
      <c r="IHA983" s="336"/>
      <c r="IHB983" s="337"/>
      <c r="IHC983" s="336"/>
      <c r="IHD983" s="337"/>
      <c r="IHE983" s="336"/>
      <c r="IHF983" s="337"/>
      <c r="IHG983" s="336"/>
      <c r="IHH983" s="337"/>
      <c r="IHI983" s="336"/>
      <c r="IHJ983" s="337"/>
      <c r="IHK983" s="336"/>
      <c r="IHL983" s="337"/>
      <c r="IHM983" s="336"/>
      <c r="IHN983" s="337"/>
      <c r="IHO983" s="336"/>
      <c r="IHP983" s="337"/>
      <c r="IHQ983" s="336"/>
      <c r="IHR983" s="337"/>
      <c r="IHS983" s="336"/>
      <c r="IHT983" s="337"/>
      <c r="IHU983" s="336"/>
      <c r="IHV983" s="337"/>
      <c r="IHW983" s="336"/>
      <c r="IHX983" s="337"/>
      <c r="IHY983" s="336"/>
      <c r="IHZ983" s="337"/>
      <c r="IIA983" s="336"/>
      <c r="IIB983" s="337"/>
      <c r="IIC983" s="336"/>
      <c r="IID983" s="337"/>
      <c r="IIE983" s="336"/>
      <c r="IIF983" s="337"/>
      <c r="IIG983" s="336"/>
      <c r="IIH983" s="337"/>
      <c r="III983" s="336"/>
      <c r="IIJ983" s="337"/>
      <c r="IIK983" s="336"/>
      <c r="IIL983" s="337"/>
      <c r="IIM983" s="336"/>
      <c r="IIN983" s="337"/>
      <c r="IIO983" s="336"/>
      <c r="IIP983" s="337"/>
      <c r="IIQ983" s="336"/>
      <c r="IIR983" s="337"/>
      <c r="IIS983" s="336"/>
      <c r="IIT983" s="337"/>
      <c r="IIU983" s="336"/>
      <c r="IIV983" s="337"/>
      <c r="IIW983" s="336"/>
      <c r="IIX983" s="337"/>
      <c r="IIY983" s="336"/>
      <c r="IIZ983" s="337"/>
      <c r="IJA983" s="336"/>
      <c r="IJB983" s="337"/>
      <c r="IJC983" s="336"/>
      <c r="IJD983" s="337"/>
      <c r="IJE983" s="336"/>
      <c r="IJF983" s="337"/>
      <c r="IJG983" s="336"/>
      <c r="IJH983" s="337"/>
      <c r="IJI983" s="336"/>
      <c r="IJJ983" s="337"/>
      <c r="IJK983" s="336"/>
      <c r="IJL983" s="337"/>
      <c r="IJM983" s="336"/>
      <c r="IJN983" s="337"/>
      <c r="IJO983" s="336"/>
      <c r="IJP983" s="337"/>
      <c r="IJQ983" s="336"/>
      <c r="IJR983" s="337"/>
      <c r="IJS983" s="336"/>
      <c r="IJT983" s="337"/>
      <c r="IJU983" s="336"/>
      <c r="IJV983" s="337"/>
      <c r="IJW983" s="336"/>
      <c r="IJX983" s="337"/>
      <c r="IJY983" s="336"/>
      <c r="IJZ983" s="337"/>
      <c r="IKA983" s="336"/>
      <c r="IKB983" s="337"/>
      <c r="IKC983" s="336"/>
      <c r="IKD983" s="337"/>
      <c r="IKE983" s="336"/>
      <c r="IKF983" s="337"/>
      <c r="IKG983" s="336"/>
      <c r="IKH983" s="337"/>
      <c r="IKI983" s="336"/>
      <c r="IKJ983" s="337"/>
      <c r="IKK983" s="336"/>
      <c r="IKL983" s="337"/>
      <c r="IKM983" s="336"/>
      <c r="IKN983" s="337"/>
      <c r="IKO983" s="336"/>
      <c r="IKP983" s="337"/>
      <c r="IKQ983" s="336"/>
      <c r="IKR983" s="337"/>
      <c r="IKS983" s="336"/>
      <c r="IKT983" s="337"/>
      <c r="IKU983" s="336"/>
      <c r="IKV983" s="337"/>
      <c r="IKW983" s="336"/>
      <c r="IKX983" s="337"/>
      <c r="IKY983" s="336"/>
      <c r="IKZ983" s="337"/>
      <c r="ILA983" s="336"/>
      <c r="ILB983" s="337"/>
      <c r="ILC983" s="336"/>
      <c r="ILD983" s="337"/>
      <c r="ILE983" s="336"/>
      <c r="ILF983" s="337"/>
      <c r="ILG983" s="336"/>
      <c r="ILH983" s="337"/>
      <c r="ILI983" s="336"/>
      <c r="ILJ983" s="337"/>
      <c r="ILK983" s="336"/>
      <c r="ILL983" s="337"/>
      <c r="ILM983" s="336"/>
      <c r="ILN983" s="337"/>
      <c r="ILO983" s="336"/>
      <c r="ILP983" s="337"/>
      <c r="ILQ983" s="336"/>
      <c r="ILR983" s="337"/>
      <c r="ILS983" s="336"/>
      <c r="ILT983" s="337"/>
      <c r="ILU983" s="336"/>
      <c r="ILV983" s="337"/>
      <c r="ILW983" s="336"/>
      <c r="ILX983" s="337"/>
      <c r="ILY983" s="336"/>
      <c r="ILZ983" s="337"/>
      <c r="IMA983" s="336"/>
      <c r="IMB983" s="337"/>
      <c r="IMC983" s="336"/>
      <c r="IMD983" s="337"/>
      <c r="IME983" s="336"/>
      <c r="IMF983" s="337"/>
      <c r="IMG983" s="336"/>
      <c r="IMH983" s="337"/>
      <c r="IMI983" s="336"/>
      <c r="IMJ983" s="337"/>
      <c r="IMK983" s="336"/>
      <c r="IML983" s="337"/>
      <c r="IMM983" s="336"/>
      <c r="IMN983" s="337"/>
      <c r="IMO983" s="336"/>
      <c r="IMP983" s="337"/>
      <c r="IMQ983" s="336"/>
      <c r="IMR983" s="337"/>
      <c r="IMS983" s="336"/>
      <c r="IMT983" s="337"/>
      <c r="IMU983" s="336"/>
      <c r="IMV983" s="337"/>
      <c r="IMW983" s="336"/>
      <c r="IMX983" s="337"/>
      <c r="IMY983" s="336"/>
      <c r="IMZ983" s="337"/>
      <c r="INA983" s="336"/>
      <c r="INB983" s="337"/>
      <c r="INC983" s="336"/>
      <c r="IND983" s="337"/>
      <c r="INE983" s="336"/>
      <c r="INF983" s="337"/>
      <c r="ING983" s="336"/>
      <c r="INH983" s="337"/>
      <c r="INI983" s="336"/>
      <c r="INJ983" s="337"/>
      <c r="INK983" s="336"/>
      <c r="INL983" s="337"/>
      <c r="INM983" s="336"/>
      <c r="INN983" s="337"/>
      <c r="INO983" s="336"/>
      <c r="INP983" s="337"/>
      <c r="INQ983" s="336"/>
      <c r="INR983" s="337"/>
      <c r="INS983" s="336"/>
      <c r="INT983" s="337"/>
      <c r="INU983" s="336"/>
      <c r="INV983" s="337"/>
      <c r="INW983" s="336"/>
      <c r="INX983" s="337"/>
      <c r="INY983" s="336"/>
      <c r="INZ983" s="337"/>
      <c r="IOA983" s="336"/>
      <c r="IOB983" s="337"/>
      <c r="IOC983" s="336"/>
      <c r="IOD983" s="337"/>
      <c r="IOE983" s="336"/>
      <c r="IOF983" s="337"/>
      <c r="IOG983" s="336"/>
      <c r="IOH983" s="337"/>
      <c r="IOI983" s="336"/>
      <c r="IOJ983" s="337"/>
      <c r="IOK983" s="336"/>
      <c r="IOL983" s="337"/>
      <c r="IOM983" s="336"/>
      <c r="ION983" s="337"/>
      <c r="IOO983" s="336"/>
      <c r="IOP983" s="337"/>
      <c r="IOQ983" s="336"/>
      <c r="IOR983" s="337"/>
      <c r="IOS983" s="336"/>
      <c r="IOT983" s="337"/>
      <c r="IOU983" s="336"/>
      <c r="IOV983" s="337"/>
      <c r="IOW983" s="336"/>
      <c r="IOX983" s="337"/>
      <c r="IOY983" s="336"/>
      <c r="IOZ983" s="337"/>
      <c r="IPA983" s="336"/>
      <c r="IPB983" s="337"/>
      <c r="IPC983" s="336"/>
      <c r="IPD983" s="337"/>
      <c r="IPE983" s="336"/>
      <c r="IPF983" s="337"/>
      <c r="IPG983" s="336"/>
      <c r="IPH983" s="337"/>
      <c r="IPI983" s="336"/>
      <c r="IPJ983" s="337"/>
      <c r="IPK983" s="336"/>
      <c r="IPL983" s="337"/>
      <c r="IPM983" s="336"/>
      <c r="IPN983" s="337"/>
      <c r="IPO983" s="336"/>
      <c r="IPP983" s="337"/>
      <c r="IPQ983" s="336"/>
      <c r="IPR983" s="337"/>
      <c r="IPS983" s="336"/>
      <c r="IPT983" s="337"/>
      <c r="IPU983" s="336"/>
      <c r="IPV983" s="337"/>
      <c r="IPW983" s="336"/>
      <c r="IPX983" s="337"/>
      <c r="IPY983" s="336"/>
      <c r="IPZ983" s="337"/>
      <c r="IQA983" s="336"/>
      <c r="IQB983" s="337"/>
      <c r="IQC983" s="336"/>
      <c r="IQD983" s="337"/>
      <c r="IQE983" s="336"/>
      <c r="IQF983" s="337"/>
      <c r="IQG983" s="336"/>
      <c r="IQH983" s="337"/>
      <c r="IQI983" s="336"/>
      <c r="IQJ983" s="337"/>
      <c r="IQK983" s="336"/>
      <c r="IQL983" s="337"/>
      <c r="IQM983" s="336"/>
      <c r="IQN983" s="337"/>
      <c r="IQO983" s="336"/>
      <c r="IQP983" s="337"/>
      <c r="IQQ983" s="336"/>
      <c r="IQR983" s="337"/>
      <c r="IQS983" s="336"/>
      <c r="IQT983" s="337"/>
      <c r="IQU983" s="336"/>
      <c r="IQV983" s="337"/>
      <c r="IQW983" s="336"/>
      <c r="IQX983" s="337"/>
      <c r="IQY983" s="336"/>
      <c r="IQZ983" s="337"/>
      <c r="IRA983" s="336"/>
      <c r="IRB983" s="337"/>
      <c r="IRC983" s="336"/>
      <c r="IRD983" s="337"/>
      <c r="IRE983" s="336"/>
      <c r="IRF983" s="337"/>
      <c r="IRG983" s="336"/>
      <c r="IRH983" s="337"/>
      <c r="IRI983" s="336"/>
      <c r="IRJ983" s="337"/>
      <c r="IRK983" s="336"/>
      <c r="IRL983" s="337"/>
      <c r="IRM983" s="336"/>
      <c r="IRN983" s="337"/>
      <c r="IRO983" s="336"/>
      <c r="IRP983" s="337"/>
      <c r="IRQ983" s="336"/>
      <c r="IRR983" s="337"/>
      <c r="IRS983" s="336"/>
      <c r="IRT983" s="337"/>
      <c r="IRU983" s="336"/>
      <c r="IRV983" s="337"/>
      <c r="IRW983" s="336"/>
      <c r="IRX983" s="337"/>
      <c r="IRY983" s="336"/>
      <c r="IRZ983" s="337"/>
      <c r="ISA983" s="336"/>
      <c r="ISB983" s="337"/>
      <c r="ISC983" s="336"/>
      <c r="ISD983" s="337"/>
      <c r="ISE983" s="336"/>
      <c r="ISF983" s="337"/>
      <c r="ISG983" s="336"/>
      <c r="ISH983" s="337"/>
      <c r="ISI983" s="336"/>
      <c r="ISJ983" s="337"/>
      <c r="ISK983" s="336"/>
      <c r="ISL983" s="337"/>
      <c r="ISM983" s="336"/>
      <c r="ISN983" s="337"/>
      <c r="ISO983" s="336"/>
      <c r="ISP983" s="337"/>
      <c r="ISQ983" s="336"/>
      <c r="ISR983" s="337"/>
      <c r="ISS983" s="336"/>
      <c r="IST983" s="337"/>
      <c r="ISU983" s="336"/>
      <c r="ISV983" s="337"/>
      <c r="ISW983" s="336"/>
      <c r="ISX983" s="337"/>
      <c r="ISY983" s="336"/>
      <c r="ISZ983" s="337"/>
      <c r="ITA983" s="336"/>
      <c r="ITB983" s="337"/>
      <c r="ITC983" s="336"/>
      <c r="ITD983" s="337"/>
      <c r="ITE983" s="336"/>
      <c r="ITF983" s="337"/>
      <c r="ITG983" s="336"/>
      <c r="ITH983" s="337"/>
      <c r="ITI983" s="336"/>
      <c r="ITJ983" s="337"/>
      <c r="ITK983" s="336"/>
      <c r="ITL983" s="337"/>
      <c r="ITM983" s="336"/>
      <c r="ITN983" s="337"/>
      <c r="ITO983" s="336"/>
      <c r="ITP983" s="337"/>
      <c r="ITQ983" s="336"/>
      <c r="ITR983" s="337"/>
      <c r="ITS983" s="336"/>
      <c r="ITT983" s="337"/>
      <c r="ITU983" s="336"/>
      <c r="ITV983" s="337"/>
      <c r="ITW983" s="336"/>
      <c r="ITX983" s="337"/>
      <c r="ITY983" s="336"/>
      <c r="ITZ983" s="337"/>
      <c r="IUA983" s="336"/>
      <c r="IUB983" s="337"/>
      <c r="IUC983" s="336"/>
      <c r="IUD983" s="337"/>
      <c r="IUE983" s="336"/>
      <c r="IUF983" s="337"/>
      <c r="IUG983" s="336"/>
      <c r="IUH983" s="337"/>
      <c r="IUI983" s="336"/>
      <c r="IUJ983" s="337"/>
      <c r="IUK983" s="336"/>
      <c r="IUL983" s="337"/>
      <c r="IUM983" s="336"/>
      <c r="IUN983" s="337"/>
      <c r="IUO983" s="336"/>
      <c r="IUP983" s="337"/>
      <c r="IUQ983" s="336"/>
      <c r="IUR983" s="337"/>
      <c r="IUS983" s="336"/>
      <c r="IUT983" s="337"/>
      <c r="IUU983" s="336"/>
      <c r="IUV983" s="337"/>
      <c r="IUW983" s="336"/>
      <c r="IUX983" s="337"/>
      <c r="IUY983" s="336"/>
      <c r="IUZ983" s="337"/>
      <c r="IVA983" s="336"/>
      <c r="IVB983" s="337"/>
      <c r="IVC983" s="336"/>
      <c r="IVD983" s="337"/>
      <c r="IVE983" s="336"/>
      <c r="IVF983" s="337"/>
      <c r="IVG983" s="336"/>
      <c r="IVH983" s="337"/>
      <c r="IVI983" s="336"/>
      <c r="IVJ983" s="337"/>
      <c r="IVK983" s="336"/>
      <c r="IVL983" s="337"/>
      <c r="IVM983" s="336"/>
      <c r="IVN983" s="337"/>
      <c r="IVO983" s="336"/>
      <c r="IVP983" s="337"/>
      <c r="IVQ983" s="336"/>
      <c r="IVR983" s="337"/>
      <c r="IVS983" s="336"/>
      <c r="IVT983" s="337"/>
      <c r="IVU983" s="336"/>
      <c r="IVV983" s="337"/>
      <c r="IVW983" s="336"/>
      <c r="IVX983" s="337"/>
      <c r="IVY983" s="336"/>
      <c r="IVZ983" s="337"/>
      <c r="IWA983" s="336"/>
      <c r="IWB983" s="337"/>
      <c r="IWC983" s="336"/>
      <c r="IWD983" s="337"/>
      <c r="IWE983" s="336"/>
      <c r="IWF983" s="337"/>
      <c r="IWG983" s="336"/>
      <c r="IWH983" s="337"/>
      <c r="IWI983" s="336"/>
      <c r="IWJ983" s="337"/>
      <c r="IWK983" s="336"/>
      <c r="IWL983" s="337"/>
      <c r="IWM983" s="336"/>
      <c r="IWN983" s="337"/>
      <c r="IWO983" s="336"/>
      <c r="IWP983" s="337"/>
      <c r="IWQ983" s="336"/>
      <c r="IWR983" s="337"/>
      <c r="IWS983" s="336"/>
      <c r="IWT983" s="337"/>
      <c r="IWU983" s="336"/>
      <c r="IWV983" s="337"/>
      <c r="IWW983" s="336"/>
      <c r="IWX983" s="337"/>
      <c r="IWY983" s="336"/>
      <c r="IWZ983" s="337"/>
      <c r="IXA983" s="336"/>
      <c r="IXB983" s="337"/>
      <c r="IXC983" s="336"/>
      <c r="IXD983" s="337"/>
      <c r="IXE983" s="336"/>
      <c r="IXF983" s="337"/>
      <c r="IXG983" s="336"/>
      <c r="IXH983" s="337"/>
      <c r="IXI983" s="336"/>
      <c r="IXJ983" s="337"/>
      <c r="IXK983" s="336"/>
      <c r="IXL983" s="337"/>
      <c r="IXM983" s="336"/>
      <c r="IXN983" s="337"/>
      <c r="IXO983" s="336"/>
      <c r="IXP983" s="337"/>
      <c r="IXQ983" s="336"/>
      <c r="IXR983" s="337"/>
      <c r="IXS983" s="336"/>
      <c r="IXT983" s="337"/>
      <c r="IXU983" s="336"/>
      <c r="IXV983" s="337"/>
      <c r="IXW983" s="336"/>
      <c r="IXX983" s="337"/>
      <c r="IXY983" s="336"/>
      <c r="IXZ983" s="337"/>
      <c r="IYA983" s="336"/>
      <c r="IYB983" s="337"/>
      <c r="IYC983" s="336"/>
      <c r="IYD983" s="337"/>
      <c r="IYE983" s="336"/>
      <c r="IYF983" s="337"/>
      <c r="IYG983" s="336"/>
      <c r="IYH983" s="337"/>
      <c r="IYI983" s="336"/>
      <c r="IYJ983" s="337"/>
      <c r="IYK983" s="336"/>
      <c r="IYL983" s="337"/>
      <c r="IYM983" s="336"/>
      <c r="IYN983" s="337"/>
      <c r="IYO983" s="336"/>
      <c r="IYP983" s="337"/>
      <c r="IYQ983" s="336"/>
      <c r="IYR983" s="337"/>
      <c r="IYS983" s="336"/>
      <c r="IYT983" s="337"/>
      <c r="IYU983" s="336"/>
      <c r="IYV983" s="337"/>
      <c r="IYW983" s="336"/>
      <c r="IYX983" s="337"/>
      <c r="IYY983" s="336"/>
      <c r="IYZ983" s="337"/>
      <c r="IZA983" s="336"/>
      <c r="IZB983" s="337"/>
      <c r="IZC983" s="336"/>
      <c r="IZD983" s="337"/>
      <c r="IZE983" s="336"/>
      <c r="IZF983" s="337"/>
      <c r="IZG983" s="336"/>
      <c r="IZH983" s="337"/>
      <c r="IZI983" s="336"/>
      <c r="IZJ983" s="337"/>
      <c r="IZK983" s="336"/>
      <c r="IZL983" s="337"/>
      <c r="IZM983" s="336"/>
      <c r="IZN983" s="337"/>
      <c r="IZO983" s="336"/>
      <c r="IZP983" s="337"/>
      <c r="IZQ983" s="336"/>
      <c r="IZR983" s="337"/>
      <c r="IZS983" s="336"/>
      <c r="IZT983" s="337"/>
      <c r="IZU983" s="336"/>
      <c r="IZV983" s="337"/>
      <c r="IZW983" s="336"/>
      <c r="IZX983" s="337"/>
      <c r="IZY983" s="336"/>
      <c r="IZZ983" s="337"/>
      <c r="JAA983" s="336"/>
      <c r="JAB983" s="337"/>
      <c r="JAC983" s="336"/>
      <c r="JAD983" s="337"/>
      <c r="JAE983" s="336"/>
      <c r="JAF983" s="337"/>
      <c r="JAG983" s="336"/>
      <c r="JAH983" s="337"/>
      <c r="JAI983" s="336"/>
      <c r="JAJ983" s="337"/>
      <c r="JAK983" s="336"/>
      <c r="JAL983" s="337"/>
      <c r="JAM983" s="336"/>
      <c r="JAN983" s="337"/>
      <c r="JAO983" s="336"/>
      <c r="JAP983" s="337"/>
      <c r="JAQ983" s="336"/>
      <c r="JAR983" s="337"/>
      <c r="JAS983" s="336"/>
      <c r="JAT983" s="337"/>
      <c r="JAU983" s="336"/>
      <c r="JAV983" s="337"/>
      <c r="JAW983" s="336"/>
      <c r="JAX983" s="337"/>
      <c r="JAY983" s="336"/>
      <c r="JAZ983" s="337"/>
      <c r="JBA983" s="336"/>
      <c r="JBB983" s="337"/>
      <c r="JBC983" s="336"/>
      <c r="JBD983" s="337"/>
      <c r="JBE983" s="336"/>
      <c r="JBF983" s="337"/>
      <c r="JBG983" s="336"/>
      <c r="JBH983" s="337"/>
      <c r="JBI983" s="336"/>
      <c r="JBJ983" s="337"/>
      <c r="JBK983" s="336"/>
      <c r="JBL983" s="337"/>
      <c r="JBM983" s="336"/>
      <c r="JBN983" s="337"/>
      <c r="JBO983" s="336"/>
      <c r="JBP983" s="337"/>
      <c r="JBQ983" s="336"/>
      <c r="JBR983" s="337"/>
      <c r="JBS983" s="336"/>
      <c r="JBT983" s="337"/>
      <c r="JBU983" s="336"/>
      <c r="JBV983" s="337"/>
      <c r="JBW983" s="336"/>
      <c r="JBX983" s="337"/>
      <c r="JBY983" s="336"/>
      <c r="JBZ983" s="337"/>
      <c r="JCA983" s="336"/>
      <c r="JCB983" s="337"/>
      <c r="JCC983" s="336"/>
      <c r="JCD983" s="337"/>
      <c r="JCE983" s="336"/>
      <c r="JCF983" s="337"/>
      <c r="JCG983" s="336"/>
      <c r="JCH983" s="337"/>
      <c r="JCI983" s="336"/>
      <c r="JCJ983" s="337"/>
      <c r="JCK983" s="336"/>
      <c r="JCL983" s="337"/>
      <c r="JCM983" s="336"/>
      <c r="JCN983" s="337"/>
      <c r="JCO983" s="336"/>
      <c r="JCP983" s="337"/>
      <c r="JCQ983" s="336"/>
      <c r="JCR983" s="337"/>
      <c r="JCS983" s="336"/>
      <c r="JCT983" s="337"/>
      <c r="JCU983" s="336"/>
      <c r="JCV983" s="337"/>
      <c r="JCW983" s="336"/>
      <c r="JCX983" s="337"/>
      <c r="JCY983" s="336"/>
      <c r="JCZ983" s="337"/>
      <c r="JDA983" s="336"/>
      <c r="JDB983" s="337"/>
      <c r="JDC983" s="336"/>
      <c r="JDD983" s="337"/>
      <c r="JDE983" s="336"/>
      <c r="JDF983" s="337"/>
      <c r="JDG983" s="336"/>
      <c r="JDH983" s="337"/>
      <c r="JDI983" s="336"/>
      <c r="JDJ983" s="337"/>
      <c r="JDK983" s="336"/>
      <c r="JDL983" s="337"/>
      <c r="JDM983" s="336"/>
      <c r="JDN983" s="337"/>
      <c r="JDO983" s="336"/>
      <c r="JDP983" s="337"/>
      <c r="JDQ983" s="336"/>
      <c r="JDR983" s="337"/>
      <c r="JDS983" s="336"/>
      <c r="JDT983" s="337"/>
      <c r="JDU983" s="336"/>
      <c r="JDV983" s="337"/>
      <c r="JDW983" s="336"/>
      <c r="JDX983" s="337"/>
      <c r="JDY983" s="336"/>
      <c r="JDZ983" s="337"/>
      <c r="JEA983" s="336"/>
      <c r="JEB983" s="337"/>
      <c r="JEC983" s="336"/>
      <c r="JED983" s="337"/>
      <c r="JEE983" s="336"/>
      <c r="JEF983" s="337"/>
      <c r="JEG983" s="336"/>
      <c r="JEH983" s="337"/>
      <c r="JEI983" s="336"/>
      <c r="JEJ983" s="337"/>
      <c r="JEK983" s="336"/>
      <c r="JEL983" s="337"/>
      <c r="JEM983" s="336"/>
      <c r="JEN983" s="337"/>
      <c r="JEO983" s="336"/>
      <c r="JEP983" s="337"/>
      <c r="JEQ983" s="336"/>
      <c r="JER983" s="337"/>
      <c r="JES983" s="336"/>
      <c r="JET983" s="337"/>
      <c r="JEU983" s="336"/>
      <c r="JEV983" s="337"/>
      <c r="JEW983" s="336"/>
      <c r="JEX983" s="337"/>
      <c r="JEY983" s="336"/>
      <c r="JEZ983" s="337"/>
      <c r="JFA983" s="336"/>
      <c r="JFB983" s="337"/>
      <c r="JFC983" s="336"/>
      <c r="JFD983" s="337"/>
      <c r="JFE983" s="336"/>
      <c r="JFF983" s="337"/>
      <c r="JFG983" s="336"/>
      <c r="JFH983" s="337"/>
      <c r="JFI983" s="336"/>
      <c r="JFJ983" s="337"/>
      <c r="JFK983" s="336"/>
      <c r="JFL983" s="337"/>
      <c r="JFM983" s="336"/>
      <c r="JFN983" s="337"/>
      <c r="JFO983" s="336"/>
      <c r="JFP983" s="337"/>
      <c r="JFQ983" s="336"/>
      <c r="JFR983" s="337"/>
      <c r="JFS983" s="336"/>
      <c r="JFT983" s="337"/>
      <c r="JFU983" s="336"/>
      <c r="JFV983" s="337"/>
      <c r="JFW983" s="336"/>
      <c r="JFX983" s="337"/>
      <c r="JFY983" s="336"/>
      <c r="JFZ983" s="337"/>
      <c r="JGA983" s="336"/>
      <c r="JGB983" s="337"/>
      <c r="JGC983" s="336"/>
      <c r="JGD983" s="337"/>
      <c r="JGE983" s="336"/>
      <c r="JGF983" s="337"/>
      <c r="JGG983" s="336"/>
      <c r="JGH983" s="337"/>
      <c r="JGI983" s="336"/>
      <c r="JGJ983" s="337"/>
      <c r="JGK983" s="336"/>
      <c r="JGL983" s="337"/>
      <c r="JGM983" s="336"/>
      <c r="JGN983" s="337"/>
      <c r="JGO983" s="336"/>
      <c r="JGP983" s="337"/>
      <c r="JGQ983" s="336"/>
      <c r="JGR983" s="337"/>
      <c r="JGS983" s="336"/>
      <c r="JGT983" s="337"/>
      <c r="JGU983" s="336"/>
      <c r="JGV983" s="337"/>
      <c r="JGW983" s="336"/>
      <c r="JGX983" s="337"/>
      <c r="JGY983" s="336"/>
      <c r="JGZ983" s="337"/>
      <c r="JHA983" s="336"/>
      <c r="JHB983" s="337"/>
      <c r="JHC983" s="336"/>
      <c r="JHD983" s="337"/>
      <c r="JHE983" s="336"/>
      <c r="JHF983" s="337"/>
      <c r="JHG983" s="336"/>
      <c r="JHH983" s="337"/>
      <c r="JHI983" s="336"/>
      <c r="JHJ983" s="337"/>
      <c r="JHK983" s="336"/>
      <c r="JHL983" s="337"/>
      <c r="JHM983" s="336"/>
      <c r="JHN983" s="337"/>
      <c r="JHO983" s="336"/>
      <c r="JHP983" s="337"/>
      <c r="JHQ983" s="336"/>
      <c r="JHR983" s="337"/>
      <c r="JHS983" s="336"/>
      <c r="JHT983" s="337"/>
      <c r="JHU983" s="336"/>
      <c r="JHV983" s="337"/>
      <c r="JHW983" s="336"/>
      <c r="JHX983" s="337"/>
      <c r="JHY983" s="336"/>
      <c r="JHZ983" s="337"/>
      <c r="JIA983" s="336"/>
      <c r="JIB983" s="337"/>
      <c r="JIC983" s="336"/>
      <c r="JID983" s="337"/>
      <c r="JIE983" s="336"/>
      <c r="JIF983" s="337"/>
      <c r="JIG983" s="336"/>
      <c r="JIH983" s="337"/>
      <c r="JII983" s="336"/>
      <c r="JIJ983" s="337"/>
      <c r="JIK983" s="336"/>
      <c r="JIL983" s="337"/>
      <c r="JIM983" s="336"/>
      <c r="JIN983" s="337"/>
      <c r="JIO983" s="336"/>
      <c r="JIP983" s="337"/>
      <c r="JIQ983" s="336"/>
      <c r="JIR983" s="337"/>
      <c r="JIS983" s="336"/>
      <c r="JIT983" s="337"/>
      <c r="JIU983" s="336"/>
      <c r="JIV983" s="337"/>
      <c r="JIW983" s="336"/>
      <c r="JIX983" s="337"/>
      <c r="JIY983" s="336"/>
      <c r="JIZ983" s="337"/>
      <c r="JJA983" s="336"/>
      <c r="JJB983" s="337"/>
      <c r="JJC983" s="336"/>
      <c r="JJD983" s="337"/>
      <c r="JJE983" s="336"/>
      <c r="JJF983" s="337"/>
      <c r="JJG983" s="336"/>
      <c r="JJH983" s="337"/>
      <c r="JJI983" s="336"/>
      <c r="JJJ983" s="337"/>
      <c r="JJK983" s="336"/>
      <c r="JJL983" s="337"/>
      <c r="JJM983" s="336"/>
      <c r="JJN983" s="337"/>
      <c r="JJO983" s="336"/>
      <c r="JJP983" s="337"/>
      <c r="JJQ983" s="336"/>
      <c r="JJR983" s="337"/>
      <c r="JJS983" s="336"/>
      <c r="JJT983" s="337"/>
      <c r="JJU983" s="336"/>
      <c r="JJV983" s="337"/>
      <c r="JJW983" s="336"/>
      <c r="JJX983" s="337"/>
      <c r="JJY983" s="336"/>
      <c r="JJZ983" s="337"/>
      <c r="JKA983" s="336"/>
      <c r="JKB983" s="337"/>
      <c r="JKC983" s="336"/>
      <c r="JKD983" s="337"/>
      <c r="JKE983" s="336"/>
      <c r="JKF983" s="337"/>
      <c r="JKG983" s="336"/>
      <c r="JKH983" s="337"/>
      <c r="JKI983" s="336"/>
      <c r="JKJ983" s="337"/>
      <c r="JKK983" s="336"/>
      <c r="JKL983" s="337"/>
      <c r="JKM983" s="336"/>
      <c r="JKN983" s="337"/>
      <c r="JKO983" s="336"/>
      <c r="JKP983" s="337"/>
      <c r="JKQ983" s="336"/>
      <c r="JKR983" s="337"/>
      <c r="JKS983" s="336"/>
      <c r="JKT983" s="337"/>
      <c r="JKU983" s="336"/>
      <c r="JKV983" s="337"/>
      <c r="JKW983" s="336"/>
      <c r="JKX983" s="337"/>
      <c r="JKY983" s="336"/>
      <c r="JKZ983" s="337"/>
      <c r="JLA983" s="336"/>
      <c r="JLB983" s="337"/>
      <c r="JLC983" s="336"/>
      <c r="JLD983" s="337"/>
      <c r="JLE983" s="336"/>
      <c r="JLF983" s="337"/>
      <c r="JLG983" s="336"/>
      <c r="JLH983" s="337"/>
      <c r="JLI983" s="336"/>
      <c r="JLJ983" s="337"/>
      <c r="JLK983" s="336"/>
      <c r="JLL983" s="337"/>
      <c r="JLM983" s="336"/>
      <c r="JLN983" s="337"/>
      <c r="JLO983" s="336"/>
      <c r="JLP983" s="337"/>
      <c r="JLQ983" s="336"/>
      <c r="JLR983" s="337"/>
      <c r="JLS983" s="336"/>
      <c r="JLT983" s="337"/>
      <c r="JLU983" s="336"/>
      <c r="JLV983" s="337"/>
      <c r="JLW983" s="336"/>
      <c r="JLX983" s="337"/>
      <c r="JLY983" s="336"/>
      <c r="JLZ983" s="337"/>
      <c r="JMA983" s="336"/>
      <c r="JMB983" s="337"/>
      <c r="JMC983" s="336"/>
      <c r="JMD983" s="337"/>
      <c r="JME983" s="336"/>
      <c r="JMF983" s="337"/>
      <c r="JMG983" s="336"/>
      <c r="JMH983" s="337"/>
      <c r="JMI983" s="336"/>
      <c r="JMJ983" s="337"/>
      <c r="JMK983" s="336"/>
      <c r="JML983" s="337"/>
      <c r="JMM983" s="336"/>
      <c r="JMN983" s="337"/>
      <c r="JMO983" s="336"/>
      <c r="JMP983" s="337"/>
      <c r="JMQ983" s="336"/>
      <c r="JMR983" s="337"/>
      <c r="JMS983" s="336"/>
      <c r="JMT983" s="337"/>
      <c r="JMU983" s="336"/>
      <c r="JMV983" s="337"/>
      <c r="JMW983" s="336"/>
      <c r="JMX983" s="337"/>
      <c r="JMY983" s="336"/>
      <c r="JMZ983" s="337"/>
      <c r="JNA983" s="336"/>
      <c r="JNB983" s="337"/>
      <c r="JNC983" s="336"/>
      <c r="JND983" s="337"/>
      <c r="JNE983" s="336"/>
      <c r="JNF983" s="337"/>
      <c r="JNG983" s="336"/>
      <c r="JNH983" s="337"/>
      <c r="JNI983" s="336"/>
      <c r="JNJ983" s="337"/>
      <c r="JNK983" s="336"/>
      <c r="JNL983" s="337"/>
      <c r="JNM983" s="336"/>
      <c r="JNN983" s="337"/>
      <c r="JNO983" s="336"/>
      <c r="JNP983" s="337"/>
      <c r="JNQ983" s="336"/>
      <c r="JNR983" s="337"/>
      <c r="JNS983" s="336"/>
      <c r="JNT983" s="337"/>
      <c r="JNU983" s="336"/>
      <c r="JNV983" s="337"/>
      <c r="JNW983" s="336"/>
      <c r="JNX983" s="337"/>
      <c r="JNY983" s="336"/>
      <c r="JNZ983" s="337"/>
      <c r="JOA983" s="336"/>
      <c r="JOB983" s="337"/>
      <c r="JOC983" s="336"/>
      <c r="JOD983" s="337"/>
      <c r="JOE983" s="336"/>
      <c r="JOF983" s="337"/>
      <c r="JOG983" s="336"/>
      <c r="JOH983" s="337"/>
      <c r="JOI983" s="336"/>
      <c r="JOJ983" s="337"/>
      <c r="JOK983" s="336"/>
      <c r="JOL983" s="337"/>
      <c r="JOM983" s="336"/>
      <c r="JON983" s="337"/>
      <c r="JOO983" s="336"/>
      <c r="JOP983" s="337"/>
      <c r="JOQ983" s="336"/>
      <c r="JOR983" s="337"/>
      <c r="JOS983" s="336"/>
      <c r="JOT983" s="337"/>
      <c r="JOU983" s="336"/>
      <c r="JOV983" s="337"/>
      <c r="JOW983" s="336"/>
      <c r="JOX983" s="337"/>
      <c r="JOY983" s="336"/>
      <c r="JOZ983" s="337"/>
      <c r="JPA983" s="336"/>
      <c r="JPB983" s="337"/>
      <c r="JPC983" s="336"/>
      <c r="JPD983" s="337"/>
      <c r="JPE983" s="336"/>
      <c r="JPF983" s="337"/>
      <c r="JPG983" s="336"/>
      <c r="JPH983" s="337"/>
      <c r="JPI983" s="336"/>
      <c r="JPJ983" s="337"/>
      <c r="JPK983" s="336"/>
      <c r="JPL983" s="337"/>
      <c r="JPM983" s="336"/>
      <c r="JPN983" s="337"/>
      <c r="JPO983" s="336"/>
      <c r="JPP983" s="337"/>
      <c r="JPQ983" s="336"/>
      <c r="JPR983" s="337"/>
      <c r="JPS983" s="336"/>
      <c r="JPT983" s="337"/>
      <c r="JPU983" s="336"/>
      <c r="JPV983" s="337"/>
      <c r="JPW983" s="336"/>
      <c r="JPX983" s="337"/>
      <c r="JPY983" s="336"/>
      <c r="JPZ983" s="337"/>
      <c r="JQA983" s="336"/>
      <c r="JQB983" s="337"/>
      <c r="JQC983" s="336"/>
      <c r="JQD983" s="337"/>
      <c r="JQE983" s="336"/>
      <c r="JQF983" s="337"/>
      <c r="JQG983" s="336"/>
      <c r="JQH983" s="337"/>
      <c r="JQI983" s="336"/>
      <c r="JQJ983" s="337"/>
      <c r="JQK983" s="336"/>
      <c r="JQL983" s="337"/>
      <c r="JQM983" s="336"/>
      <c r="JQN983" s="337"/>
      <c r="JQO983" s="336"/>
      <c r="JQP983" s="337"/>
      <c r="JQQ983" s="336"/>
      <c r="JQR983" s="337"/>
      <c r="JQS983" s="336"/>
      <c r="JQT983" s="337"/>
      <c r="JQU983" s="336"/>
      <c r="JQV983" s="337"/>
      <c r="JQW983" s="336"/>
      <c r="JQX983" s="337"/>
      <c r="JQY983" s="336"/>
      <c r="JQZ983" s="337"/>
      <c r="JRA983" s="336"/>
      <c r="JRB983" s="337"/>
      <c r="JRC983" s="336"/>
      <c r="JRD983" s="337"/>
      <c r="JRE983" s="336"/>
      <c r="JRF983" s="337"/>
      <c r="JRG983" s="336"/>
      <c r="JRH983" s="337"/>
      <c r="JRI983" s="336"/>
      <c r="JRJ983" s="337"/>
      <c r="JRK983" s="336"/>
      <c r="JRL983" s="337"/>
      <c r="JRM983" s="336"/>
      <c r="JRN983" s="337"/>
      <c r="JRO983" s="336"/>
      <c r="JRP983" s="337"/>
      <c r="JRQ983" s="336"/>
      <c r="JRR983" s="337"/>
      <c r="JRS983" s="336"/>
      <c r="JRT983" s="337"/>
      <c r="JRU983" s="336"/>
      <c r="JRV983" s="337"/>
      <c r="JRW983" s="336"/>
      <c r="JRX983" s="337"/>
      <c r="JRY983" s="336"/>
      <c r="JRZ983" s="337"/>
      <c r="JSA983" s="336"/>
      <c r="JSB983" s="337"/>
      <c r="JSC983" s="336"/>
      <c r="JSD983" s="337"/>
      <c r="JSE983" s="336"/>
      <c r="JSF983" s="337"/>
      <c r="JSG983" s="336"/>
      <c r="JSH983" s="337"/>
      <c r="JSI983" s="336"/>
      <c r="JSJ983" s="337"/>
      <c r="JSK983" s="336"/>
      <c r="JSL983" s="337"/>
      <c r="JSM983" s="336"/>
      <c r="JSN983" s="337"/>
      <c r="JSO983" s="336"/>
      <c r="JSP983" s="337"/>
      <c r="JSQ983" s="336"/>
      <c r="JSR983" s="337"/>
      <c r="JSS983" s="336"/>
      <c r="JST983" s="337"/>
      <c r="JSU983" s="336"/>
      <c r="JSV983" s="337"/>
      <c r="JSW983" s="336"/>
      <c r="JSX983" s="337"/>
      <c r="JSY983" s="336"/>
      <c r="JSZ983" s="337"/>
      <c r="JTA983" s="336"/>
      <c r="JTB983" s="337"/>
      <c r="JTC983" s="336"/>
      <c r="JTD983" s="337"/>
      <c r="JTE983" s="336"/>
      <c r="JTF983" s="337"/>
      <c r="JTG983" s="336"/>
      <c r="JTH983" s="337"/>
      <c r="JTI983" s="336"/>
      <c r="JTJ983" s="337"/>
      <c r="JTK983" s="336"/>
      <c r="JTL983" s="337"/>
      <c r="JTM983" s="336"/>
      <c r="JTN983" s="337"/>
      <c r="JTO983" s="336"/>
      <c r="JTP983" s="337"/>
      <c r="JTQ983" s="336"/>
      <c r="JTR983" s="337"/>
      <c r="JTS983" s="336"/>
      <c r="JTT983" s="337"/>
      <c r="JTU983" s="336"/>
      <c r="JTV983" s="337"/>
      <c r="JTW983" s="336"/>
      <c r="JTX983" s="337"/>
      <c r="JTY983" s="336"/>
      <c r="JTZ983" s="337"/>
      <c r="JUA983" s="336"/>
      <c r="JUB983" s="337"/>
      <c r="JUC983" s="336"/>
      <c r="JUD983" s="337"/>
      <c r="JUE983" s="336"/>
      <c r="JUF983" s="337"/>
      <c r="JUG983" s="336"/>
      <c r="JUH983" s="337"/>
      <c r="JUI983" s="336"/>
      <c r="JUJ983" s="337"/>
      <c r="JUK983" s="336"/>
      <c r="JUL983" s="337"/>
      <c r="JUM983" s="336"/>
      <c r="JUN983" s="337"/>
      <c r="JUO983" s="336"/>
      <c r="JUP983" s="337"/>
      <c r="JUQ983" s="336"/>
      <c r="JUR983" s="337"/>
      <c r="JUS983" s="336"/>
      <c r="JUT983" s="337"/>
      <c r="JUU983" s="336"/>
      <c r="JUV983" s="337"/>
      <c r="JUW983" s="336"/>
      <c r="JUX983" s="337"/>
      <c r="JUY983" s="336"/>
      <c r="JUZ983" s="337"/>
      <c r="JVA983" s="336"/>
      <c r="JVB983" s="337"/>
      <c r="JVC983" s="336"/>
      <c r="JVD983" s="337"/>
      <c r="JVE983" s="336"/>
      <c r="JVF983" s="337"/>
      <c r="JVG983" s="336"/>
      <c r="JVH983" s="337"/>
      <c r="JVI983" s="336"/>
      <c r="JVJ983" s="337"/>
      <c r="JVK983" s="336"/>
      <c r="JVL983" s="337"/>
      <c r="JVM983" s="336"/>
      <c r="JVN983" s="337"/>
      <c r="JVO983" s="336"/>
      <c r="JVP983" s="337"/>
      <c r="JVQ983" s="336"/>
      <c r="JVR983" s="337"/>
      <c r="JVS983" s="336"/>
      <c r="JVT983" s="337"/>
      <c r="JVU983" s="336"/>
      <c r="JVV983" s="337"/>
      <c r="JVW983" s="336"/>
      <c r="JVX983" s="337"/>
      <c r="JVY983" s="336"/>
      <c r="JVZ983" s="337"/>
      <c r="JWA983" s="336"/>
      <c r="JWB983" s="337"/>
      <c r="JWC983" s="336"/>
      <c r="JWD983" s="337"/>
      <c r="JWE983" s="336"/>
      <c r="JWF983" s="337"/>
      <c r="JWG983" s="336"/>
      <c r="JWH983" s="337"/>
      <c r="JWI983" s="336"/>
      <c r="JWJ983" s="337"/>
      <c r="JWK983" s="336"/>
      <c r="JWL983" s="337"/>
      <c r="JWM983" s="336"/>
      <c r="JWN983" s="337"/>
      <c r="JWO983" s="336"/>
      <c r="JWP983" s="337"/>
      <c r="JWQ983" s="336"/>
      <c r="JWR983" s="337"/>
      <c r="JWS983" s="336"/>
      <c r="JWT983" s="337"/>
      <c r="JWU983" s="336"/>
      <c r="JWV983" s="337"/>
      <c r="JWW983" s="336"/>
      <c r="JWX983" s="337"/>
      <c r="JWY983" s="336"/>
      <c r="JWZ983" s="337"/>
      <c r="JXA983" s="336"/>
      <c r="JXB983" s="337"/>
      <c r="JXC983" s="336"/>
      <c r="JXD983" s="337"/>
      <c r="JXE983" s="336"/>
      <c r="JXF983" s="337"/>
      <c r="JXG983" s="336"/>
      <c r="JXH983" s="337"/>
      <c r="JXI983" s="336"/>
      <c r="JXJ983" s="337"/>
      <c r="JXK983" s="336"/>
      <c r="JXL983" s="337"/>
      <c r="JXM983" s="336"/>
      <c r="JXN983" s="337"/>
      <c r="JXO983" s="336"/>
      <c r="JXP983" s="337"/>
      <c r="JXQ983" s="336"/>
      <c r="JXR983" s="337"/>
      <c r="JXS983" s="336"/>
      <c r="JXT983" s="337"/>
      <c r="JXU983" s="336"/>
      <c r="JXV983" s="337"/>
      <c r="JXW983" s="336"/>
      <c r="JXX983" s="337"/>
      <c r="JXY983" s="336"/>
      <c r="JXZ983" s="337"/>
      <c r="JYA983" s="336"/>
      <c r="JYB983" s="337"/>
      <c r="JYC983" s="336"/>
      <c r="JYD983" s="337"/>
      <c r="JYE983" s="336"/>
      <c r="JYF983" s="337"/>
      <c r="JYG983" s="336"/>
      <c r="JYH983" s="337"/>
      <c r="JYI983" s="336"/>
      <c r="JYJ983" s="337"/>
      <c r="JYK983" s="336"/>
      <c r="JYL983" s="337"/>
      <c r="JYM983" s="336"/>
      <c r="JYN983" s="337"/>
      <c r="JYO983" s="336"/>
      <c r="JYP983" s="337"/>
      <c r="JYQ983" s="336"/>
      <c r="JYR983" s="337"/>
      <c r="JYS983" s="336"/>
      <c r="JYT983" s="337"/>
      <c r="JYU983" s="336"/>
      <c r="JYV983" s="337"/>
      <c r="JYW983" s="336"/>
      <c r="JYX983" s="337"/>
      <c r="JYY983" s="336"/>
      <c r="JYZ983" s="337"/>
      <c r="JZA983" s="336"/>
      <c r="JZB983" s="337"/>
      <c r="JZC983" s="336"/>
      <c r="JZD983" s="337"/>
      <c r="JZE983" s="336"/>
      <c r="JZF983" s="337"/>
      <c r="JZG983" s="336"/>
      <c r="JZH983" s="337"/>
      <c r="JZI983" s="336"/>
      <c r="JZJ983" s="337"/>
      <c r="JZK983" s="336"/>
      <c r="JZL983" s="337"/>
      <c r="JZM983" s="336"/>
      <c r="JZN983" s="337"/>
      <c r="JZO983" s="336"/>
      <c r="JZP983" s="337"/>
      <c r="JZQ983" s="336"/>
      <c r="JZR983" s="337"/>
      <c r="JZS983" s="336"/>
      <c r="JZT983" s="337"/>
      <c r="JZU983" s="336"/>
      <c r="JZV983" s="337"/>
      <c r="JZW983" s="336"/>
      <c r="JZX983" s="337"/>
      <c r="JZY983" s="336"/>
      <c r="JZZ983" s="337"/>
      <c r="KAA983" s="336"/>
      <c r="KAB983" s="337"/>
      <c r="KAC983" s="336"/>
      <c r="KAD983" s="337"/>
      <c r="KAE983" s="336"/>
      <c r="KAF983" s="337"/>
      <c r="KAG983" s="336"/>
      <c r="KAH983" s="337"/>
      <c r="KAI983" s="336"/>
      <c r="KAJ983" s="337"/>
      <c r="KAK983" s="336"/>
      <c r="KAL983" s="337"/>
      <c r="KAM983" s="336"/>
      <c r="KAN983" s="337"/>
      <c r="KAO983" s="336"/>
      <c r="KAP983" s="337"/>
      <c r="KAQ983" s="336"/>
      <c r="KAR983" s="337"/>
      <c r="KAS983" s="336"/>
      <c r="KAT983" s="337"/>
      <c r="KAU983" s="336"/>
      <c r="KAV983" s="337"/>
      <c r="KAW983" s="336"/>
      <c r="KAX983" s="337"/>
      <c r="KAY983" s="336"/>
      <c r="KAZ983" s="337"/>
      <c r="KBA983" s="336"/>
      <c r="KBB983" s="337"/>
      <c r="KBC983" s="336"/>
      <c r="KBD983" s="337"/>
      <c r="KBE983" s="336"/>
      <c r="KBF983" s="337"/>
      <c r="KBG983" s="336"/>
      <c r="KBH983" s="337"/>
      <c r="KBI983" s="336"/>
      <c r="KBJ983" s="337"/>
      <c r="KBK983" s="336"/>
      <c r="KBL983" s="337"/>
      <c r="KBM983" s="336"/>
      <c r="KBN983" s="337"/>
      <c r="KBO983" s="336"/>
      <c r="KBP983" s="337"/>
      <c r="KBQ983" s="336"/>
      <c r="KBR983" s="337"/>
      <c r="KBS983" s="336"/>
      <c r="KBT983" s="337"/>
      <c r="KBU983" s="336"/>
      <c r="KBV983" s="337"/>
      <c r="KBW983" s="336"/>
      <c r="KBX983" s="337"/>
      <c r="KBY983" s="336"/>
      <c r="KBZ983" s="337"/>
      <c r="KCA983" s="336"/>
      <c r="KCB983" s="337"/>
      <c r="KCC983" s="336"/>
      <c r="KCD983" s="337"/>
      <c r="KCE983" s="336"/>
      <c r="KCF983" s="337"/>
      <c r="KCG983" s="336"/>
      <c r="KCH983" s="337"/>
      <c r="KCI983" s="336"/>
      <c r="KCJ983" s="337"/>
      <c r="KCK983" s="336"/>
      <c r="KCL983" s="337"/>
      <c r="KCM983" s="336"/>
      <c r="KCN983" s="337"/>
      <c r="KCO983" s="336"/>
      <c r="KCP983" s="337"/>
      <c r="KCQ983" s="336"/>
      <c r="KCR983" s="337"/>
      <c r="KCS983" s="336"/>
      <c r="KCT983" s="337"/>
      <c r="KCU983" s="336"/>
      <c r="KCV983" s="337"/>
      <c r="KCW983" s="336"/>
      <c r="KCX983" s="337"/>
      <c r="KCY983" s="336"/>
      <c r="KCZ983" s="337"/>
      <c r="KDA983" s="336"/>
      <c r="KDB983" s="337"/>
      <c r="KDC983" s="336"/>
      <c r="KDD983" s="337"/>
      <c r="KDE983" s="336"/>
      <c r="KDF983" s="337"/>
      <c r="KDG983" s="336"/>
      <c r="KDH983" s="337"/>
      <c r="KDI983" s="336"/>
      <c r="KDJ983" s="337"/>
      <c r="KDK983" s="336"/>
      <c r="KDL983" s="337"/>
      <c r="KDM983" s="336"/>
      <c r="KDN983" s="337"/>
      <c r="KDO983" s="336"/>
      <c r="KDP983" s="337"/>
      <c r="KDQ983" s="336"/>
      <c r="KDR983" s="337"/>
      <c r="KDS983" s="336"/>
      <c r="KDT983" s="337"/>
      <c r="KDU983" s="336"/>
      <c r="KDV983" s="337"/>
      <c r="KDW983" s="336"/>
      <c r="KDX983" s="337"/>
      <c r="KDY983" s="336"/>
      <c r="KDZ983" s="337"/>
      <c r="KEA983" s="336"/>
      <c r="KEB983" s="337"/>
      <c r="KEC983" s="336"/>
      <c r="KED983" s="337"/>
      <c r="KEE983" s="336"/>
      <c r="KEF983" s="337"/>
      <c r="KEG983" s="336"/>
      <c r="KEH983" s="337"/>
      <c r="KEI983" s="336"/>
      <c r="KEJ983" s="337"/>
      <c r="KEK983" s="336"/>
      <c r="KEL983" s="337"/>
      <c r="KEM983" s="336"/>
      <c r="KEN983" s="337"/>
      <c r="KEO983" s="336"/>
      <c r="KEP983" s="337"/>
      <c r="KEQ983" s="336"/>
      <c r="KER983" s="337"/>
      <c r="KES983" s="336"/>
      <c r="KET983" s="337"/>
      <c r="KEU983" s="336"/>
      <c r="KEV983" s="337"/>
      <c r="KEW983" s="336"/>
      <c r="KEX983" s="337"/>
      <c r="KEY983" s="336"/>
      <c r="KEZ983" s="337"/>
      <c r="KFA983" s="336"/>
      <c r="KFB983" s="337"/>
      <c r="KFC983" s="336"/>
      <c r="KFD983" s="337"/>
      <c r="KFE983" s="336"/>
      <c r="KFF983" s="337"/>
      <c r="KFG983" s="336"/>
      <c r="KFH983" s="337"/>
      <c r="KFI983" s="336"/>
      <c r="KFJ983" s="337"/>
      <c r="KFK983" s="336"/>
      <c r="KFL983" s="337"/>
      <c r="KFM983" s="336"/>
      <c r="KFN983" s="337"/>
      <c r="KFO983" s="336"/>
      <c r="KFP983" s="337"/>
      <c r="KFQ983" s="336"/>
      <c r="KFR983" s="337"/>
      <c r="KFS983" s="336"/>
      <c r="KFT983" s="337"/>
      <c r="KFU983" s="336"/>
      <c r="KFV983" s="337"/>
      <c r="KFW983" s="336"/>
      <c r="KFX983" s="337"/>
      <c r="KFY983" s="336"/>
      <c r="KFZ983" s="337"/>
      <c r="KGA983" s="336"/>
      <c r="KGB983" s="337"/>
      <c r="KGC983" s="336"/>
      <c r="KGD983" s="337"/>
      <c r="KGE983" s="336"/>
      <c r="KGF983" s="337"/>
      <c r="KGG983" s="336"/>
      <c r="KGH983" s="337"/>
      <c r="KGI983" s="336"/>
      <c r="KGJ983" s="337"/>
      <c r="KGK983" s="336"/>
      <c r="KGL983" s="337"/>
      <c r="KGM983" s="336"/>
      <c r="KGN983" s="337"/>
      <c r="KGO983" s="336"/>
      <c r="KGP983" s="337"/>
      <c r="KGQ983" s="336"/>
      <c r="KGR983" s="337"/>
      <c r="KGS983" s="336"/>
      <c r="KGT983" s="337"/>
      <c r="KGU983" s="336"/>
      <c r="KGV983" s="337"/>
      <c r="KGW983" s="336"/>
      <c r="KGX983" s="337"/>
      <c r="KGY983" s="336"/>
      <c r="KGZ983" s="337"/>
      <c r="KHA983" s="336"/>
      <c r="KHB983" s="337"/>
      <c r="KHC983" s="336"/>
      <c r="KHD983" s="337"/>
      <c r="KHE983" s="336"/>
      <c r="KHF983" s="337"/>
      <c r="KHG983" s="336"/>
      <c r="KHH983" s="337"/>
      <c r="KHI983" s="336"/>
      <c r="KHJ983" s="337"/>
      <c r="KHK983" s="336"/>
      <c r="KHL983" s="337"/>
      <c r="KHM983" s="336"/>
      <c r="KHN983" s="337"/>
      <c r="KHO983" s="336"/>
      <c r="KHP983" s="337"/>
      <c r="KHQ983" s="336"/>
      <c r="KHR983" s="337"/>
      <c r="KHS983" s="336"/>
      <c r="KHT983" s="337"/>
      <c r="KHU983" s="336"/>
      <c r="KHV983" s="337"/>
      <c r="KHW983" s="336"/>
      <c r="KHX983" s="337"/>
      <c r="KHY983" s="336"/>
      <c r="KHZ983" s="337"/>
      <c r="KIA983" s="336"/>
      <c r="KIB983" s="337"/>
      <c r="KIC983" s="336"/>
      <c r="KID983" s="337"/>
      <c r="KIE983" s="336"/>
      <c r="KIF983" s="337"/>
      <c r="KIG983" s="336"/>
      <c r="KIH983" s="337"/>
      <c r="KII983" s="336"/>
      <c r="KIJ983" s="337"/>
      <c r="KIK983" s="336"/>
      <c r="KIL983" s="337"/>
      <c r="KIM983" s="336"/>
      <c r="KIN983" s="337"/>
      <c r="KIO983" s="336"/>
      <c r="KIP983" s="337"/>
      <c r="KIQ983" s="336"/>
      <c r="KIR983" s="337"/>
      <c r="KIS983" s="336"/>
      <c r="KIT983" s="337"/>
      <c r="KIU983" s="336"/>
      <c r="KIV983" s="337"/>
      <c r="KIW983" s="336"/>
      <c r="KIX983" s="337"/>
      <c r="KIY983" s="336"/>
      <c r="KIZ983" s="337"/>
      <c r="KJA983" s="336"/>
      <c r="KJB983" s="337"/>
      <c r="KJC983" s="336"/>
      <c r="KJD983" s="337"/>
      <c r="KJE983" s="336"/>
      <c r="KJF983" s="337"/>
      <c r="KJG983" s="336"/>
      <c r="KJH983" s="337"/>
      <c r="KJI983" s="336"/>
      <c r="KJJ983" s="337"/>
      <c r="KJK983" s="336"/>
      <c r="KJL983" s="337"/>
      <c r="KJM983" s="336"/>
      <c r="KJN983" s="337"/>
      <c r="KJO983" s="336"/>
      <c r="KJP983" s="337"/>
      <c r="KJQ983" s="336"/>
      <c r="KJR983" s="337"/>
      <c r="KJS983" s="336"/>
      <c r="KJT983" s="337"/>
      <c r="KJU983" s="336"/>
      <c r="KJV983" s="337"/>
      <c r="KJW983" s="336"/>
      <c r="KJX983" s="337"/>
      <c r="KJY983" s="336"/>
      <c r="KJZ983" s="337"/>
      <c r="KKA983" s="336"/>
      <c r="KKB983" s="337"/>
      <c r="KKC983" s="336"/>
      <c r="KKD983" s="337"/>
      <c r="KKE983" s="336"/>
      <c r="KKF983" s="337"/>
      <c r="KKG983" s="336"/>
      <c r="KKH983" s="337"/>
      <c r="KKI983" s="336"/>
      <c r="KKJ983" s="337"/>
      <c r="KKK983" s="336"/>
      <c r="KKL983" s="337"/>
      <c r="KKM983" s="336"/>
      <c r="KKN983" s="337"/>
      <c r="KKO983" s="336"/>
      <c r="KKP983" s="337"/>
      <c r="KKQ983" s="336"/>
      <c r="KKR983" s="337"/>
      <c r="KKS983" s="336"/>
      <c r="KKT983" s="337"/>
      <c r="KKU983" s="336"/>
      <c r="KKV983" s="337"/>
      <c r="KKW983" s="336"/>
      <c r="KKX983" s="337"/>
      <c r="KKY983" s="336"/>
      <c r="KKZ983" s="337"/>
      <c r="KLA983" s="336"/>
      <c r="KLB983" s="337"/>
      <c r="KLC983" s="336"/>
      <c r="KLD983" s="337"/>
      <c r="KLE983" s="336"/>
      <c r="KLF983" s="337"/>
      <c r="KLG983" s="336"/>
      <c r="KLH983" s="337"/>
      <c r="KLI983" s="336"/>
      <c r="KLJ983" s="337"/>
      <c r="KLK983" s="336"/>
      <c r="KLL983" s="337"/>
      <c r="KLM983" s="336"/>
      <c r="KLN983" s="337"/>
      <c r="KLO983" s="336"/>
      <c r="KLP983" s="337"/>
      <c r="KLQ983" s="336"/>
      <c r="KLR983" s="337"/>
      <c r="KLS983" s="336"/>
      <c r="KLT983" s="337"/>
      <c r="KLU983" s="336"/>
      <c r="KLV983" s="337"/>
      <c r="KLW983" s="336"/>
      <c r="KLX983" s="337"/>
      <c r="KLY983" s="336"/>
      <c r="KLZ983" s="337"/>
      <c r="KMA983" s="336"/>
      <c r="KMB983" s="337"/>
      <c r="KMC983" s="336"/>
      <c r="KMD983" s="337"/>
      <c r="KME983" s="336"/>
      <c r="KMF983" s="337"/>
      <c r="KMG983" s="336"/>
      <c r="KMH983" s="337"/>
      <c r="KMI983" s="336"/>
      <c r="KMJ983" s="337"/>
      <c r="KMK983" s="336"/>
      <c r="KML983" s="337"/>
      <c r="KMM983" s="336"/>
      <c r="KMN983" s="337"/>
      <c r="KMO983" s="336"/>
      <c r="KMP983" s="337"/>
      <c r="KMQ983" s="336"/>
      <c r="KMR983" s="337"/>
      <c r="KMS983" s="336"/>
      <c r="KMT983" s="337"/>
      <c r="KMU983" s="336"/>
      <c r="KMV983" s="337"/>
      <c r="KMW983" s="336"/>
      <c r="KMX983" s="337"/>
      <c r="KMY983" s="336"/>
      <c r="KMZ983" s="337"/>
      <c r="KNA983" s="336"/>
      <c r="KNB983" s="337"/>
      <c r="KNC983" s="336"/>
      <c r="KND983" s="337"/>
      <c r="KNE983" s="336"/>
      <c r="KNF983" s="337"/>
      <c r="KNG983" s="336"/>
      <c r="KNH983" s="337"/>
      <c r="KNI983" s="336"/>
      <c r="KNJ983" s="337"/>
      <c r="KNK983" s="336"/>
      <c r="KNL983" s="337"/>
      <c r="KNM983" s="336"/>
      <c r="KNN983" s="337"/>
      <c r="KNO983" s="336"/>
      <c r="KNP983" s="337"/>
      <c r="KNQ983" s="336"/>
      <c r="KNR983" s="337"/>
      <c r="KNS983" s="336"/>
      <c r="KNT983" s="337"/>
      <c r="KNU983" s="336"/>
      <c r="KNV983" s="337"/>
      <c r="KNW983" s="336"/>
      <c r="KNX983" s="337"/>
      <c r="KNY983" s="336"/>
      <c r="KNZ983" s="337"/>
      <c r="KOA983" s="336"/>
      <c r="KOB983" s="337"/>
      <c r="KOC983" s="336"/>
      <c r="KOD983" s="337"/>
      <c r="KOE983" s="336"/>
      <c r="KOF983" s="337"/>
      <c r="KOG983" s="336"/>
      <c r="KOH983" s="337"/>
      <c r="KOI983" s="336"/>
      <c r="KOJ983" s="337"/>
      <c r="KOK983" s="336"/>
      <c r="KOL983" s="337"/>
      <c r="KOM983" s="336"/>
      <c r="KON983" s="337"/>
      <c r="KOO983" s="336"/>
      <c r="KOP983" s="337"/>
      <c r="KOQ983" s="336"/>
      <c r="KOR983" s="337"/>
      <c r="KOS983" s="336"/>
      <c r="KOT983" s="337"/>
      <c r="KOU983" s="336"/>
      <c r="KOV983" s="337"/>
      <c r="KOW983" s="336"/>
      <c r="KOX983" s="337"/>
      <c r="KOY983" s="336"/>
      <c r="KOZ983" s="337"/>
      <c r="KPA983" s="336"/>
      <c r="KPB983" s="337"/>
      <c r="KPC983" s="336"/>
      <c r="KPD983" s="337"/>
      <c r="KPE983" s="336"/>
      <c r="KPF983" s="337"/>
      <c r="KPG983" s="336"/>
      <c r="KPH983" s="337"/>
      <c r="KPI983" s="336"/>
      <c r="KPJ983" s="337"/>
      <c r="KPK983" s="336"/>
      <c r="KPL983" s="337"/>
      <c r="KPM983" s="336"/>
      <c r="KPN983" s="337"/>
      <c r="KPO983" s="336"/>
      <c r="KPP983" s="337"/>
      <c r="KPQ983" s="336"/>
      <c r="KPR983" s="337"/>
      <c r="KPS983" s="336"/>
      <c r="KPT983" s="337"/>
      <c r="KPU983" s="336"/>
      <c r="KPV983" s="337"/>
      <c r="KPW983" s="336"/>
      <c r="KPX983" s="337"/>
      <c r="KPY983" s="336"/>
      <c r="KPZ983" s="337"/>
      <c r="KQA983" s="336"/>
      <c r="KQB983" s="337"/>
      <c r="KQC983" s="336"/>
      <c r="KQD983" s="337"/>
      <c r="KQE983" s="336"/>
      <c r="KQF983" s="337"/>
      <c r="KQG983" s="336"/>
      <c r="KQH983" s="337"/>
      <c r="KQI983" s="336"/>
      <c r="KQJ983" s="337"/>
      <c r="KQK983" s="336"/>
      <c r="KQL983" s="337"/>
      <c r="KQM983" s="336"/>
      <c r="KQN983" s="337"/>
      <c r="KQO983" s="336"/>
      <c r="KQP983" s="337"/>
      <c r="KQQ983" s="336"/>
      <c r="KQR983" s="337"/>
      <c r="KQS983" s="336"/>
      <c r="KQT983" s="337"/>
      <c r="KQU983" s="336"/>
      <c r="KQV983" s="337"/>
      <c r="KQW983" s="336"/>
      <c r="KQX983" s="337"/>
      <c r="KQY983" s="336"/>
      <c r="KQZ983" s="337"/>
      <c r="KRA983" s="336"/>
      <c r="KRB983" s="337"/>
      <c r="KRC983" s="336"/>
      <c r="KRD983" s="337"/>
      <c r="KRE983" s="336"/>
      <c r="KRF983" s="337"/>
      <c r="KRG983" s="336"/>
      <c r="KRH983" s="337"/>
      <c r="KRI983" s="336"/>
      <c r="KRJ983" s="337"/>
      <c r="KRK983" s="336"/>
      <c r="KRL983" s="337"/>
      <c r="KRM983" s="336"/>
      <c r="KRN983" s="337"/>
      <c r="KRO983" s="336"/>
      <c r="KRP983" s="337"/>
      <c r="KRQ983" s="336"/>
      <c r="KRR983" s="337"/>
      <c r="KRS983" s="336"/>
      <c r="KRT983" s="337"/>
      <c r="KRU983" s="336"/>
      <c r="KRV983" s="337"/>
      <c r="KRW983" s="336"/>
      <c r="KRX983" s="337"/>
      <c r="KRY983" s="336"/>
      <c r="KRZ983" s="337"/>
      <c r="KSA983" s="336"/>
      <c r="KSB983" s="337"/>
      <c r="KSC983" s="336"/>
      <c r="KSD983" s="337"/>
      <c r="KSE983" s="336"/>
      <c r="KSF983" s="337"/>
      <c r="KSG983" s="336"/>
      <c r="KSH983" s="337"/>
      <c r="KSI983" s="336"/>
      <c r="KSJ983" s="337"/>
      <c r="KSK983" s="336"/>
      <c r="KSL983" s="337"/>
      <c r="KSM983" s="336"/>
      <c r="KSN983" s="337"/>
      <c r="KSO983" s="336"/>
      <c r="KSP983" s="337"/>
      <c r="KSQ983" s="336"/>
      <c r="KSR983" s="337"/>
      <c r="KSS983" s="336"/>
      <c r="KST983" s="337"/>
      <c r="KSU983" s="336"/>
      <c r="KSV983" s="337"/>
      <c r="KSW983" s="336"/>
      <c r="KSX983" s="337"/>
      <c r="KSY983" s="336"/>
      <c r="KSZ983" s="337"/>
      <c r="KTA983" s="336"/>
      <c r="KTB983" s="337"/>
      <c r="KTC983" s="336"/>
      <c r="KTD983" s="337"/>
      <c r="KTE983" s="336"/>
      <c r="KTF983" s="337"/>
      <c r="KTG983" s="336"/>
      <c r="KTH983" s="337"/>
      <c r="KTI983" s="336"/>
      <c r="KTJ983" s="337"/>
      <c r="KTK983" s="336"/>
      <c r="KTL983" s="337"/>
      <c r="KTM983" s="336"/>
      <c r="KTN983" s="337"/>
      <c r="KTO983" s="336"/>
      <c r="KTP983" s="337"/>
      <c r="KTQ983" s="336"/>
      <c r="KTR983" s="337"/>
      <c r="KTS983" s="336"/>
      <c r="KTT983" s="337"/>
      <c r="KTU983" s="336"/>
      <c r="KTV983" s="337"/>
      <c r="KTW983" s="336"/>
      <c r="KTX983" s="337"/>
      <c r="KTY983" s="336"/>
      <c r="KTZ983" s="337"/>
      <c r="KUA983" s="336"/>
      <c r="KUB983" s="337"/>
      <c r="KUC983" s="336"/>
      <c r="KUD983" s="337"/>
      <c r="KUE983" s="336"/>
      <c r="KUF983" s="337"/>
      <c r="KUG983" s="336"/>
      <c r="KUH983" s="337"/>
      <c r="KUI983" s="336"/>
      <c r="KUJ983" s="337"/>
      <c r="KUK983" s="336"/>
      <c r="KUL983" s="337"/>
      <c r="KUM983" s="336"/>
      <c r="KUN983" s="337"/>
      <c r="KUO983" s="336"/>
      <c r="KUP983" s="337"/>
      <c r="KUQ983" s="336"/>
      <c r="KUR983" s="337"/>
      <c r="KUS983" s="336"/>
      <c r="KUT983" s="337"/>
      <c r="KUU983" s="336"/>
      <c r="KUV983" s="337"/>
      <c r="KUW983" s="336"/>
      <c r="KUX983" s="337"/>
      <c r="KUY983" s="336"/>
      <c r="KUZ983" s="337"/>
      <c r="KVA983" s="336"/>
      <c r="KVB983" s="337"/>
      <c r="KVC983" s="336"/>
      <c r="KVD983" s="337"/>
      <c r="KVE983" s="336"/>
      <c r="KVF983" s="337"/>
      <c r="KVG983" s="336"/>
      <c r="KVH983" s="337"/>
      <c r="KVI983" s="336"/>
      <c r="KVJ983" s="337"/>
      <c r="KVK983" s="336"/>
      <c r="KVL983" s="337"/>
      <c r="KVM983" s="336"/>
      <c r="KVN983" s="337"/>
      <c r="KVO983" s="336"/>
      <c r="KVP983" s="337"/>
      <c r="KVQ983" s="336"/>
      <c r="KVR983" s="337"/>
      <c r="KVS983" s="336"/>
      <c r="KVT983" s="337"/>
      <c r="KVU983" s="336"/>
      <c r="KVV983" s="337"/>
      <c r="KVW983" s="336"/>
      <c r="KVX983" s="337"/>
      <c r="KVY983" s="336"/>
      <c r="KVZ983" s="337"/>
      <c r="KWA983" s="336"/>
      <c r="KWB983" s="337"/>
      <c r="KWC983" s="336"/>
      <c r="KWD983" s="337"/>
      <c r="KWE983" s="336"/>
      <c r="KWF983" s="337"/>
      <c r="KWG983" s="336"/>
      <c r="KWH983" s="337"/>
      <c r="KWI983" s="336"/>
      <c r="KWJ983" s="337"/>
      <c r="KWK983" s="336"/>
      <c r="KWL983" s="337"/>
      <c r="KWM983" s="336"/>
      <c r="KWN983" s="337"/>
      <c r="KWO983" s="336"/>
      <c r="KWP983" s="337"/>
      <c r="KWQ983" s="336"/>
      <c r="KWR983" s="337"/>
      <c r="KWS983" s="336"/>
      <c r="KWT983" s="337"/>
      <c r="KWU983" s="336"/>
      <c r="KWV983" s="337"/>
      <c r="KWW983" s="336"/>
      <c r="KWX983" s="337"/>
      <c r="KWY983" s="336"/>
      <c r="KWZ983" s="337"/>
      <c r="KXA983" s="336"/>
      <c r="KXB983" s="337"/>
      <c r="KXC983" s="336"/>
      <c r="KXD983" s="337"/>
      <c r="KXE983" s="336"/>
      <c r="KXF983" s="337"/>
      <c r="KXG983" s="336"/>
      <c r="KXH983" s="337"/>
      <c r="KXI983" s="336"/>
      <c r="KXJ983" s="337"/>
      <c r="KXK983" s="336"/>
      <c r="KXL983" s="337"/>
      <c r="KXM983" s="336"/>
      <c r="KXN983" s="337"/>
      <c r="KXO983" s="336"/>
      <c r="KXP983" s="337"/>
      <c r="KXQ983" s="336"/>
      <c r="KXR983" s="337"/>
      <c r="KXS983" s="336"/>
      <c r="KXT983" s="337"/>
      <c r="KXU983" s="336"/>
      <c r="KXV983" s="337"/>
      <c r="KXW983" s="336"/>
      <c r="KXX983" s="337"/>
      <c r="KXY983" s="336"/>
      <c r="KXZ983" s="337"/>
      <c r="KYA983" s="336"/>
      <c r="KYB983" s="337"/>
      <c r="KYC983" s="336"/>
      <c r="KYD983" s="337"/>
      <c r="KYE983" s="336"/>
      <c r="KYF983" s="337"/>
      <c r="KYG983" s="336"/>
      <c r="KYH983" s="337"/>
      <c r="KYI983" s="336"/>
      <c r="KYJ983" s="337"/>
      <c r="KYK983" s="336"/>
      <c r="KYL983" s="337"/>
      <c r="KYM983" s="336"/>
      <c r="KYN983" s="337"/>
      <c r="KYO983" s="336"/>
      <c r="KYP983" s="337"/>
      <c r="KYQ983" s="336"/>
      <c r="KYR983" s="337"/>
      <c r="KYS983" s="336"/>
      <c r="KYT983" s="337"/>
      <c r="KYU983" s="336"/>
      <c r="KYV983" s="337"/>
      <c r="KYW983" s="336"/>
      <c r="KYX983" s="337"/>
      <c r="KYY983" s="336"/>
      <c r="KYZ983" s="337"/>
      <c r="KZA983" s="336"/>
      <c r="KZB983" s="337"/>
      <c r="KZC983" s="336"/>
      <c r="KZD983" s="337"/>
      <c r="KZE983" s="336"/>
      <c r="KZF983" s="337"/>
      <c r="KZG983" s="336"/>
      <c r="KZH983" s="337"/>
      <c r="KZI983" s="336"/>
      <c r="KZJ983" s="337"/>
      <c r="KZK983" s="336"/>
      <c r="KZL983" s="337"/>
      <c r="KZM983" s="336"/>
      <c r="KZN983" s="337"/>
      <c r="KZO983" s="336"/>
      <c r="KZP983" s="337"/>
      <c r="KZQ983" s="336"/>
      <c r="KZR983" s="337"/>
      <c r="KZS983" s="336"/>
      <c r="KZT983" s="337"/>
      <c r="KZU983" s="336"/>
      <c r="KZV983" s="337"/>
      <c r="KZW983" s="336"/>
      <c r="KZX983" s="337"/>
      <c r="KZY983" s="336"/>
      <c r="KZZ983" s="337"/>
      <c r="LAA983" s="336"/>
      <c r="LAB983" s="337"/>
      <c r="LAC983" s="336"/>
      <c r="LAD983" s="337"/>
      <c r="LAE983" s="336"/>
      <c r="LAF983" s="337"/>
      <c r="LAG983" s="336"/>
      <c r="LAH983" s="337"/>
      <c r="LAI983" s="336"/>
      <c r="LAJ983" s="337"/>
      <c r="LAK983" s="336"/>
      <c r="LAL983" s="337"/>
      <c r="LAM983" s="336"/>
      <c r="LAN983" s="337"/>
      <c r="LAO983" s="336"/>
      <c r="LAP983" s="337"/>
      <c r="LAQ983" s="336"/>
      <c r="LAR983" s="337"/>
      <c r="LAS983" s="336"/>
      <c r="LAT983" s="337"/>
      <c r="LAU983" s="336"/>
      <c r="LAV983" s="337"/>
      <c r="LAW983" s="336"/>
      <c r="LAX983" s="337"/>
      <c r="LAY983" s="336"/>
      <c r="LAZ983" s="337"/>
      <c r="LBA983" s="336"/>
      <c r="LBB983" s="337"/>
      <c r="LBC983" s="336"/>
      <c r="LBD983" s="337"/>
      <c r="LBE983" s="336"/>
      <c r="LBF983" s="337"/>
      <c r="LBG983" s="336"/>
      <c r="LBH983" s="337"/>
      <c r="LBI983" s="336"/>
      <c r="LBJ983" s="337"/>
      <c r="LBK983" s="336"/>
      <c r="LBL983" s="337"/>
      <c r="LBM983" s="336"/>
      <c r="LBN983" s="337"/>
      <c r="LBO983" s="336"/>
      <c r="LBP983" s="337"/>
      <c r="LBQ983" s="336"/>
      <c r="LBR983" s="337"/>
      <c r="LBS983" s="336"/>
      <c r="LBT983" s="337"/>
      <c r="LBU983" s="336"/>
      <c r="LBV983" s="337"/>
      <c r="LBW983" s="336"/>
      <c r="LBX983" s="337"/>
      <c r="LBY983" s="336"/>
      <c r="LBZ983" s="337"/>
      <c r="LCA983" s="336"/>
      <c r="LCB983" s="337"/>
      <c r="LCC983" s="336"/>
      <c r="LCD983" s="337"/>
      <c r="LCE983" s="336"/>
      <c r="LCF983" s="337"/>
      <c r="LCG983" s="336"/>
      <c r="LCH983" s="337"/>
      <c r="LCI983" s="336"/>
      <c r="LCJ983" s="337"/>
      <c r="LCK983" s="336"/>
      <c r="LCL983" s="337"/>
      <c r="LCM983" s="336"/>
      <c r="LCN983" s="337"/>
      <c r="LCO983" s="336"/>
      <c r="LCP983" s="337"/>
      <c r="LCQ983" s="336"/>
      <c r="LCR983" s="337"/>
      <c r="LCS983" s="336"/>
      <c r="LCT983" s="337"/>
      <c r="LCU983" s="336"/>
      <c r="LCV983" s="337"/>
      <c r="LCW983" s="336"/>
      <c r="LCX983" s="337"/>
      <c r="LCY983" s="336"/>
      <c r="LCZ983" s="337"/>
      <c r="LDA983" s="336"/>
      <c r="LDB983" s="337"/>
      <c r="LDC983" s="336"/>
      <c r="LDD983" s="337"/>
      <c r="LDE983" s="336"/>
      <c r="LDF983" s="337"/>
      <c r="LDG983" s="336"/>
      <c r="LDH983" s="337"/>
      <c r="LDI983" s="336"/>
      <c r="LDJ983" s="337"/>
      <c r="LDK983" s="336"/>
      <c r="LDL983" s="337"/>
      <c r="LDM983" s="336"/>
      <c r="LDN983" s="337"/>
      <c r="LDO983" s="336"/>
      <c r="LDP983" s="337"/>
      <c r="LDQ983" s="336"/>
      <c r="LDR983" s="337"/>
      <c r="LDS983" s="336"/>
      <c r="LDT983" s="337"/>
      <c r="LDU983" s="336"/>
      <c r="LDV983" s="337"/>
      <c r="LDW983" s="336"/>
      <c r="LDX983" s="337"/>
      <c r="LDY983" s="336"/>
      <c r="LDZ983" s="337"/>
      <c r="LEA983" s="336"/>
      <c r="LEB983" s="337"/>
      <c r="LEC983" s="336"/>
      <c r="LED983" s="337"/>
      <c r="LEE983" s="336"/>
      <c r="LEF983" s="337"/>
      <c r="LEG983" s="336"/>
      <c r="LEH983" s="337"/>
      <c r="LEI983" s="336"/>
      <c r="LEJ983" s="337"/>
      <c r="LEK983" s="336"/>
      <c r="LEL983" s="337"/>
      <c r="LEM983" s="336"/>
      <c r="LEN983" s="337"/>
      <c r="LEO983" s="336"/>
      <c r="LEP983" s="337"/>
      <c r="LEQ983" s="336"/>
      <c r="LER983" s="337"/>
      <c r="LES983" s="336"/>
      <c r="LET983" s="337"/>
      <c r="LEU983" s="336"/>
      <c r="LEV983" s="337"/>
      <c r="LEW983" s="336"/>
      <c r="LEX983" s="337"/>
      <c r="LEY983" s="336"/>
      <c r="LEZ983" s="337"/>
      <c r="LFA983" s="336"/>
      <c r="LFB983" s="337"/>
      <c r="LFC983" s="336"/>
      <c r="LFD983" s="337"/>
      <c r="LFE983" s="336"/>
      <c r="LFF983" s="337"/>
      <c r="LFG983" s="336"/>
      <c r="LFH983" s="337"/>
      <c r="LFI983" s="336"/>
      <c r="LFJ983" s="337"/>
      <c r="LFK983" s="336"/>
      <c r="LFL983" s="337"/>
      <c r="LFM983" s="336"/>
      <c r="LFN983" s="337"/>
      <c r="LFO983" s="336"/>
      <c r="LFP983" s="337"/>
      <c r="LFQ983" s="336"/>
      <c r="LFR983" s="337"/>
      <c r="LFS983" s="336"/>
      <c r="LFT983" s="337"/>
      <c r="LFU983" s="336"/>
      <c r="LFV983" s="337"/>
      <c r="LFW983" s="336"/>
      <c r="LFX983" s="337"/>
      <c r="LFY983" s="336"/>
      <c r="LFZ983" s="337"/>
      <c r="LGA983" s="336"/>
      <c r="LGB983" s="337"/>
      <c r="LGC983" s="336"/>
      <c r="LGD983" s="337"/>
      <c r="LGE983" s="336"/>
      <c r="LGF983" s="337"/>
      <c r="LGG983" s="336"/>
      <c r="LGH983" s="337"/>
      <c r="LGI983" s="336"/>
      <c r="LGJ983" s="337"/>
      <c r="LGK983" s="336"/>
      <c r="LGL983" s="337"/>
      <c r="LGM983" s="336"/>
      <c r="LGN983" s="337"/>
      <c r="LGO983" s="336"/>
      <c r="LGP983" s="337"/>
      <c r="LGQ983" s="336"/>
      <c r="LGR983" s="337"/>
      <c r="LGS983" s="336"/>
      <c r="LGT983" s="337"/>
      <c r="LGU983" s="336"/>
      <c r="LGV983" s="337"/>
      <c r="LGW983" s="336"/>
      <c r="LGX983" s="337"/>
      <c r="LGY983" s="336"/>
      <c r="LGZ983" s="337"/>
      <c r="LHA983" s="336"/>
      <c r="LHB983" s="337"/>
      <c r="LHC983" s="336"/>
      <c r="LHD983" s="337"/>
      <c r="LHE983" s="336"/>
      <c r="LHF983" s="337"/>
      <c r="LHG983" s="336"/>
      <c r="LHH983" s="337"/>
      <c r="LHI983" s="336"/>
      <c r="LHJ983" s="337"/>
      <c r="LHK983" s="336"/>
      <c r="LHL983" s="337"/>
      <c r="LHM983" s="336"/>
      <c r="LHN983" s="337"/>
      <c r="LHO983" s="336"/>
      <c r="LHP983" s="337"/>
      <c r="LHQ983" s="336"/>
      <c r="LHR983" s="337"/>
      <c r="LHS983" s="336"/>
      <c r="LHT983" s="337"/>
      <c r="LHU983" s="336"/>
      <c r="LHV983" s="337"/>
      <c r="LHW983" s="336"/>
      <c r="LHX983" s="337"/>
      <c r="LHY983" s="336"/>
      <c r="LHZ983" s="337"/>
      <c r="LIA983" s="336"/>
      <c r="LIB983" s="337"/>
      <c r="LIC983" s="336"/>
      <c r="LID983" s="337"/>
      <c r="LIE983" s="336"/>
      <c r="LIF983" s="337"/>
      <c r="LIG983" s="336"/>
      <c r="LIH983" s="337"/>
      <c r="LII983" s="336"/>
      <c r="LIJ983" s="337"/>
      <c r="LIK983" s="336"/>
      <c r="LIL983" s="337"/>
      <c r="LIM983" s="336"/>
      <c r="LIN983" s="337"/>
      <c r="LIO983" s="336"/>
      <c r="LIP983" s="337"/>
      <c r="LIQ983" s="336"/>
      <c r="LIR983" s="337"/>
      <c r="LIS983" s="336"/>
      <c r="LIT983" s="337"/>
      <c r="LIU983" s="336"/>
      <c r="LIV983" s="337"/>
      <c r="LIW983" s="336"/>
      <c r="LIX983" s="337"/>
      <c r="LIY983" s="336"/>
      <c r="LIZ983" s="337"/>
      <c r="LJA983" s="336"/>
      <c r="LJB983" s="337"/>
      <c r="LJC983" s="336"/>
      <c r="LJD983" s="337"/>
      <c r="LJE983" s="336"/>
      <c r="LJF983" s="337"/>
      <c r="LJG983" s="336"/>
      <c r="LJH983" s="337"/>
      <c r="LJI983" s="336"/>
      <c r="LJJ983" s="337"/>
      <c r="LJK983" s="336"/>
      <c r="LJL983" s="337"/>
      <c r="LJM983" s="336"/>
      <c r="LJN983" s="337"/>
      <c r="LJO983" s="336"/>
      <c r="LJP983" s="337"/>
      <c r="LJQ983" s="336"/>
      <c r="LJR983" s="337"/>
      <c r="LJS983" s="336"/>
      <c r="LJT983" s="337"/>
      <c r="LJU983" s="336"/>
      <c r="LJV983" s="337"/>
      <c r="LJW983" s="336"/>
      <c r="LJX983" s="337"/>
      <c r="LJY983" s="336"/>
      <c r="LJZ983" s="337"/>
      <c r="LKA983" s="336"/>
      <c r="LKB983" s="337"/>
      <c r="LKC983" s="336"/>
      <c r="LKD983" s="337"/>
      <c r="LKE983" s="336"/>
      <c r="LKF983" s="337"/>
      <c r="LKG983" s="336"/>
      <c r="LKH983" s="337"/>
      <c r="LKI983" s="336"/>
      <c r="LKJ983" s="337"/>
      <c r="LKK983" s="336"/>
      <c r="LKL983" s="337"/>
      <c r="LKM983" s="336"/>
      <c r="LKN983" s="337"/>
      <c r="LKO983" s="336"/>
      <c r="LKP983" s="337"/>
      <c r="LKQ983" s="336"/>
      <c r="LKR983" s="337"/>
      <c r="LKS983" s="336"/>
      <c r="LKT983" s="337"/>
      <c r="LKU983" s="336"/>
      <c r="LKV983" s="337"/>
      <c r="LKW983" s="336"/>
      <c r="LKX983" s="337"/>
      <c r="LKY983" s="336"/>
      <c r="LKZ983" s="337"/>
      <c r="LLA983" s="336"/>
      <c r="LLB983" s="337"/>
      <c r="LLC983" s="336"/>
      <c r="LLD983" s="337"/>
      <c r="LLE983" s="336"/>
      <c r="LLF983" s="337"/>
      <c r="LLG983" s="336"/>
      <c r="LLH983" s="337"/>
      <c r="LLI983" s="336"/>
      <c r="LLJ983" s="337"/>
      <c r="LLK983" s="336"/>
      <c r="LLL983" s="337"/>
      <c r="LLM983" s="336"/>
      <c r="LLN983" s="337"/>
      <c r="LLO983" s="336"/>
      <c r="LLP983" s="337"/>
      <c r="LLQ983" s="336"/>
      <c r="LLR983" s="337"/>
      <c r="LLS983" s="336"/>
      <c r="LLT983" s="337"/>
      <c r="LLU983" s="336"/>
      <c r="LLV983" s="337"/>
      <c r="LLW983" s="336"/>
      <c r="LLX983" s="337"/>
      <c r="LLY983" s="336"/>
      <c r="LLZ983" s="337"/>
      <c r="LMA983" s="336"/>
      <c r="LMB983" s="337"/>
      <c r="LMC983" s="336"/>
      <c r="LMD983" s="337"/>
      <c r="LME983" s="336"/>
      <c r="LMF983" s="337"/>
      <c r="LMG983" s="336"/>
      <c r="LMH983" s="337"/>
      <c r="LMI983" s="336"/>
      <c r="LMJ983" s="337"/>
      <c r="LMK983" s="336"/>
      <c r="LML983" s="337"/>
      <c r="LMM983" s="336"/>
      <c r="LMN983" s="337"/>
      <c r="LMO983" s="336"/>
      <c r="LMP983" s="337"/>
      <c r="LMQ983" s="336"/>
      <c r="LMR983" s="337"/>
      <c r="LMS983" s="336"/>
      <c r="LMT983" s="337"/>
      <c r="LMU983" s="336"/>
      <c r="LMV983" s="337"/>
      <c r="LMW983" s="336"/>
      <c r="LMX983" s="337"/>
      <c r="LMY983" s="336"/>
      <c r="LMZ983" s="337"/>
      <c r="LNA983" s="336"/>
      <c r="LNB983" s="337"/>
      <c r="LNC983" s="336"/>
      <c r="LND983" s="337"/>
      <c r="LNE983" s="336"/>
      <c r="LNF983" s="337"/>
      <c r="LNG983" s="336"/>
      <c r="LNH983" s="337"/>
      <c r="LNI983" s="336"/>
      <c r="LNJ983" s="337"/>
      <c r="LNK983" s="336"/>
      <c r="LNL983" s="337"/>
      <c r="LNM983" s="336"/>
      <c r="LNN983" s="337"/>
      <c r="LNO983" s="336"/>
      <c r="LNP983" s="337"/>
      <c r="LNQ983" s="336"/>
      <c r="LNR983" s="337"/>
      <c r="LNS983" s="336"/>
      <c r="LNT983" s="337"/>
      <c r="LNU983" s="336"/>
      <c r="LNV983" s="337"/>
      <c r="LNW983" s="336"/>
      <c r="LNX983" s="337"/>
      <c r="LNY983" s="336"/>
      <c r="LNZ983" s="337"/>
      <c r="LOA983" s="336"/>
      <c r="LOB983" s="337"/>
      <c r="LOC983" s="336"/>
      <c r="LOD983" s="337"/>
      <c r="LOE983" s="336"/>
      <c r="LOF983" s="337"/>
      <c r="LOG983" s="336"/>
      <c r="LOH983" s="337"/>
      <c r="LOI983" s="336"/>
      <c r="LOJ983" s="337"/>
      <c r="LOK983" s="336"/>
      <c r="LOL983" s="337"/>
      <c r="LOM983" s="336"/>
      <c r="LON983" s="337"/>
      <c r="LOO983" s="336"/>
      <c r="LOP983" s="337"/>
      <c r="LOQ983" s="336"/>
      <c r="LOR983" s="337"/>
      <c r="LOS983" s="336"/>
      <c r="LOT983" s="337"/>
      <c r="LOU983" s="336"/>
      <c r="LOV983" s="337"/>
      <c r="LOW983" s="336"/>
      <c r="LOX983" s="337"/>
      <c r="LOY983" s="336"/>
      <c r="LOZ983" s="337"/>
      <c r="LPA983" s="336"/>
      <c r="LPB983" s="337"/>
      <c r="LPC983" s="336"/>
      <c r="LPD983" s="337"/>
      <c r="LPE983" s="336"/>
      <c r="LPF983" s="337"/>
      <c r="LPG983" s="336"/>
      <c r="LPH983" s="337"/>
      <c r="LPI983" s="336"/>
      <c r="LPJ983" s="337"/>
      <c r="LPK983" s="336"/>
      <c r="LPL983" s="337"/>
      <c r="LPM983" s="336"/>
      <c r="LPN983" s="337"/>
      <c r="LPO983" s="336"/>
      <c r="LPP983" s="337"/>
      <c r="LPQ983" s="336"/>
      <c r="LPR983" s="337"/>
      <c r="LPS983" s="336"/>
      <c r="LPT983" s="337"/>
      <c r="LPU983" s="336"/>
      <c r="LPV983" s="337"/>
      <c r="LPW983" s="336"/>
      <c r="LPX983" s="337"/>
      <c r="LPY983" s="336"/>
      <c r="LPZ983" s="337"/>
      <c r="LQA983" s="336"/>
      <c r="LQB983" s="337"/>
      <c r="LQC983" s="336"/>
      <c r="LQD983" s="337"/>
      <c r="LQE983" s="336"/>
      <c r="LQF983" s="337"/>
      <c r="LQG983" s="336"/>
      <c r="LQH983" s="337"/>
      <c r="LQI983" s="336"/>
      <c r="LQJ983" s="337"/>
      <c r="LQK983" s="336"/>
      <c r="LQL983" s="337"/>
      <c r="LQM983" s="336"/>
      <c r="LQN983" s="337"/>
      <c r="LQO983" s="336"/>
      <c r="LQP983" s="337"/>
      <c r="LQQ983" s="336"/>
      <c r="LQR983" s="337"/>
      <c r="LQS983" s="336"/>
      <c r="LQT983" s="337"/>
      <c r="LQU983" s="336"/>
      <c r="LQV983" s="337"/>
      <c r="LQW983" s="336"/>
      <c r="LQX983" s="337"/>
      <c r="LQY983" s="336"/>
      <c r="LQZ983" s="337"/>
      <c r="LRA983" s="336"/>
      <c r="LRB983" s="337"/>
      <c r="LRC983" s="336"/>
      <c r="LRD983" s="337"/>
      <c r="LRE983" s="336"/>
      <c r="LRF983" s="337"/>
      <c r="LRG983" s="336"/>
      <c r="LRH983" s="337"/>
      <c r="LRI983" s="336"/>
      <c r="LRJ983" s="337"/>
      <c r="LRK983" s="336"/>
      <c r="LRL983" s="337"/>
      <c r="LRM983" s="336"/>
      <c r="LRN983" s="337"/>
      <c r="LRO983" s="336"/>
      <c r="LRP983" s="337"/>
      <c r="LRQ983" s="336"/>
      <c r="LRR983" s="337"/>
      <c r="LRS983" s="336"/>
      <c r="LRT983" s="337"/>
      <c r="LRU983" s="336"/>
      <c r="LRV983" s="337"/>
      <c r="LRW983" s="336"/>
      <c r="LRX983" s="337"/>
      <c r="LRY983" s="336"/>
      <c r="LRZ983" s="337"/>
      <c r="LSA983" s="336"/>
      <c r="LSB983" s="337"/>
      <c r="LSC983" s="336"/>
      <c r="LSD983" s="337"/>
      <c r="LSE983" s="336"/>
      <c r="LSF983" s="337"/>
      <c r="LSG983" s="336"/>
      <c r="LSH983" s="337"/>
      <c r="LSI983" s="336"/>
      <c r="LSJ983" s="337"/>
      <c r="LSK983" s="336"/>
      <c r="LSL983" s="337"/>
      <c r="LSM983" s="336"/>
      <c r="LSN983" s="337"/>
      <c r="LSO983" s="336"/>
      <c r="LSP983" s="337"/>
      <c r="LSQ983" s="336"/>
      <c r="LSR983" s="337"/>
      <c r="LSS983" s="336"/>
      <c r="LST983" s="337"/>
      <c r="LSU983" s="336"/>
      <c r="LSV983" s="337"/>
      <c r="LSW983" s="336"/>
      <c r="LSX983" s="337"/>
      <c r="LSY983" s="336"/>
      <c r="LSZ983" s="337"/>
      <c r="LTA983" s="336"/>
      <c r="LTB983" s="337"/>
      <c r="LTC983" s="336"/>
      <c r="LTD983" s="337"/>
      <c r="LTE983" s="336"/>
      <c r="LTF983" s="337"/>
      <c r="LTG983" s="336"/>
      <c r="LTH983" s="337"/>
      <c r="LTI983" s="336"/>
      <c r="LTJ983" s="337"/>
      <c r="LTK983" s="336"/>
      <c r="LTL983" s="337"/>
      <c r="LTM983" s="336"/>
      <c r="LTN983" s="337"/>
      <c r="LTO983" s="336"/>
      <c r="LTP983" s="337"/>
      <c r="LTQ983" s="336"/>
      <c r="LTR983" s="337"/>
      <c r="LTS983" s="336"/>
      <c r="LTT983" s="337"/>
      <c r="LTU983" s="336"/>
      <c r="LTV983" s="337"/>
      <c r="LTW983" s="336"/>
      <c r="LTX983" s="337"/>
      <c r="LTY983" s="336"/>
      <c r="LTZ983" s="337"/>
      <c r="LUA983" s="336"/>
      <c r="LUB983" s="337"/>
      <c r="LUC983" s="336"/>
      <c r="LUD983" s="337"/>
      <c r="LUE983" s="336"/>
      <c r="LUF983" s="337"/>
      <c r="LUG983" s="336"/>
      <c r="LUH983" s="337"/>
      <c r="LUI983" s="336"/>
      <c r="LUJ983" s="337"/>
      <c r="LUK983" s="336"/>
      <c r="LUL983" s="337"/>
      <c r="LUM983" s="336"/>
      <c r="LUN983" s="337"/>
      <c r="LUO983" s="336"/>
      <c r="LUP983" s="337"/>
      <c r="LUQ983" s="336"/>
      <c r="LUR983" s="337"/>
      <c r="LUS983" s="336"/>
      <c r="LUT983" s="337"/>
      <c r="LUU983" s="336"/>
      <c r="LUV983" s="337"/>
      <c r="LUW983" s="336"/>
      <c r="LUX983" s="337"/>
      <c r="LUY983" s="336"/>
      <c r="LUZ983" s="337"/>
      <c r="LVA983" s="336"/>
      <c r="LVB983" s="337"/>
      <c r="LVC983" s="336"/>
      <c r="LVD983" s="337"/>
      <c r="LVE983" s="336"/>
      <c r="LVF983" s="337"/>
      <c r="LVG983" s="336"/>
      <c r="LVH983" s="337"/>
      <c r="LVI983" s="336"/>
      <c r="LVJ983" s="337"/>
      <c r="LVK983" s="336"/>
      <c r="LVL983" s="337"/>
      <c r="LVM983" s="336"/>
      <c r="LVN983" s="337"/>
      <c r="LVO983" s="336"/>
      <c r="LVP983" s="337"/>
      <c r="LVQ983" s="336"/>
      <c r="LVR983" s="337"/>
      <c r="LVS983" s="336"/>
      <c r="LVT983" s="337"/>
      <c r="LVU983" s="336"/>
      <c r="LVV983" s="337"/>
      <c r="LVW983" s="336"/>
      <c r="LVX983" s="337"/>
      <c r="LVY983" s="336"/>
      <c r="LVZ983" s="337"/>
      <c r="LWA983" s="336"/>
      <c r="LWB983" s="337"/>
      <c r="LWC983" s="336"/>
      <c r="LWD983" s="337"/>
      <c r="LWE983" s="336"/>
      <c r="LWF983" s="337"/>
      <c r="LWG983" s="336"/>
      <c r="LWH983" s="337"/>
      <c r="LWI983" s="336"/>
      <c r="LWJ983" s="337"/>
      <c r="LWK983" s="336"/>
      <c r="LWL983" s="337"/>
      <c r="LWM983" s="336"/>
      <c r="LWN983" s="337"/>
      <c r="LWO983" s="336"/>
      <c r="LWP983" s="337"/>
      <c r="LWQ983" s="336"/>
      <c r="LWR983" s="337"/>
      <c r="LWS983" s="336"/>
      <c r="LWT983" s="337"/>
      <c r="LWU983" s="336"/>
      <c r="LWV983" s="337"/>
      <c r="LWW983" s="336"/>
      <c r="LWX983" s="337"/>
      <c r="LWY983" s="336"/>
      <c r="LWZ983" s="337"/>
      <c r="LXA983" s="336"/>
      <c r="LXB983" s="337"/>
      <c r="LXC983" s="336"/>
      <c r="LXD983" s="337"/>
      <c r="LXE983" s="336"/>
      <c r="LXF983" s="337"/>
      <c r="LXG983" s="336"/>
      <c r="LXH983" s="337"/>
      <c r="LXI983" s="336"/>
      <c r="LXJ983" s="337"/>
      <c r="LXK983" s="336"/>
      <c r="LXL983" s="337"/>
      <c r="LXM983" s="336"/>
      <c r="LXN983" s="337"/>
      <c r="LXO983" s="336"/>
      <c r="LXP983" s="337"/>
      <c r="LXQ983" s="336"/>
      <c r="LXR983" s="337"/>
      <c r="LXS983" s="336"/>
      <c r="LXT983" s="337"/>
      <c r="LXU983" s="336"/>
      <c r="LXV983" s="337"/>
      <c r="LXW983" s="336"/>
      <c r="LXX983" s="337"/>
      <c r="LXY983" s="336"/>
      <c r="LXZ983" s="337"/>
      <c r="LYA983" s="336"/>
      <c r="LYB983" s="337"/>
      <c r="LYC983" s="336"/>
      <c r="LYD983" s="337"/>
      <c r="LYE983" s="336"/>
      <c r="LYF983" s="337"/>
      <c r="LYG983" s="336"/>
      <c r="LYH983" s="337"/>
      <c r="LYI983" s="336"/>
      <c r="LYJ983" s="337"/>
      <c r="LYK983" s="336"/>
      <c r="LYL983" s="337"/>
      <c r="LYM983" s="336"/>
      <c r="LYN983" s="337"/>
      <c r="LYO983" s="336"/>
      <c r="LYP983" s="337"/>
      <c r="LYQ983" s="336"/>
      <c r="LYR983" s="337"/>
      <c r="LYS983" s="336"/>
      <c r="LYT983" s="337"/>
      <c r="LYU983" s="336"/>
      <c r="LYV983" s="337"/>
      <c r="LYW983" s="336"/>
      <c r="LYX983" s="337"/>
      <c r="LYY983" s="336"/>
      <c r="LYZ983" s="337"/>
      <c r="LZA983" s="336"/>
      <c r="LZB983" s="337"/>
      <c r="LZC983" s="336"/>
      <c r="LZD983" s="337"/>
      <c r="LZE983" s="336"/>
      <c r="LZF983" s="337"/>
      <c r="LZG983" s="336"/>
      <c r="LZH983" s="337"/>
      <c r="LZI983" s="336"/>
      <c r="LZJ983" s="337"/>
      <c r="LZK983" s="336"/>
      <c r="LZL983" s="337"/>
      <c r="LZM983" s="336"/>
      <c r="LZN983" s="337"/>
      <c r="LZO983" s="336"/>
      <c r="LZP983" s="337"/>
      <c r="LZQ983" s="336"/>
      <c r="LZR983" s="337"/>
      <c r="LZS983" s="336"/>
      <c r="LZT983" s="337"/>
      <c r="LZU983" s="336"/>
      <c r="LZV983" s="337"/>
      <c r="LZW983" s="336"/>
      <c r="LZX983" s="337"/>
      <c r="LZY983" s="336"/>
      <c r="LZZ983" s="337"/>
      <c r="MAA983" s="336"/>
      <c r="MAB983" s="337"/>
      <c r="MAC983" s="336"/>
      <c r="MAD983" s="337"/>
      <c r="MAE983" s="336"/>
      <c r="MAF983" s="337"/>
      <c r="MAG983" s="336"/>
      <c r="MAH983" s="337"/>
      <c r="MAI983" s="336"/>
      <c r="MAJ983" s="337"/>
      <c r="MAK983" s="336"/>
      <c r="MAL983" s="337"/>
      <c r="MAM983" s="336"/>
      <c r="MAN983" s="337"/>
      <c r="MAO983" s="336"/>
      <c r="MAP983" s="337"/>
      <c r="MAQ983" s="336"/>
      <c r="MAR983" s="337"/>
      <c r="MAS983" s="336"/>
      <c r="MAT983" s="337"/>
      <c r="MAU983" s="336"/>
      <c r="MAV983" s="337"/>
      <c r="MAW983" s="336"/>
      <c r="MAX983" s="337"/>
      <c r="MAY983" s="336"/>
      <c r="MAZ983" s="337"/>
      <c r="MBA983" s="336"/>
      <c r="MBB983" s="337"/>
      <c r="MBC983" s="336"/>
      <c r="MBD983" s="337"/>
      <c r="MBE983" s="336"/>
      <c r="MBF983" s="337"/>
      <c r="MBG983" s="336"/>
      <c r="MBH983" s="337"/>
      <c r="MBI983" s="336"/>
      <c r="MBJ983" s="337"/>
      <c r="MBK983" s="336"/>
      <c r="MBL983" s="337"/>
      <c r="MBM983" s="336"/>
      <c r="MBN983" s="337"/>
      <c r="MBO983" s="336"/>
      <c r="MBP983" s="337"/>
      <c r="MBQ983" s="336"/>
      <c r="MBR983" s="337"/>
      <c r="MBS983" s="336"/>
      <c r="MBT983" s="337"/>
      <c r="MBU983" s="336"/>
      <c r="MBV983" s="337"/>
      <c r="MBW983" s="336"/>
      <c r="MBX983" s="337"/>
      <c r="MBY983" s="336"/>
      <c r="MBZ983" s="337"/>
      <c r="MCA983" s="336"/>
      <c r="MCB983" s="337"/>
      <c r="MCC983" s="336"/>
      <c r="MCD983" s="337"/>
      <c r="MCE983" s="336"/>
      <c r="MCF983" s="337"/>
      <c r="MCG983" s="336"/>
      <c r="MCH983" s="337"/>
      <c r="MCI983" s="336"/>
      <c r="MCJ983" s="337"/>
      <c r="MCK983" s="336"/>
      <c r="MCL983" s="337"/>
      <c r="MCM983" s="336"/>
      <c r="MCN983" s="337"/>
      <c r="MCO983" s="336"/>
      <c r="MCP983" s="337"/>
      <c r="MCQ983" s="336"/>
      <c r="MCR983" s="337"/>
      <c r="MCS983" s="336"/>
      <c r="MCT983" s="337"/>
      <c r="MCU983" s="336"/>
      <c r="MCV983" s="337"/>
      <c r="MCW983" s="336"/>
      <c r="MCX983" s="337"/>
      <c r="MCY983" s="336"/>
      <c r="MCZ983" s="337"/>
      <c r="MDA983" s="336"/>
      <c r="MDB983" s="337"/>
      <c r="MDC983" s="336"/>
      <c r="MDD983" s="337"/>
      <c r="MDE983" s="336"/>
      <c r="MDF983" s="337"/>
      <c r="MDG983" s="336"/>
      <c r="MDH983" s="337"/>
      <c r="MDI983" s="336"/>
      <c r="MDJ983" s="337"/>
      <c r="MDK983" s="336"/>
      <c r="MDL983" s="337"/>
      <c r="MDM983" s="336"/>
      <c r="MDN983" s="337"/>
      <c r="MDO983" s="336"/>
      <c r="MDP983" s="337"/>
      <c r="MDQ983" s="336"/>
      <c r="MDR983" s="337"/>
      <c r="MDS983" s="336"/>
      <c r="MDT983" s="337"/>
      <c r="MDU983" s="336"/>
      <c r="MDV983" s="337"/>
      <c r="MDW983" s="336"/>
      <c r="MDX983" s="337"/>
      <c r="MDY983" s="336"/>
      <c r="MDZ983" s="337"/>
      <c r="MEA983" s="336"/>
      <c r="MEB983" s="337"/>
      <c r="MEC983" s="336"/>
      <c r="MED983" s="337"/>
      <c r="MEE983" s="336"/>
      <c r="MEF983" s="337"/>
      <c r="MEG983" s="336"/>
      <c r="MEH983" s="337"/>
      <c r="MEI983" s="336"/>
      <c r="MEJ983" s="337"/>
      <c r="MEK983" s="336"/>
      <c r="MEL983" s="337"/>
      <c r="MEM983" s="336"/>
      <c r="MEN983" s="337"/>
      <c r="MEO983" s="336"/>
      <c r="MEP983" s="337"/>
      <c r="MEQ983" s="336"/>
      <c r="MER983" s="337"/>
      <c r="MES983" s="336"/>
      <c r="MET983" s="337"/>
      <c r="MEU983" s="336"/>
      <c r="MEV983" s="337"/>
      <c r="MEW983" s="336"/>
      <c r="MEX983" s="337"/>
      <c r="MEY983" s="336"/>
      <c r="MEZ983" s="337"/>
      <c r="MFA983" s="336"/>
      <c r="MFB983" s="337"/>
      <c r="MFC983" s="336"/>
      <c r="MFD983" s="337"/>
      <c r="MFE983" s="336"/>
      <c r="MFF983" s="337"/>
      <c r="MFG983" s="336"/>
      <c r="MFH983" s="337"/>
      <c r="MFI983" s="336"/>
      <c r="MFJ983" s="337"/>
      <c r="MFK983" s="336"/>
      <c r="MFL983" s="337"/>
      <c r="MFM983" s="336"/>
      <c r="MFN983" s="337"/>
      <c r="MFO983" s="336"/>
      <c r="MFP983" s="337"/>
      <c r="MFQ983" s="336"/>
      <c r="MFR983" s="337"/>
      <c r="MFS983" s="336"/>
      <c r="MFT983" s="337"/>
      <c r="MFU983" s="336"/>
      <c r="MFV983" s="337"/>
      <c r="MFW983" s="336"/>
      <c r="MFX983" s="337"/>
      <c r="MFY983" s="336"/>
      <c r="MFZ983" s="337"/>
      <c r="MGA983" s="336"/>
      <c r="MGB983" s="337"/>
      <c r="MGC983" s="336"/>
      <c r="MGD983" s="337"/>
      <c r="MGE983" s="336"/>
      <c r="MGF983" s="337"/>
      <c r="MGG983" s="336"/>
      <c r="MGH983" s="337"/>
      <c r="MGI983" s="336"/>
      <c r="MGJ983" s="337"/>
      <c r="MGK983" s="336"/>
      <c r="MGL983" s="337"/>
      <c r="MGM983" s="336"/>
      <c r="MGN983" s="337"/>
      <c r="MGO983" s="336"/>
      <c r="MGP983" s="337"/>
      <c r="MGQ983" s="336"/>
      <c r="MGR983" s="337"/>
      <c r="MGS983" s="336"/>
      <c r="MGT983" s="337"/>
      <c r="MGU983" s="336"/>
      <c r="MGV983" s="337"/>
      <c r="MGW983" s="336"/>
      <c r="MGX983" s="337"/>
      <c r="MGY983" s="336"/>
      <c r="MGZ983" s="337"/>
      <c r="MHA983" s="336"/>
      <c r="MHB983" s="337"/>
      <c r="MHC983" s="336"/>
      <c r="MHD983" s="337"/>
      <c r="MHE983" s="336"/>
      <c r="MHF983" s="337"/>
      <c r="MHG983" s="336"/>
      <c r="MHH983" s="337"/>
      <c r="MHI983" s="336"/>
      <c r="MHJ983" s="337"/>
      <c r="MHK983" s="336"/>
      <c r="MHL983" s="337"/>
      <c r="MHM983" s="336"/>
      <c r="MHN983" s="337"/>
      <c r="MHO983" s="336"/>
      <c r="MHP983" s="337"/>
      <c r="MHQ983" s="336"/>
      <c r="MHR983" s="337"/>
      <c r="MHS983" s="336"/>
      <c r="MHT983" s="337"/>
      <c r="MHU983" s="336"/>
      <c r="MHV983" s="337"/>
      <c r="MHW983" s="336"/>
      <c r="MHX983" s="337"/>
      <c r="MHY983" s="336"/>
      <c r="MHZ983" s="337"/>
      <c r="MIA983" s="336"/>
      <c r="MIB983" s="337"/>
      <c r="MIC983" s="336"/>
      <c r="MID983" s="337"/>
      <c r="MIE983" s="336"/>
      <c r="MIF983" s="337"/>
      <c r="MIG983" s="336"/>
      <c r="MIH983" s="337"/>
      <c r="MII983" s="336"/>
      <c r="MIJ983" s="337"/>
      <c r="MIK983" s="336"/>
      <c r="MIL983" s="337"/>
      <c r="MIM983" s="336"/>
      <c r="MIN983" s="337"/>
      <c r="MIO983" s="336"/>
      <c r="MIP983" s="337"/>
      <c r="MIQ983" s="336"/>
      <c r="MIR983" s="337"/>
      <c r="MIS983" s="336"/>
      <c r="MIT983" s="337"/>
      <c r="MIU983" s="336"/>
      <c r="MIV983" s="337"/>
      <c r="MIW983" s="336"/>
      <c r="MIX983" s="337"/>
      <c r="MIY983" s="336"/>
      <c r="MIZ983" s="337"/>
      <c r="MJA983" s="336"/>
      <c r="MJB983" s="337"/>
      <c r="MJC983" s="336"/>
      <c r="MJD983" s="337"/>
      <c r="MJE983" s="336"/>
      <c r="MJF983" s="337"/>
      <c r="MJG983" s="336"/>
      <c r="MJH983" s="337"/>
      <c r="MJI983" s="336"/>
      <c r="MJJ983" s="337"/>
      <c r="MJK983" s="336"/>
      <c r="MJL983" s="337"/>
      <c r="MJM983" s="336"/>
      <c r="MJN983" s="337"/>
      <c r="MJO983" s="336"/>
      <c r="MJP983" s="337"/>
      <c r="MJQ983" s="336"/>
      <c r="MJR983" s="337"/>
      <c r="MJS983" s="336"/>
      <c r="MJT983" s="337"/>
      <c r="MJU983" s="336"/>
      <c r="MJV983" s="337"/>
      <c r="MJW983" s="336"/>
      <c r="MJX983" s="337"/>
      <c r="MJY983" s="336"/>
      <c r="MJZ983" s="337"/>
      <c r="MKA983" s="336"/>
      <c r="MKB983" s="337"/>
      <c r="MKC983" s="336"/>
      <c r="MKD983" s="337"/>
      <c r="MKE983" s="336"/>
      <c r="MKF983" s="337"/>
      <c r="MKG983" s="336"/>
      <c r="MKH983" s="337"/>
      <c r="MKI983" s="336"/>
      <c r="MKJ983" s="337"/>
      <c r="MKK983" s="336"/>
      <c r="MKL983" s="337"/>
      <c r="MKM983" s="336"/>
      <c r="MKN983" s="337"/>
      <c r="MKO983" s="336"/>
      <c r="MKP983" s="337"/>
      <c r="MKQ983" s="336"/>
      <c r="MKR983" s="337"/>
      <c r="MKS983" s="336"/>
      <c r="MKT983" s="337"/>
      <c r="MKU983" s="336"/>
      <c r="MKV983" s="337"/>
      <c r="MKW983" s="336"/>
      <c r="MKX983" s="337"/>
      <c r="MKY983" s="336"/>
      <c r="MKZ983" s="337"/>
      <c r="MLA983" s="336"/>
      <c r="MLB983" s="337"/>
      <c r="MLC983" s="336"/>
      <c r="MLD983" s="337"/>
      <c r="MLE983" s="336"/>
      <c r="MLF983" s="337"/>
      <c r="MLG983" s="336"/>
      <c r="MLH983" s="337"/>
      <c r="MLI983" s="336"/>
      <c r="MLJ983" s="337"/>
      <c r="MLK983" s="336"/>
      <c r="MLL983" s="337"/>
      <c r="MLM983" s="336"/>
      <c r="MLN983" s="337"/>
      <c r="MLO983" s="336"/>
      <c r="MLP983" s="337"/>
      <c r="MLQ983" s="336"/>
      <c r="MLR983" s="337"/>
      <c r="MLS983" s="336"/>
      <c r="MLT983" s="337"/>
      <c r="MLU983" s="336"/>
      <c r="MLV983" s="337"/>
      <c r="MLW983" s="336"/>
      <c r="MLX983" s="337"/>
      <c r="MLY983" s="336"/>
      <c r="MLZ983" s="337"/>
      <c r="MMA983" s="336"/>
      <c r="MMB983" s="337"/>
      <c r="MMC983" s="336"/>
      <c r="MMD983" s="337"/>
      <c r="MME983" s="336"/>
      <c r="MMF983" s="337"/>
      <c r="MMG983" s="336"/>
      <c r="MMH983" s="337"/>
      <c r="MMI983" s="336"/>
      <c r="MMJ983" s="337"/>
      <c r="MMK983" s="336"/>
      <c r="MML983" s="337"/>
      <c r="MMM983" s="336"/>
      <c r="MMN983" s="337"/>
      <c r="MMO983" s="336"/>
      <c r="MMP983" s="337"/>
      <c r="MMQ983" s="336"/>
      <c r="MMR983" s="337"/>
      <c r="MMS983" s="336"/>
      <c r="MMT983" s="337"/>
      <c r="MMU983" s="336"/>
      <c r="MMV983" s="337"/>
      <c r="MMW983" s="336"/>
      <c r="MMX983" s="337"/>
      <c r="MMY983" s="336"/>
      <c r="MMZ983" s="337"/>
      <c r="MNA983" s="336"/>
      <c r="MNB983" s="337"/>
      <c r="MNC983" s="336"/>
      <c r="MND983" s="337"/>
      <c r="MNE983" s="336"/>
      <c r="MNF983" s="337"/>
      <c r="MNG983" s="336"/>
      <c r="MNH983" s="337"/>
      <c r="MNI983" s="336"/>
      <c r="MNJ983" s="337"/>
      <c r="MNK983" s="336"/>
      <c r="MNL983" s="337"/>
      <c r="MNM983" s="336"/>
      <c r="MNN983" s="337"/>
      <c r="MNO983" s="336"/>
      <c r="MNP983" s="337"/>
      <c r="MNQ983" s="336"/>
      <c r="MNR983" s="337"/>
      <c r="MNS983" s="336"/>
      <c r="MNT983" s="337"/>
      <c r="MNU983" s="336"/>
      <c r="MNV983" s="337"/>
      <c r="MNW983" s="336"/>
      <c r="MNX983" s="337"/>
      <c r="MNY983" s="336"/>
      <c r="MNZ983" s="337"/>
      <c r="MOA983" s="336"/>
      <c r="MOB983" s="337"/>
      <c r="MOC983" s="336"/>
      <c r="MOD983" s="337"/>
      <c r="MOE983" s="336"/>
      <c r="MOF983" s="337"/>
      <c r="MOG983" s="336"/>
      <c r="MOH983" s="337"/>
      <c r="MOI983" s="336"/>
      <c r="MOJ983" s="337"/>
      <c r="MOK983" s="336"/>
      <c r="MOL983" s="337"/>
      <c r="MOM983" s="336"/>
      <c r="MON983" s="337"/>
      <c r="MOO983" s="336"/>
      <c r="MOP983" s="337"/>
      <c r="MOQ983" s="336"/>
      <c r="MOR983" s="337"/>
      <c r="MOS983" s="336"/>
      <c r="MOT983" s="337"/>
      <c r="MOU983" s="336"/>
      <c r="MOV983" s="337"/>
      <c r="MOW983" s="336"/>
      <c r="MOX983" s="337"/>
      <c r="MOY983" s="336"/>
      <c r="MOZ983" s="337"/>
      <c r="MPA983" s="336"/>
      <c r="MPB983" s="337"/>
      <c r="MPC983" s="336"/>
      <c r="MPD983" s="337"/>
      <c r="MPE983" s="336"/>
      <c r="MPF983" s="337"/>
      <c r="MPG983" s="336"/>
      <c r="MPH983" s="337"/>
      <c r="MPI983" s="336"/>
      <c r="MPJ983" s="337"/>
      <c r="MPK983" s="336"/>
      <c r="MPL983" s="337"/>
      <c r="MPM983" s="336"/>
      <c r="MPN983" s="337"/>
      <c r="MPO983" s="336"/>
      <c r="MPP983" s="337"/>
      <c r="MPQ983" s="336"/>
      <c r="MPR983" s="337"/>
      <c r="MPS983" s="336"/>
      <c r="MPT983" s="337"/>
      <c r="MPU983" s="336"/>
      <c r="MPV983" s="337"/>
      <c r="MPW983" s="336"/>
      <c r="MPX983" s="337"/>
      <c r="MPY983" s="336"/>
      <c r="MPZ983" s="337"/>
      <c r="MQA983" s="336"/>
      <c r="MQB983" s="337"/>
      <c r="MQC983" s="336"/>
      <c r="MQD983" s="337"/>
      <c r="MQE983" s="336"/>
      <c r="MQF983" s="337"/>
      <c r="MQG983" s="336"/>
      <c r="MQH983" s="337"/>
      <c r="MQI983" s="336"/>
      <c r="MQJ983" s="337"/>
      <c r="MQK983" s="336"/>
      <c r="MQL983" s="337"/>
      <c r="MQM983" s="336"/>
      <c r="MQN983" s="337"/>
      <c r="MQO983" s="336"/>
      <c r="MQP983" s="337"/>
      <c r="MQQ983" s="336"/>
      <c r="MQR983" s="337"/>
      <c r="MQS983" s="336"/>
      <c r="MQT983" s="337"/>
      <c r="MQU983" s="336"/>
      <c r="MQV983" s="337"/>
      <c r="MQW983" s="336"/>
      <c r="MQX983" s="337"/>
      <c r="MQY983" s="336"/>
      <c r="MQZ983" s="337"/>
      <c r="MRA983" s="336"/>
      <c r="MRB983" s="337"/>
      <c r="MRC983" s="336"/>
      <c r="MRD983" s="337"/>
      <c r="MRE983" s="336"/>
      <c r="MRF983" s="337"/>
      <c r="MRG983" s="336"/>
      <c r="MRH983" s="337"/>
      <c r="MRI983" s="336"/>
      <c r="MRJ983" s="337"/>
      <c r="MRK983" s="336"/>
      <c r="MRL983" s="337"/>
      <c r="MRM983" s="336"/>
      <c r="MRN983" s="337"/>
      <c r="MRO983" s="336"/>
      <c r="MRP983" s="337"/>
      <c r="MRQ983" s="336"/>
      <c r="MRR983" s="337"/>
      <c r="MRS983" s="336"/>
      <c r="MRT983" s="337"/>
      <c r="MRU983" s="336"/>
      <c r="MRV983" s="337"/>
      <c r="MRW983" s="336"/>
      <c r="MRX983" s="337"/>
      <c r="MRY983" s="336"/>
      <c r="MRZ983" s="337"/>
      <c r="MSA983" s="336"/>
      <c r="MSB983" s="337"/>
      <c r="MSC983" s="336"/>
      <c r="MSD983" s="337"/>
      <c r="MSE983" s="336"/>
      <c r="MSF983" s="337"/>
      <c r="MSG983" s="336"/>
      <c r="MSH983" s="337"/>
      <c r="MSI983" s="336"/>
      <c r="MSJ983" s="337"/>
      <c r="MSK983" s="336"/>
      <c r="MSL983" s="337"/>
      <c r="MSM983" s="336"/>
      <c r="MSN983" s="337"/>
      <c r="MSO983" s="336"/>
      <c r="MSP983" s="337"/>
      <c r="MSQ983" s="336"/>
      <c r="MSR983" s="337"/>
      <c r="MSS983" s="336"/>
      <c r="MST983" s="337"/>
      <c r="MSU983" s="336"/>
      <c r="MSV983" s="337"/>
      <c r="MSW983" s="336"/>
      <c r="MSX983" s="337"/>
      <c r="MSY983" s="336"/>
      <c r="MSZ983" s="337"/>
      <c r="MTA983" s="336"/>
      <c r="MTB983" s="337"/>
      <c r="MTC983" s="336"/>
      <c r="MTD983" s="337"/>
      <c r="MTE983" s="336"/>
      <c r="MTF983" s="337"/>
      <c r="MTG983" s="336"/>
      <c r="MTH983" s="337"/>
      <c r="MTI983" s="336"/>
      <c r="MTJ983" s="337"/>
      <c r="MTK983" s="336"/>
      <c r="MTL983" s="337"/>
      <c r="MTM983" s="336"/>
      <c r="MTN983" s="337"/>
      <c r="MTO983" s="336"/>
      <c r="MTP983" s="337"/>
      <c r="MTQ983" s="336"/>
      <c r="MTR983" s="337"/>
      <c r="MTS983" s="336"/>
      <c r="MTT983" s="337"/>
      <c r="MTU983" s="336"/>
      <c r="MTV983" s="337"/>
      <c r="MTW983" s="336"/>
      <c r="MTX983" s="337"/>
      <c r="MTY983" s="336"/>
      <c r="MTZ983" s="337"/>
      <c r="MUA983" s="336"/>
      <c r="MUB983" s="337"/>
      <c r="MUC983" s="336"/>
      <c r="MUD983" s="337"/>
      <c r="MUE983" s="336"/>
      <c r="MUF983" s="337"/>
      <c r="MUG983" s="336"/>
      <c r="MUH983" s="337"/>
      <c r="MUI983" s="336"/>
      <c r="MUJ983" s="337"/>
      <c r="MUK983" s="336"/>
      <c r="MUL983" s="337"/>
      <c r="MUM983" s="336"/>
      <c r="MUN983" s="337"/>
      <c r="MUO983" s="336"/>
      <c r="MUP983" s="337"/>
      <c r="MUQ983" s="336"/>
      <c r="MUR983" s="337"/>
      <c r="MUS983" s="336"/>
      <c r="MUT983" s="337"/>
      <c r="MUU983" s="336"/>
      <c r="MUV983" s="337"/>
      <c r="MUW983" s="336"/>
      <c r="MUX983" s="337"/>
      <c r="MUY983" s="336"/>
      <c r="MUZ983" s="337"/>
      <c r="MVA983" s="336"/>
      <c r="MVB983" s="337"/>
      <c r="MVC983" s="336"/>
      <c r="MVD983" s="337"/>
      <c r="MVE983" s="336"/>
      <c r="MVF983" s="337"/>
      <c r="MVG983" s="336"/>
      <c r="MVH983" s="337"/>
      <c r="MVI983" s="336"/>
      <c r="MVJ983" s="337"/>
      <c r="MVK983" s="336"/>
      <c r="MVL983" s="337"/>
      <c r="MVM983" s="336"/>
      <c r="MVN983" s="337"/>
      <c r="MVO983" s="336"/>
      <c r="MVP983" s="337"/>
      <c r="MVQ983" s="336"/>
      <c r="MVR983" s="337"/>
      <c r="MVS983" s="336"/>
      <c r="MVT983" s="337"/>
      <c r="MVU983" s="336"/>
      <c r="MVV983" s="337"/>
      <c r="MVW983" s="336"/>
      <c r="MVX983" s="337"/>
      <c r="MVY983" s="336"/>
      <c r="MVZ983" s="337"/>
      <c r="MWA983" s="336"/>
      <c r="MWB983" s="337"/>
      <c r="MWC983" s="336"/>
      <c r="MWD983" s="337"/>
      <c r="MWE983" s="336"/>
      <c r="MWF983" s="337"/>
      <c r="MWG983" s="336"/>
      <c r="MWH983" s="337"/>
      <c r="MWI983" s="336"/>
      <c r="MWJ983" s="337"/>
      <c r="MWK983" s="336"/>
      <c r="MWL983" s="337"/>
      <c r="MWM983" s="336"/>
      <c r="MWN983" s="337"/>
      <c r="MWO983" s="336"/>
      <c r="MWP983" s="337"/>
      <c r="MWQ983" s="336"/>
      <c r="MWR983" s="337"/>
      <c r="MWS983" s="336"/>
      <c r="MWT983" s="337"/>
      <c r="MWU983" s="336"/>
      <c r="MWV983" s="337"/>
      <c r="MWW983" s="336"/>
      <c r="MWX983" s="337"/>
      <c r="MWY983" s="336"/>
      <c r="MWZ983" s="337"/>
      <c r="MXA983" s="336"/>
      <c r="MXB983" s="337"/>
      <c r="MXC983" s="336"/>
      <c r="MXD983" s="337"/>
      <c r="MXE983" s="336"/>
      <c r="MXF983" s="337"/>
      <c r="MXG983" s="336"/>
      <c r="MXH983" s="337"/>
      <c r="MXI983" s="336"/>
      <c r="MXJ983" s="337"/>
      <c r="MXK983" s="336"/>
      <c r="MXL983" s="337"/>
      <c r="MXM983" s="336"/>
      <c r="MXN983" s="337"/>
      <c r="MXO983" s="336"/>
      <c r="MXP983" s="337"/>
      <c r="MXQ983" s="336"/>
      <c r="MXR983" s="337"/>
      <c r="MXS983" s="336"/>
      <c r="MXT983" s="337"/>
      <c r="MXU983" s="336"/>
      <c r="MXV983" s="337"/>
      <c r="MXW983" s="336"/>
      <c r="MXX983" s="337"/>
      <c r="MXY983" s="336"/>
      <c r="MXZ983" s="337"/>
      <c r="MYA983" s="336"/>
      <c r="MYB983" s="337"/>
      <c r="MYC983" s="336"/>
      <c r="MYD983" s="337"/>
      <c r="MYE983" s="336"/>
      <c r="MYF983" s="337"/>
      <c r="MYG983" s="336"/>
      <c r="MYH983" s="337"/>
      <c r="MYI983" s="336"/>
      <c r="MYJ983" s="337"/>
      <c r="MYK983" s="336"/>
      <c r="MYL983" s="337"/>
      <c r="MYM983" s="336"/>
      <c r="MYN983" s="337"/>
      <c r="MYO983" s="336"/>
      <c r="MYP983" s="337"/>
      <c r="MYQ983" s="336"/>
      <c r="MYR983" s="337"/>
      <c r="MYS983" s="336"/>
      <c r="MYT983" s="337"/>
      <c r="MYU983" s="336"/>
      <c r="MYV983" s="337"/>
      <c r="MYW983" s="336"/>
      <c r="MYX983" s="337"/>
      <c r="MYY983" s="336"/>
      <c r="MYZ983" s="337"/>
      <c r="MZA983" s="336"/>
      <c r="MZB983" s="337"/>
      <c r="MZC983" s="336"/>
      <c r="MZD983" s="337"/>
      <c r="MZE983" s="336"/>
      <c r="MZF983" s="337"/>
      <c r="MZG983" s="336"/>
      <c r="MZH983" s="337"/>
      <c r="MZI983" s="336"/>
      <c r="MZJ983" s="337"/>
      <c r="MZK983" s="336"/>
      <c r="MZL983" s="337"/>
      <c r="MZM983" s="336"/>
      <c r="MZN983" s="337"/>
      <c r="MZO983" s="336"/>
      <c r="MZP983" s="337"/>
      <c r="MZQ983" s="336"/>
      <c r="MZR983" s="337"/>
      <c r="MZS983" s="336"/>
      <c r="MZT983" s="337"/>
      <c r="MZU983" s="336"/>
      <c r="MZV983" s="337"/>
      <c r="MZW983" s="336"/>
      <c r="MZX983" s="337"/>
      <c r="MZY983" s="336"/>
      <c r="MZZ983" s="337"/>
      <c r="NAA983" s="336"/>
      <c r="NAB983" s="337"/>
      <c r="NAC983" s="336"/>
      <c r="NAD983" s="337"/>
      <c r="NAE983" s="336"/>
      <c r="NAF983" s="337"/>
      <c r="NAG983" s="336"/>
      <c r="NAH983" s="337"/>
      <c r="NAI983" s="336"/>
      <c r="NAJ983" s="337"/>
      <c r="NAK983" s="336"/>
      <c r="NAL983" s="337"/>
      <c r="NAM983" s="336"/>
      <c r="NAN983" s="337"/>
      <c r="NAO983" s="336"/>
      <c r="NAP983" s="337"/>
      <c r="NAQ983" s="336"/>
      <c r="NAR983" s="337"/>
      <c r="NAS983" s="336"/>
      <c r="NAT983" s="337"/>
      <c r="NAU983" s="336"/>
      <c r="NAV983" s="337"/>
      <c r="NAW983" s="336"/>
      <c r="NAX983" s="337"/>
      <c r="NAY983" s="336"/>
      <c r="NAZ983" s="337"/>
      <c r="NBA983" s="336"/>
      <c r="NBB983" s="337"/>
      <c r="NBC983" s="336"/>
      <c r="NBD983" s="337"/>
      <c r="NBE983" s="336"/>
      <c r="NBF983" s="337"/>
      <c r="NBG983" s="336"/>
      <c r="NBH983" s="337"/>
      <c r="NBI983" s="336"/>
      <c r="NBJ983" s="337"/>
      <c r="NBK983" s="336"/>
      <c r="NBL983" s="337"/>
      <c r="NBM983" s="336"/>
      <c r="NBN983" s="337"/>
      <c r="NBO983" s="336"/>
      <c r="NBP983" s="337"/>
      <c r="NBQ983" s="336"/>
      <c r="NBR983" s="337"/>
      <c r="NBS983" s="336"/>
      <c r="NBT983" s="337"/>
      <c r="NBU983" s="336"/>
      <c r="NBV983" s="337"/>
      <c r="NBW983" s="336"/>
      <c r="NBX983" s="337"/>
      <c r="NBY983" s="336"/>
      <c r="NBZ983" s="337"/>
      <c r="NCA983" s="336"/>
      <c r="NCB983" s="337"/>
      <c r="NCC983" s="336"/>
      <c r="NCD983" s="337"/>
      <c r="NCE983" s="336"/>
      <c r="NCF983" s="337"/>
      <c r="NCG983" s="336"/>
      <c r="NCH983" s="337"/>
      <c r="NCI983" s="336"/>
      <c r="NCJ983" s="337"/>
      <c r="NCK983" s="336"/>
      <c r="NCL983" s="337"/>
      <c r="NCM983" s="336"/>
      <c r="NCN983" s="337"/>
      <c r="NCO983" s="336"/>
      <c r="NCP983" s="337"/>
      <c r="NCQ983" s="336"/>
      <c r="NCR983" s="337"/>
      <c r="NCS983" s="336"/>
      <c r="NCT983" s="337"/>
      <c r="NCU983" s="336"/>
      <c r="NCV983" s="337"/>
      <c r="NCW983" s="336"/>
      <c r="NCX983" s="337"/>
      <c r="NCY983" s="336"/>
      <c r="NCZ983" s="337"/>
      <c r="NDA983" s="336"/>
      <c r="NDB983" s="337"/>
      <c r="NDC983" s="336"/>
      <c r="NDD983" s="337"/>
      <c r="NDE983" s="336"/>
      <c r="NDF983" s="337"/>
      <c r="NDG983" s="336"/>
      <c r="NDH983" s="337"/>
      <c r="NDI983" s="336"/>
      <c r="NDJ983" s="337"/>
      <c r="NDK983" s="336"/>
      <c r="NDL983" s="337"/>
      <c r="NDM983" s="336"/>
      <c r="NDN983" s="337"/>
      <c r="NDO983" s="336"/>
      <c r="NDP983" s="337"/>
      <c r="NDQ983" s="336"/>
      <c r="NDR983" s="337"/>
      <c r="NDS983" s="336"/>
      <c r="NDT983" s="337"/>
      <c r="NDU983" s="336"/>
      <c r="NDV983" s="337"/>
      <c r="NDW983" s="336"/>
      <c r="NDX983" s="337"/>
      <c r="NDY983" s="336"/>
      <c r="NDZ983" s="337"/>
      <c r="NEA983" s="336"/>
      <c r="NEB983" s="337"/>
      <c r="NEC983" s="336"/>
      <c r="NED983" s="337"/>
      <c r="NEE983" s="336"/>
      <c r="NEF983" s="337"/>
      <c r="NEG983" s="336"/>
      <c r="NEH983" s="337"/>
      <c r="NEI983" s="336"/>
      <c r="NEJ983" s="337"/>
      <c r="NEK983" s="336"/>
      <c r="NEL983" s="337"/>
      <c r="NEM983" s="336"/>
      <c r="NEN983" s="337"/>
      <c r="NEO983" s="336"/>
      <c r="NEP983" s="337"/>
      <c r="NEQ983" s="336"/>
      <c r="NER983" s="337"/>
      <c r="NES983" s="336"/>
      <c r="NET983" s="337"/>
      <c r="NEU983" s="336"/>
      <c r="NEV983" s="337"/>
      <c r="NEW983" s="336"/>
      <c r="NEX983" s="337"/>
      <c r="NEY983" s="336"/>
      <c r="NEZ983" s="337"/>
      <c r="NFA983" s="336"/>
      <c r="NFB983" s="337"/>
      <c r="NFC983" s="336"/>
      <c r="NFD983" s="337"/>
      <c r="NFE983" s="336"/>
      <c r="NFF983" s="337"/>
      <c r="NFG983" s="336"/>
      <c r="NFH983" s="337"/>
      <c r="NFI983" s="336"/>
      <c r="NFJ983" s="337"/>
      <c r="NFK983" s="336"/>
      <c r="NFL983" s="337"/>
      <c r="NFM983" s="336"/>
      <c r="NFN983" s="337"/>
      <c r="NFO983" s="336"/>
      <c r="NFP983" s="337"/>
      <c r="NFQ983" s="336"/>
      <c r="NFR983" s="337"/>
      <c r="NFS983" s="336"/>
      <c r="NFT983" s="337"/>
      <c r="NFU983" s="336"/>
      <c r="NFV983" s="337"/>
      <c r="NFW983" s="336"/>
      <c r="NFX983" s="337"/>
      <c r="NFY983" s="336"/>
      <c r="NFZ983" s="337"/>
      <c r="NGA983" s="336"/>
      <c r="NGB983" s="337"/>
      <c r="NGC983" s="336"/>
      <c r="NGD983" s="337"/>
      <c r="NGE983" s="336"/>
      <c r="NGF983" s="337"/>
      <c r="NGG983" s="336"/>
      <c r="NGH983" s="337"/>
      <c r="NGI983" s="336"/>
      <c r="NGJ983" s="337"/>
      <c r="NGK983" s="336"/>
      <c r="NGL983" s="337"/>
      <c r="NGM983" s="336"/>
      <c r="NGN983" s="337"/>
      <c r="NGO983" s="336"/>
      <c r="NGP983" s="337"/>
      <c r="NGQ983" s="336"/>
      <c r="NGR983" s="337"/>
      <c r="NGS983" s="336"/>
      <c r="NGT983" s="337"/>
      <c r="NGU983" s="336"/>
      <c r="NGV983" s="337"/>
      <c r="NGW983" s="336"/>
      <c r="NGX983" s="337"/>
      <c r="NGY983" s="336"/>
      <c r="NGZ983" s="337"/>
      <c r="NHA983" s="336"/>
      <c r="NHB983" s="337"/>
      <c r="NHC983" s="336"/>
      <c r="NHD983" s="337"/>
      <c r="NHE983" s="336"/>
      <c r="NHF983" s="337"/>
      <c r="NHG983" s="336"/>
      <c r="NHH983" s="337"/>
      <c r="NHI983" s="336"/>
      <c r="NHJ983" s="337"/>
      <c r="NHK983" s="336"/>
      <c r="NHL983" s="337"/>
      <c r="NHM983" s="336"/>
      <c r="NHN983" s="337"/>
      <c r="NHO983" s="336"/>
      <c r="NHP983" s="337"/>
      <c r="NHQ983" s="336"/>
      <c r="NHR983" s="337"/>
      <c r="NHS983" s="336"/>
      <c r="NHT983" s="337"/>
      <c r="NHU983" s="336"/>
      <c r="NHV983" s="337"/>
      <c r="NHW983" s="336"/>
      <c r="NHX983" s="337"/>
      <c r="NHY983" s="336"/>
      <c r="NHZ983" s="337"/>
      <c r="NIA983" s="336"/>
      <c r="NIB983" s="337"/>
      <c r="NIC983" s="336"/>
      <c r="NID983" s="337"/>
      <c r="NIE983" s="336"/>
      <c r="NIF983" s="337"/>
      <c r="NIG983" s="336"/>
      <c r="NIH983" s="337"/>
      <c r="NII983" s="336"/>
      <c r="NIJ983" s="337"/>
      <c r="NIK983" s="336"/>
      <c r="NIL983" s="337"/>
      <c r="NIM983" s="336"/>
      <c r="NIN983" s="337"/>
      <c r="NIO983" s="336"/>
      <c r="NIP983" s="337"/>
      <c r="NIQ983" s="336"/>
      <c r="NIR983" s="337"/>
      <c r="NIS983" s="336"/>
      <c r="NIT983" s="337"/>
      <c r="NIU983" s="336"/>
      <c r="NIV983" s="337"/>
      <c r="NIW983" s="336"/>
      <c r="NIX983" s="337"/>
      <c r="NIY983" s="336"/>
      <c r="NIZ983" s="337"/>
      <c r="NJA983" s="336"/>
      <c r="NJB983" s="337"/>
      <c r="NJC983" s="336"/>
      <c r="NJD983" s="337"/>
      <c r="NJE983" s="336"/>
      <c r="NJF983" s="337"/>
      <c r="NJG983" s="336"/>
      <c r="NJH983" s="337"/>
      <c r="NJI983" s="336"/>
      <c r="NJJ983" s="337"/>
      <c r="NJK983" s="336"/>
      <c r="NJL983" s="337"/>
      <c r="NJM983" s="336"/>
      <c r="NJN983" s="337"/>
      <c r="NJO983" s="336"/>
      <c r="NJP983" s="337"/>
      <c r="NJQ983" s="336"/>
      <c r="NJR983" s="337"/>
      <c r="NJS983" s="336"/>
      <c r="NJT983" s="337"/>
      <c r="NJU983" s="336"/>
      <c r="NJV983" s="337"/>
      <c r="NJW983" s="336"/>
      <c r="NJX983" s="337"/>
      <c r="NJY983" s="336"/>
      <c r="NJZ983" s="337"/>
      <c r="NKA983" s="336"/>
      <c r="NKB983" s="337"/>
      <c r="NKC983" s="336"/>
      <c r="NKD983" s="337"/>
      <c r="NKE983" s="336"/>
      <c r="NKF983" s="337"/>
      <c r="NKG983" s="336"/>
      <c r="NKH983" s="337"/>
      <c r="NKI983" s="336"/>
      <c r="NKJ983" s="337"/>
      <c r="NKK983" s="336"/>
      <c r="NKL983" s="337"/>
      <c r="NKM983" s="336"/>
      <c r="NKN983" s="337"/>
      <c r="NKO983" s="336"/>
      <c r="NKP983" s="337"/>
      <c r="NKQ983" s="336"/>
      <c r="NKR983" s="337"/>
      <c r="NKS983" s="336"/>
      <c r="NKT983" s="337"/>
      <c r="NKU983" s="336"/>
      <c r="NKV983" s="337"/>
      <c r="NKW983" s="336"/>
      <c r="NKX983" s="337"/>
      <c r="NKY983" s="336"/>
      <c r="NKZ983" s="337"/>
      <c r="NLA983" s="336"/>
      <c r="NLB983" s="337"/>
      <c r="NLC983" s="336"/>
      <c r="NLD983" s="337"/>
      <c r="NLE983" s="336"/>
      <c r="NLF983" s="337"/>
      <c r="NLG983" s="336"/>
      <c r="NLH983" s="337"/>
      <c r="NLI983" s="336"/>
      <c r="NLJ983" s="337"/>
      <c r="NLK983" s="336"/>
      <c r="NLL983" s="337"/>
      <c r="NLM983" s="336"/>
      <c r="NLN983" s="337"/>
      <c r="NLO983" s="336"/>
      <c r="NLP983" s="337"/>
      <c r="NLQ983" s="336"/>
      <c r="NLR983" s="337"/>
      <c r="NLS983" s="336"/>
      <c r="NLT983" s="337"/>
      <c r="NLU983" s="336"/>
      <c r="NLV983" s="337"/>
      <c r="NLW983" s="336"/>
      <c r="NLX983" s="337"/>
      <c r="NLY983" s="336"/>
      <c r="NLZ983" s="337"/>
      <c r="NMA983" s="336"/>
      <c r="NMB983" s="337"/>
      <c r="NMC983" s="336"/>
      <c r="NMD983" s="337"/>
      <c r="NME983" s="336"/>
      <c r="NMF983" s="337"/>
      <c r="NMG983" s="336"/>
      <c r="NMH983" s="337"/>
      <c r="NMI983" s="336"/>
      <c r="NMJ983" s="337"/>
      <c r="NMK983" s="336"/>
      <c r="NML983" s="337"/>
      <c r="NMM983" s="336"/>
      <c r="NMN983" s="337"/>
      <c r="NMO983" s="336"/>
      <c r="NMP983" s="337"/>
      <c r="NMQ983" s="336"/>
      <c r="NMR983" s="337"/>
      <c r="NMS983" s="336"/>
      <c r="NMT983" s="337"/>
      <c r="NMU983" s="336"/>
      <c r="NMV983" s="337"/>
      <c r="NMW983" s="336"/>
      <c r="NMX983" s="337"/>
      <c r="NMY983" s="336"/>
      <c r="NMZ983" s="337"/>
      <c r="NNA983" s="336"/>
      <c r="NNB983" s="337"/>
      <c r="NNC983" s="336"/>
      <c r="NND983" s="337"/>
      <c r="NNE983" s="336"/>
      <c r="NNF983" s="337"/>
      <c r="NNG983" s="336"/>
      <c r="NNH983" s="337"/>
      <c r="NNI983" s="336"/>
      <c r="NNJ983" s="337"/>
      <c r="NNK983" s="336"/>
      <c r="NNL983" s="337"/>
      <c r="NNM983" s="336"/>
      <c r="NNN983" s="337"/>
      <c r="NNO983" s="336"/>
      <c r="NNP983" s="337"/>
      <c r="NNQ983" s="336"/>
      <c r="NNR983" s="337"/>
      <c r="NNS983" s="336"/>
      <c r="NNT983" s="337"/>
      <c r="NNU983" s="336"/>
      <c r="NNV983" s="337"/>
      <c r="NNW983" s="336"/>
      <c r="NNX983" s="337"/>
      <c r="NNY983" s="336"/>
      <c r="NNZ983" s="337"/>
      <c r="NOA983" s="336"/>
      <c r="NOB983" s="337"/>
      <c r="NOC983" s="336"/>
      <c r="NOD983" s="337"/>
      <c r="NOE983" s="336"/>
      <c r="NOF983" s="337"/>
      <c r="NOG983" s="336"/>
      <c r="NOH983" s="337"/>
      <c r="NOI983" s="336"/>
      <c r="NOJ983" s="337"/>
      <c r="NOK983" s="336"/>
      <c r="NOL983" s="337"/>
      <c r="NOM983" s="336"/>
      <c r="NON983" s="337"/>
      <c r="NOO983" s="336"/>
      <c r="NOP983" s="337"/>
      <c r="NOQ983" s="336"/>
      <c r="NOR983" s="337"/>
      <c r="NOS983" s="336"/>
      <c r="NOT983" s="337"/>
      <c r="NOU983" s="336"/>
      <c r="NOV983" s="337"/>
      <c r="NOW983" s="336"/>
      <c r="NOX983" s="337"/>
      <c r="NOY983" s="336"/>
      <c r="NOZ983" s="337"/>
      <c r="NPA983" s="336"/>
      <c r="NPB983" s="337"/>
      <c r="NPC983" s="336"/>
      <c r="NPD983" s="337"/>
      <c r="NPE983" s="336"/>
      <c r="NPF983" s="337"/>
      <c r="NPG983" s="336"/>
      <c r="NPH983" s="337"/>
      <c r="NPI983" s="336"/>
      <c r="NPJ983" s="337"/>
      <c r="NPK983" s="336"/>
      <c r="NPL983" s="337"/>
      <c r="NPM983" s="336"/>
      <c r="NPN983" s="337"/>
      <c r="NPO983" s="336"/>
      <c r="NPP983" s="337"/>
      <c r="NPQ983" s="336"/>
      <c r="NPR983" s="337"/>
      <c r="NPS983" s="336"/>
      <c r="NPT983" s="337"/>
      <c r="NPU983" s="336"/>
      <c r="NPV983" s="337"/>
      <c r="NPW983" s="336"/>
      <c r="NPX983" s="337"/>
      <c r="NPY983" s="336"/>
      <c r="NPZ983" s="337"/>
      <c r="NQA983" s="336"/>
      <c r="NQB983" s="337"/>
      <c r="NQC983" s="336"/>
      <c r="NQD983" s="337"/>
      <c r="NQE983" s="336"/>
      <c r="NQF983" s="337"/>
      <c r="NQG983" s="336"/>
      <c r="NQH983" s="337"/>
      <c r="NQI983" s="336"/>
      <c r="NQJ983" s="337"/>
      <c r="NQK983" s="336"/>
      <c r="NQL983" s="337"/>
      <c r="NQM983" s="336"/>
      <c r="NQN983" s="337"/>
      <c r="NQO983" s="336"/>
      <c r="NQP983" s="337"/>
      <c r="NQQ983" s="336"/>
      <c r="NQR983" s="337"/>
      <c r="NQS983" s="336"/>
      <c r="NQT983" s="337"/>
      <c r="NQU983" s="336"/>
      <c r="NQV983" s="337"/>
      <c r="NQW983" s="336"/>
      <c r="NQX983" s="337"/>
      <c r="NQY983" s="336"/>
      <c r="NQZ983" s="337"/>
      <c r="NRA983" s="336"/>
      <c r="NRB983" s="337"/>
      <c r="NRC983" s="336"/>
      <c r="NRD983" s="337"/>
      <c r="NRE983" s="336"/>
      <c r="NRF983" s="337"/>
      <c r="NRG983" s="336"/>
      <c r="NRH983" s="337"/>
      <c r="NRI983" s="336"/>
      <c r="NRJ983" s="337"/>
      <c r="NRK983" s="336"/>
      <c r="NRL983" s="337"/>
      <c r="NRM983" s="336"/>
      <c r="NRN983" s="337"/>
      <c r="NRO983" s="336"/>
      <c r="NRP983" s="337"/>
      <c r="NRQ983" s="336"/>
      <c r="NRR983" s="337"/>
      <c r="NRS983" s="336"/>
      <c r="NRT983" s="337"/>
      <c r="NRU983" s="336"/>
      <c r="NRV983" s="337"/>
      <c r="NRW983" s="336"/>
      <c r="NRX983" s="337"/>
      <c r="NRY983" s="336"/>
      <c r="NRZ983" s="337"/>
      <c r="NSA983" s="336"/>
      <c r="NSB983" s="337"/>
      <c r="NSC983" s="336"/>
      <c r="NSD983" s="337"/>
      <c r="NSE983" s="336"/>
      <c r="NSF983" s="337"/>
      <c r="NSG983" s="336"/>
      <c r="NSH983" s="337"/>
      <c r="NSI983" s="336"/>
      <c r="NSJ983" s="337"/>
      <c r="NSK983" s="336"/>
      <c r="NSL983" s="337"/>
      <c r="NSM983" s="336"/>
      <c r="NSN983" s="337"/>
      <c r="NSO983" s="336"/>
      <c r="NSP983" s="337"/>
      <c r="NSQ983" s="336"/>
      <c r="NSR983" s="337"/>
      <c r="NSS983" s="336"/>
      <c r="NST983" s="337"/>
      <c r="NSU983" s="336"/>
      <c r="NSV983" s="337"/>
      <c r="NSW983" s="336"/>
      <c r="NSX983" s="337"/>
      <c r="NSY983" s="336"/>
      <c r="NSZ983" s="337"/>
      <c r="NTA983" s="336"/>
      <c r="NTB983" s="337"/>
      <c r="NTC983" s="336"/>
      <c r="NTD983" s="337"/>
      <c r="NTE983" s="336"/>
      <c r="NTF983" s="337"/>
      <c r="NTG983" s="336"/>
      <c r="NTH983" s="337"/>
      <c r="NTI983" s="336"/>
      <c r="NTJ983" s="337"/>
      <c r="NTK983" s="336"/>
      <c r="NTL983" s="337"/>
      <c r="NTM983" s="336"/>
      <c r="NTN983" s="337"/>
      <c r="NTO983" s="336"/>
      <c r="NTP983" s="337"/>
      <c r="NTQ983" s="336"/>
      <c r="NTR983" s="337"/>
      <c r="NTS983" s="336"/>
      <c r="NTT983" s="337"/>
      <c r="NTU983" s="336"/>
      <c r="NTV983" s="337"/>
      <c r="NTW983" s="336"/>
      <c r="NTX983" s="337"/>
      <c r="NTY983" s="336"/>
      <c r="NTZ983" s="337"/>
      <c r="NUA983" s="336"/>
      <c r="NUB983" s="337"/>
      <c r="NUC983" s="336"/>
      <c r="NUD983" s="337"/>
      <c r="NUE983" s="336"/>
      <c r="NUF983" s="337"/>
      <c r="NUG983" s="336"/>
      <c r="NUH983" s="337"/>
      <c r="NUI983" s="336"/>
      <c r="NUJ983" s="337"/>
      <c r="NUK983" s="336"/>
      <c r="NUL983" s="337"/>
      <c r="NUM983" s="336"/>
      <c r="NUN983" s="337"/>
      <c r="NUO983" s="336"/>
      <c r="NUP983" s="337"/>
      <c r="NUQ983" s="336"/>
      <c r="NUR983" s="337"/>
      <c r="NUS983" s="336"/>
      <c r="NUT983" s="337"/>
      <c r="NUU983" s="336"/>
      <c r="NUV983" s="337"/>
      <c r="NUW983" s="336"/>
      <c r="NUX983" s="337"/>
      <c r="NUY983" s="336"/>
      <c r="NUZ983" s="337"/>
      <c r="NVA983" s="336"/>
      <c r="NVB983" s="337"/>
      <c r="NVC983" s="336"/>
      <c r="NVD983" s="337"/>
      <c r="NVE983" s="336"/>
      <c r="NVF983" s="337"/>
      <c r="NVG983" s="336"/>
      <c r="NVH983" s="337"/>
      <c r="NVI983" s="336"/>
      <c r="NVJ983" s="337"/>
      <c r="NVK983" s="336"/>
      <c r="NVL983" s="337"/>
      <c r="NVM983" s="336"/>
      <c r="NVN983" s="337"/>
      <c r="NVO983" s="336"/>
      <c r="NVP983" s="337"/>
      <c r="NVQ983" s="336"/>
      <c r="NVR983" s="337"/>
      <c r="NVS983" s="336"/>
      <c r="NVT983" s="337"/>
      <c r="NVU983" s="336"/>
      <c r="NVV983" s="337"/>
      <c r="NVW983" s="336"/>
      <c r="NVX983" s="337"/>
      <c r="NVY983" s="336"/>
      <c r="NVZ983" s="337"/>
      <c r="NWA983" s="336"/>
      <c r="NWB983" s="337"/>
      <c r="NWC983" s="336"/>
      <c r="NWD983" s="337"/>
      <c r="NWE983" s="336"/>
      <c r="NWF983" s="337"/>
      <c r="NWG983" s="336"/>
      <c r="NWH983" s="337"/>
      <c r="NWI983" s="336"/>
      <c r="NWJ983" s="337"/>
      <c r="NWK983" s="336"/>
      <c r="NWL983" s="337"/>
      <c r="NWM983" s="336"/>
      <c r="NWN983" s="337"/>
      <c r="NWO983" s="336"/>
      <c r="NWP983" s="337"/>
      <c r="NWQ983" s="336"/>
      <c r="NWR983" s="337"/>
      <c r="NWS983" s="336"/>
      <c r="NWT983" s="337"/>
      <c r="NWU983" s="336"/>
      <c r="NWV983" s="337"/>
      <c r="NWW983" s="336"/>
      <c r="NWX983" s="337"/>
      <c r="NWY983" s="336"/>
      <c r="NWZ983" s="337"/>
      <c r="NXA983" s="336"/>
      <c r="NXB983" s="337"/>
      <c r="NXC983" s="336"/>
      <c r="NXD983" s="337"/>
      <c r="NXE983" s="336"/>
      <c r="NXF983" s="337"/>
      <c r="NXG983" s="336"/>
      <c r="NXH983" s="337"/>
      <c r="NXI983" s="336"/>
      <c r="NXJ983" s="337"/>
      <c r="NXK983" s="336"/>
      <c r="NXL983" s="337"/>
      <c r="NXM983" s="336"/>
      <c r="NXN983" s="337"/>
      <c r="NXO983" s="336"/>
      <c r="NXP983" s="337"/>
      <c r="NXQ983" s="336"/>
      <c r="NXR983" s="337"/>
      <c r="NXS983" s="336"/>
      <c r="NXT983" s="337"/>
      <c r="NXU983" s="336"/>
      <c r="NXV983" s="337"/>
      <c r="NXW983" s="336"/>
      <c r="NXX983" s="337"/>
      <c r="NXY983" s="336"/>
      <c r="NXZ983" s="337"/>
      <c r="NYA983" s="336"/>
      <c r="NYB983" s="337"/>
      <c r="NYC983" s="336"/>
      <c r="NYD983" s="337"/>
      <c r="NYE983" s="336"/>
      <c r="NYF983" s="337"/>
      <c r="NYG983" s="336"/>
      <c r="NYH983" s="337"/>
      <c r="NYI983" s="336"/>
      <c r="NYJ983" s="337"/>
      <c r="NYK983" s="336"/>
      <c r="NYL983" s="337"/>
      <c r="NYM983" s="336"/>
      <c r="NYN983" s="337"/>
      <c r="NYO983" s="336"/>
      <c r="NYP983" s="337"/>
      <c r="NYQ983" s="336"/>
      <c r="NYR983" s="337"/>
      <c r="NYS983" s="336"/>
      <c r="NYT983" s="337"/>
      <c r="NYU983" s="336"/>
      <c r="NYV983" s="337"/>
      <c r="NYW983" s="336"/>
      <c r="NYX983" s="337"/>
      <c r="NYY983" s="336"/>
      <c r="NYZ983" s="337"/>
      <c r="NZA983" s="336"/>
      <c r="NZB983" s="337"/>
      <c r="NZC983" s="336"/>
      <c r="NZD983" s="337"/>
      <c r="NZE983" s="336"/>
      <c r="NZF983" s="337"/>
      <c r="NZG983" s="336"/>
      <c r="NZH983" s="337"/>
      <c r="NZI983" s="336"/>
      <c r="NZJ983" s="337"/>
      <c r="NZK983" s="336"/>
      <c r="NZL983" s="337"/>
      <c r="NZM983" s="336"/>
      <c r="NZN983" s="337"/>
      <c r="NZO983" s="336"/>
      <c r="NZP983" s="337"/>
      <c r="NZQ983" s="336"/>
      <c r="NZR983" s="337"/>
      <c r="NZS983" s="336"/>
      <c r="NZT983" s="337"/>
      <c r="NZU983" s="336"/>
      <c r="NZV983" s="337"/>
      <c r="NZW983" s="336"/>
      <c r="NZX983" s="337"/>
      <c r="NZY983" s="336"/>
      <c r="NZZ983" s="337"/>
      <c r="OAA983" s="336"/>
      <c r="OAB983" s="337"/>
      <c r="OAC983" s="336"/>
      <c r="OAD983" s="337"/>
      <c r="OAE983" s="336"/>
      <c r="OAF983" s="337"/>
      <c r="OAG983" s="336"/>
      <c r="OAH983" s="337"/>
      <c r="OAI983" s="336"/>
      <c r="OAJ983" s="337"/>
      <c r="OAK983" s="336"/>
      <c r="OAL983" s="337"/>
      <c r="OAM983" s="336"/>
      <c r="OAN983" s="337"/>
      <c r="OAO983" s="336"/>
      <c r="OAP983" s="337"/>
      <c r="OAQ983" s="336"/>
      <c r="OAR983" s="337"/>
      <c r="OAS983" s="336"/>
      <c r="OAT983" s="337"/>
      <c r="OAU983" s="336"/>
      <c r="OAV983" s="337"/>
      <c r="OAW983" s="336"/>
      <c r="OAX983" s="337"/>
      <c r="OAY983" s="336"/>
      <c r="OAZ983" s="337"/>
      <c r="OBA983" s="336"/>
      <c r="OBB983" s="337"/>
      <c r="OBC983" s="336"/>
      <c r="OBD983" s="337"/>
      <c r="OBE983" s="336"/>
      <c r="OBF983" s="337"/>
      <c r="OBG983" s="336"/>
      <c r="OBH983" s="337"/>
      <c r="OBI983" s="336"/>
      <c r="OBJ983" s="337"/>
      <c r="OBK983" s="336"/>
      <c r="OBL983" s="337"/>
      <c r="OBM983" s="336"/>
      <c r="OBN983" s="337"/>
      <c r="OBO983" s="336"/>
      <c r="OBP983" s="337"/>
      <c r="OBQ983" s="336"/>
      <c r="OBR983" s="337"/>
      <c r="OBS983" s="336"/>
      <c r="OBT983" s="337"/>
      <c r="OBU983" s="336"/>
      <c r="OBV983" s="337"/>
      <c r="OBW983" s="336"/>
      <c r="OBX983" s="337"/>
      <c r="OBY983" s="336"/>
      <c r="OBZ983" s="337"/>
      <c r="OCA983" s="336"/>
      <c r="OCB983" s="337"/>
      <c r="OCC983" s="336"/>
      <c r="OCD983" s="337"/>
      <c r="OCE983" s="336"/>
      <c r="OCF983" s="337"/>
      <c r="OCG983" s="336"/>
      <c r="OCH983" s="337"/>
      <c r="OCI983" s="336"/>
      <c r="OCJ983" s="337"/>
      <c r="OCK983" s="336"/>
      <c r="OCL983" s="337"/>
      <c r="OCM983" s="336"/>
      <c r="OCN983" s="337"/>
      <c r="OCO983" s="336"/>
      <c r="OCP983" s="337"/>
      <c r="OCQ983" s="336"/>
      <c r="OCR983" s="337"/>
      <c r="OCS983" s="336"/>
      <c r="OCT983" s="337"/>
      <c r="OCU983" s="336"/>
      <c r="OCV983" s="337"/>
      <c r="OCW983" s="336"/>
      <c r="OCX983" s="337"/>
      <c r="OCY983" s="336"/>
      <c r="OCZ983" s="337"/>
      <c r="ODA983" s="336"/>
      <c r="ODB983" s="337"/>
      <c r="ODC983" s="336"/>
      <c r="ODD983" s="337"/>
      <c r="ODE983" s="336"/>
      <c r="ODF983" s="337"/>
      <c r="ODG983" s="336"/>
      <c r="ODH983" s="337"/>
      <c r="ODI983" s="336"/>
      <c r="ODJ983" s="337"/>
      <c r="ODK983" s="336"/>
      <c r="ODL983" s="337"/>
      <c r="ODM983" s="336"/>
      <c r="ODN983" s="337"/>
      <c r="ODO983" s="336"/>
      <c r="ODP983" s="337"/>
      <c r="ODQ983" s="336"/>
      <c r="ODR983" s="337"/>
      <c r="ODS983" s="336"/>
      <c r="ODT983" s="337"/>
      <c r="ODU983" s="336"/>
      <c r="ODV983" s="337"/>
      <c r="ODW983" s="336"/>
      <c r="ODX983" s="337"/>
      <c r="ODY983" s="336"/>
      <c r="ODZ983" s="337"/>
      <c r="OEA983" s="336"/>
      <c r="OEB983" s="337"/>
      <c r="OEC983" s="336"/>
      <c r="OED983" s="337"/>
      <c r="OEE983" s="336"/>
      <c r="OEF983" s="337"/>
      <c r="OEG983" s="336"/>
      <c r="OEH983" s="337"/>
      <c r="OEI983" s="336"/>
      <c r="OEJ983" s="337"/>
      <c r="OEK983" s="336"/>
      <c r="OEL983" s="337"/>
      <c r="OEM983" s="336"/>
      <c r="OEN983" s="337"/>
      <c r="OEO983" s="336"/>
      <c r="OEP983" s="337"/>
      <c r="OEQ983" s="336"/>
      <c r="OER983" s="337"/>
      <c r="OES983" s="336"/>
      <c r="OET983" s="337"/>
      <c r="OEU983" s="336"/>
      <c r="OEV983" s="337"/>
      <c r="OEW983" s="336"/>
      <c r="OEX983" s="337"/>
      <c r="OEY983" s="336"/>
      <c r="OEZ983" s="337"/>
      <c r="OFA983" s="336"/>
      <c r="OFB983" s="337"/>
      <c r="OFC983" s="336"/>
      <c r="OFD983" s="337"/>
      <c r="OFE983" s="336"/>
      <c r="OFF983" s="337"/>
      <c r="OFG983" s="336"/>
      <c r="OFH983" s="337"/>
      <c r="OFI983" s="336"/>
      <c r="OFJ983" s="337"/>
      <c r="OFK983" s="336"/>
      <c r="OFL983" s="337"/>
      <c r="OFM983" s="336"/>
      <c r="OFN983" s="337"/>
      <c r="OFO983" s="336"/>
      <c r="OFP983" s="337"/>
      <c r="OFQ983" s="336"/>
      <c r="OFR983" s="337"/>
      <c r="OFS983" s="336"/>
      <c r="OFT983" s="337"/>
      <c r="OFU983" s="336"/>
      <c r="OFV983" s="337"/>
      <c r="OFW983" s="336"/>
      <c r="OFX983" s="337"/>
      <c r="OFY983" s="336"/>
      <c r="OFZ983" s="337"/>
      <c r="OGA983" s="336"/>
      <c r="OGB983" s="337"/>
      <c r="OGC983" s="336"/>
      <c r="OGD983" s="337"/>
      <c r="OGE983" s="336"/>
      <c r="OGF983" s="337"/>
      <c r="OGG983" s="336"/>
      <c r="OGH983" s="337"/>
      <c r="OGI983" s="336"/>
      <c r="OGJ983" s="337"/>
      <c r="OGK983" s="336"/>
      <c r="OGL983" s="337"/>
      <c r="OGM983" s="336"/>
      <c r="OGN983" s="337"/>
      <c r="OGO983" s="336"/>
      <c r="OGP983" s="337"/>
      <c r="OGQ983" s="336"/>
      <c r="OGR983" s="337"/>
      <c r="OGS983" s="336"/>
      <c r="OGT983" s="337"/>
      <c r="OGU983" s="336"/>
      <c r="OGV983" s="337"/>
      <c r="OGW983" s="336"/>
      <c r="OGX983" s="337"/>
      <c r="OGY983" s="336"/>
      <c r="OGZ983" s="337"/>
      <c r="OHA983" s="336"/>
      <c r="OHB983" s="337"/>
      <c r="OHC983" s="336"/>
      <c r="OHD983" s="337"/>
      <c r="OHE983" s="336"/>
      <c r="OHF983" s="337"/>
      <c r="OHG983" s="336"/>
      <c r="OHH983" s="337"/>
      <c r="OHI983" s="336"/>
      <c r="OHJ983" s="337"/>
      <c r="OHK983" s="336"/>
      <c r="OHL983" s="337"/>
      <c r="OHM983" s="336"/>
      <c r="OHN983" s="337"/>
      <c r="OHO983" s="336"/>
      <c r="OHP983" s="337"/>
      <c r="OHQ983" s="336"/>
      <c r="OHR983" s="337"/>
      <c r="OHS983" s="336"/>
      <c r="OHT983" s="337"/>
      <c r="OHU983" s="336"/>
      <c r="OHV983" s="337"/>
      <c r="OHW983" s="336"/>
      <c r="OHX983" s="337"/>
      <c r="OHY983" s="336"/>
      <c r="OHZ983" s="337"/>
      <c r="OIA983" s="336"/>
      <c r="OIB983" s="337"/>
      <c r="OIC983" s="336"/>
      <c r="OID983" s="337"/>
      <c r="OIE983" s="336"/>
      <c r="OIF983" s="337"/>
      <c r="OIG983" s="336"/>
      <c r="OIH983" s="337"/>
      <c r="OII983" s="336"/>
      <c r="OIJ983" s="337"/>
      <c r="OIK983" s="336"/>
      <c r="OIL983" s="337"/>
      <c r="OIM983" s="336"/>
      <c r="OIN983" s="337"/>
      <c r="OIO983" s="336"/>
      <c r="OIP983" s="337"/>
      <c r="OIQ983" s="336"/>
      <c r="OIR983" s="337"/>
      <c r="OIS983" s="336"/>
      <c r="OIT983" s="337"/>
      <c r="OIU983" s="336"/>
      <c r="OIV983" s="337"/>
      <c r="OIW983" s="336"/>
      <c r="OIX983" s="337"/>
      <c r="OIY983" s="336"/>
      <c r="OIZ983" s="337"/>
      <c r="OJA983" s="336"/>
      <c r="OJB983" s="337"/>
      <c r="OJC983" s="336"/>
      <c r="OJD983" s="337"/>
      <c r="OJE983" s="336"/>
      <c r="OJF983" s="337"/>
      <c r="OJG983" s="336"/>
      <c r="OJH983" s="337"/>
      <c r="OJI983" s="336"/>
      <c r="OJJ983" s="337"/>
      <c r="OJK983" s="336"/>
      <c r="OJL983" s="337"/>
      <c r="OJM983" s="336"/>
      <c r="OJN983" s="337"/>
      <c r="OJO983" s="336"/>
      <c r="OJP983" s="337"/>
      <c r="OJQ983" s="336"/>
      <c r="OJR983" s="337"/>
      <c r="OJS983" s="336"/>
      <c r="OJT983" s="337"/>
      <c r="OJU983" s="336"/>
      <c r="OJV983" s="337"/>
      <c r="OJW983" s="336"/>
      <c r="OJX983" s="337"/>
      <c r="OJY983" s="336"/>
      <c r="OJZ983" s="337"/>
      <c r="OKA983" s="336"/>
      <c r="OKB983" s="337"/>
      <c r="OKC983" s="336"/>
      <c r="OKD983" s="337"/>
      <c r="OKE983" s="336"/>
      <c r="OKF983" s="337"/>
      <c r="OKG983" s="336"/>
      <c r="OKH983" s="337"/>
      <c r="OKI983" s="336"/>
      <c r="OKJ983" s="337"/>
      <c r="OKK983" s="336"/>
      <c r="OKL983" s="337"/>
      <c r="OKM983" s="336"/>
      <c r="OKN983" s="337"/>
      <c r="OKO983" s="336"/>
      <c r="OKP983" s="337"/>
      <c r="OKQ983" s="336"/>
      <c r="OKR983" s="337"/>
      <c r="OKS983" s="336"/>
      <c r="OKT983" s="337"/>
      <c r="OKU983" s="336"/>
      <c r="OKV983" s="337"/>
      <c r="OKW983" s="336"/>
      <c r="OKX983" s="337"/>
      <c r="OKY983" s="336"/>
      <c r="OKZ983" s="337"/>
      <c r="OLA983" s="336"/>
      <c r="OLB983" s="337"/>
      <c r="OLC983" s="336"/>
      <c r="OLD983" s="337"/>
      <c r="OLE983" s="336"/>
      <c r="OLF983" s="337"/>
      <c r="OLG983" s="336"/>
      <c r="OLH983" s="337"/>
      <c r="OLI983" s="336"/>
      <c r="OLJ983" s="337"/>
      <c r="OLK983" s="336"/>
      <c r="OLL983" s="337"/>
      <c r="OLM983" s="336"/>
      <c r="OLN983" s="337"/>
      <c r="OLO983" s="336"/>
      <c r="OLP983" s="337"/>
      <c r="OLQ983" s="336"/>
      <c r="OLR983" s="337"/>
      <c r="OLS983" s="336"/>
      <c r="OLT983" s="337"/>
      <c r="OLU983" s="336"/>
      <c r="OLV983" s="337"/>
      <c r="OLW983" s="336"/>
      <c r="OLX983" s="337"/>
      <c r="OLY983" s="336"/>
      <c r="OLZ983" s="337"/>
      <c r="OMA983" s="336"/>
      <c r="OMB983" s="337"/>
      <c r="OMC983" s="336"/>
      <c r="OMD983" s="337"/>
      <c r="OME983" s="336"/>
      <c r="OMF983" s="337"/>
      <c r="OMG983" s="336"/>
      <c r="OMH983" s="337"/>
      <c r="OMI983" s="336"/>
      <c r="OMJ983" s="337"/>
      <c r="OMK983" s="336"/>
      <c r="OML983" s="337"/>
      <c r="OMM983" s="336"/>
      <c r="OMN983" s="337"/>
      <c r="OMO983" s="336"/>
      <c r="OMP983" s="337"/>
      <c r="OMQ983" s="336"/>
      <c r="OMR983" s="337"/>
      <c r="OMS983" s="336"/>
      <c r="OMT983" s="337"/>
      <c r="OMU983" s="336"/>
      <c r="OMV983" s="337"/>
      <c r="OMW983" s="336"/>
      <c r="OMX983" s="337"/>
      <c r="OMY983" s="336"/>
      <c r="OMZ983" s="337"/>
      <c r="ONA983" s="336"/>
      <c r="ONB983" s="337"/>
      <c r="ONC983" s="336"/>
      <c r="OND983" s="337"/>
      <c r="ONE983" s="336"/>
      <c r="ONF983" s="337"/>
      <c r="ONG983" s="336"/>
      <c r="ONH983" s="337"/>
      <c r="ONI983" s="336"/>
      <c r="ONJ983" s="337"/>
      <c r="ONK983" s="336"/>
      <c r="ONL983" s="337"/>
      <c r="ONM983" s="336"/>
      <c r="ONN983" s="337"/>
      <c r="ONO983" s="336"/>
      <c r="ONP983" s="337"/>
      <c r="ONQ983" s="336"/>
      <c r="ONR983" s="337"/>
      <c r="ONS983" s="336"/>
      <c r="ONT983" s="337"/>
      <c r="ONU983" s="336"/>
      <c r="ONV983" s="337"/>
      <c r="ONW983" s="336"/>
      <c r="ONX983" s="337"/>
      <c r="ONY983" s="336"/>
      <c r="ONZ983" s="337"/>
      <c r="OOA983" s="336"/>
      <c r="OOB983" s="337"/>
      <c r="OOC983" s="336"/>
      <c r="OOD983" s="337"/>
      <c r="OOE983" s="336"/>
      <c r="OOF983" s="337"/>
      <c r="OOG983" s="336"/>
      <c r="OOH983" s="337"/>
      <c r="OOI983" s="336"/>
      <c r="OOJ983" s="337"/>
      <c r="OOK983" s="336"/>
      <c r="OOL983" s="337"/>
      <c r="OOM983" s="336"/>
      <c r="OON983" s="337"/>
      <c r="OOO983" s="336"/>
      <c r="OOP983" s="337"/>
      <c r="OOQ983" s="336"/>
      <c r="OOR983" s="337"/>
      <c r="OOS983" s="336"/>
      <c r="OOT983" s="337"/>
      <c r="OOU983" s="336"/>
      <c r="OOV983" s="337"/>
      <c r="OOW983" s="336"/>
      <c r="OOX983" s="337"/>
      <c r="OOY983" s="336"/>
      <c r="OOZ983" s="337"/>
      <c r="OPA983" s="336"/>
      <c r="OPB983" s="337"/>
      <c r="OPC983" s="336"/>
      <c r="OPD983" s="337"/>
      <c r="OPE983" s="336"/>
      <c r="OPF983" s="337"/>
      <c r="OPG983" s="336"/>
      <c r="OPH983" s="337"/>
      <c r="OPI983" s="336"/>
      <c r="OPJ983" s="337"/>
      <c r="OPK983" s="336"/>
      <c r="OPL983" s="337"/>
      <c r="OPM983" s="336"/>
      <c r="OPN983" s="337"/>
      <c r="OPO983" s="336"/>
      <c r="OPP983" s="337"/>
      <c r="OPQ983" s="336"/>
      <c r="OPR983" s="337"/>
      <c r="OPS983" s="336"/>
      <c r="OPT983" s="337"/>
      <c r="OPU983" s="336"/>
      <c r="OPV983" s="337"/>
      <c r="OPW983" s="336"/>
      <c r="OPX983" s="337"/>
      <c r="OPY983" s="336"/>
      <c r="OPZ983" s="337"/>
      <c r="OQA983" s="336"/>
      <c r="OQB983" s="337"/>
      <c r="OQC983" s="336"/>
      <c r="OQD983" s="337"/>
      <c r="OQE983" s="336"/>
      <c r="OQF983" s="337"/>
      <c r="OQG983" s="336"/>
      <c r="OQH983" s="337"/>
      <c r="OQI983" s="336"/>
      <c r="OQJ983" s="337"/>
      <c r="OQK983" s="336"/>
      <c r="OQL983" s="337"/>
      <c r="OQM983" s="336"/>
      <c r="OQN983" s="337"/>
      <c r="OQO983" s="336"/>
      <c r="OQP983" s="337"/>
      <c r="OQQ983" s="336"/>
      <c r="OQR983" s="337"/>
      <c r="OQS983" s="336"/>
      <c r="OQT983" s="337"/>
      <c r="OQU983" s="336"/>
      <c r="OQV983" s="337"/>
      <c r="OQW983" s="336"/>
      <c r="OQX983" s="337"/>
      <c r="OQY983" s="336"/>
      <c r="OQZ983" s="337"/>
      <c r="ORA983" s="336"/>
      <c r="ORB983" s="337"/>
      <c r="ORC983" s="336"/>
      <c r="ORD983" s="337"/>
      <c r="ORE983" s="336"/>
      <c r="ORF983" s="337"/>
      <c r="ORG983" s="336"/>
      <c r="ORH983" s="337"/>
      <c r="ORI983" s="336"/>
      <c r="ORJ983" s="337"/>
      <c r="ORK983" s="336"/>
      <c r="ORL983" s="337"/>
      <c r="ORM983" s="336"/>
      <c r="ORN983" s="337"/>
      <c r="ORO983" s="336"/>
      <c r="ORP983" s="337"/>
      <c r="ORQ983" s="336"/>
      <c r="ORR983" s="337"/>
      <c r="ORS983" s="336"/>
      <c r="ORT983" s="337"/>
      <c r="ORU983" s="336"/>
      <c r="ORV983" s="337"/>
      <c r="ORW983" s="336"/>
      <c r="ORX983" s="337"/>
      <c r="ORY983" s="336"/>
      <c r="ORZ983" s="337"/>
      <c r="OSA983" s="336"/>
      <c r="OSB983" s="337"/>
      <c r="OSC983" s="336"/>
      <c r="OSD983" s="337"/>
      <c r="OSE983" s="336"/>
      <c r="OSF983" s="337"/>
      <c r="OSG983" s="336"/>
      <c r="OSH983" s="337"/>
      <c r="OSI983" s="336"/>
      <c r="OSJ983" s="337"/>
      <c r="OSK983" s="336"/>
      <c r="OSL983" s="337"/>
      <c r="OSM983" s="336"/>
      <c r="OSN983" s="337"/>
      <c r="OSO983" s="336"/>
      <c r="OSP983" s="337"/>
      <c r="OSQ983" s="336"/>
      <c r="OSR983" s="337"/>
      <c r="OSS983" s="336"/>
      <c r="OST983" s="337"/>
      <c r="OSU983" s="336"/>
      <c r="OSV983" s="337"/>
      <c r="OSW983" s="336"/>
      <c r="OSX983" s="337"/>
      <c r="OSY983" s="336"/>
      <c r="OSZ983" s="337"/>
      <c r="OTA983" s="336"/>
      <c r="OTB983" s="337"/>
      <c r="OTC983" s="336"/>
      <c r="OTD983" s="337"/>
      <c r="OTE983" s="336"/>
      <c r="OTF983" s="337"/>
      <c r="OTG983" s="336"/>
      <c r="OTH983" s="337"/>
      <c r="OTI983" s="336"/>
      <c r="OTJ983" s="337"/>
      <c r="OTK983" s="336"/>
      <c r="OTL983" s="337"/>
      <c r="OTM983" s="336"/>
      <c r="OTN983" s="337"/>
      <c r="OTO983" s="336"/>
      <c r="OTP983" s="337"/>
      <c r="OTQ983" s="336"/>
      <c r="OTR983" s="337"/>
      <c r="OTS983" s="336"/>
      <c r="OTT983" s="337"/>
      <c r="OTU983" s="336"/>
      <c r="OTV983" s="337"/>
      <c r="OTW983" s="336"/>
      <c r="OTX983" s="337"/>
      <c r="OTY983" s="336"/>
      <c r="OTZ983" s="337"/>
      <c r="OUA983" s="336"/>
      <c r="OUB983" s="337"/>
      <c r="OUC983" s="336"/>
      <c r="OUD983" s="337"/>
      <c r="OUE983" s="336"/>
      <c r="OUF983" s="337"/>
      <c r="OUG983" s="336"/>
      <c r="OUH983" s="337"/>
      <c r="OUI983" s="336"/>
      <c r="OUJ983" s="337"/>
      <c r="OUK983" s="336"/>
      <c r="OUL983" s="337"/>
      <c r="OUM983" s="336"/>
      <c r="OUN983" s="337"/>
      <c r="OUO983" s="336"/>
      <c r="OUP983" s="337"/>
      <c r="OUQ983" s="336"/>
      <c r="OUR983" s="337"/>
      <c r="OUS983" s="336"/>
      <c r="OUT983" s="337"/>
      <c r="OUU983" s="336"/>
      <c r="OUV983" s="337"/>
      <c r="OUW983" s="336"/>
      <c r="OUX983" s="337"/>
      <c r="OUY983" s="336"/>
      <c r="OUZ983" s="337"/>
      <c r="OVA983" s="336"/>
      <c r="OVB983" s="337"/>
      <c r="OVC983" s="336"/>
      <c r="OVD983" s="337"/>
      <c r="OVE983" s="336"/>
      <c r="OVF983" s="337"/>
      <c r="OVG983" s="336"/>
      <c r="OVH983" s="337"/>
      <c r="OVI983" s="336"/>
      <c r="OVJ983" s="337"/>
      <c r="OVK983" s="336"/>
      <c r="OVL983" s="337"/>
      <c r="OVM983" s="336"/>
      <c r="OVN983" s="337"/>
      <c r="OVO983" s="336"/>
      <c r="OVP983" s="337"/>
      <c r="OVQ983" s="336"/>
      <c r="OVR983" s="337"/>
      <c r="OVS983" s="336"/>
      <c r="OVT983" s="337"/>
      <c r="OVU983" s="336"/>
      <c r="OVV983" s="337"/>
      <c r="OVW983" s="336"/>
      <c r="OVX983" s="337"/>
      <c r="OVY983" s="336"/>
      <c r="OVZ983" s="337"/>
      <c r="OWA983" s="336"/>
      <c r="OWB983" s="337"/>
      <c r="OWC983" s="336"/>
      <c r="OWD983" s="337"/>
      <c r="OWE983" s="336"/>
      <c r="OWF983" s="337"/>
      <c r="OWG983" s="336"/>
      <c r="OWH983" s="337"/>
      <c r="OWI983" s="336"/>
      <c r="OWJ983" s="337"/>
      <c r="OWK983" s="336"/>
      <c r="OWL983" s="337"/>
      <c r="OWM983" s="336"/>
      <c r="OWN983" s="337"/>
      <c r="OWO983" s="336"/>
      <c r="OWP983" s="337"/>
      <c r="OWQ983" s="336"/>
      <c r="OWR983" s="337"/>
      <c r="OWS983" s="336"/>
      <c r="OWT983" s="337"/>
      <c r="OWU983" s="336"/>
      <c r="OWV983" s="337"/>
      <c r="OWW983" s="336"/>
      <c r="OWX983" s="337"/>
      <c r="OWY983" s="336"/>
      <c r="OWZ983" s="337"/>
      <c r="OXA983" s="336"/>
      <c r="OXB983" s="337"/>
      <c r="OXC983" s="336"/>
      <c r="OXD983" s="337"/>
      <c r="OXE983" s="336"/>
      <c r="OXF983" s="337"/>
      <c r="OXG983" s="336"/>
      <c r="OXH983" s="337"/>
      <c r="OXI983" s="336"/>
      <c r="OXJ983" s="337"/>
      <c r="OXK983" s="336"/>
      <c r="OXL983" s="337"/>
      <c r="OXM983" s="336"/>
      <c r="OXN983" s="337"/>
      <c r="OXO983" s="336"/>
      <c r="OXP983" s="337"/>
      <c r="OXQ983" s="336"/>
      <c r="OXR983" s="337"/>
      <c r="OXS983" s="336"/>
      <c r="OXT983" s="337"/>
      <c r="OXU983" s="336"/>
      <c r="OXV983" s="337"/>
      <c r="OXW983" s="336"/>
      <c r="OXX983" s="337"/>
      <c r="OXY983" s="336"/>
      <c r="OXZ983" s="337"/>
      <c r="OYA983" s="336"/>
      <c r="OYB983" s="337"/>
      <c r="OYC983" s="336"/>
      <c r="OYD983" s="337"/>
      <c r="OYE983" s="336"/>
      <c r="OYF983" s="337"/>
      <c r="OYG983" s="336"/>
      <c r="OYH983" s="337"/>
      <c r="OYI983" s="336"/>
      <c r="OYJ983" s="337"/>
      <c r="OYK983" s="336"/>
      <c r="OYL983" s="337"/>
      <c r="OYM983" s="336"/>
      <c r="OYN983" s="337"/>
      <c r="OYO983" s="336"/>
      <c r="OYP983" s="337"/>
      <c r="OYQ983" s="336"/>
      <c r="OYR983" s="337"/>
      <c r="OYS983" s="336"/>
      <c r="OYT983" s="337"/>
      <c r="OYU983" s="336"/>
      <c r="OYV983" s="337"/>
      <c r="OYW983" s="336"/>
      <c r="OYX983" s="337"/>
      <c r="OYY983" s="336"/>
      <c r="OYZ983" s="337"/>
      <c r="OZA983" s="336"/>
      <c r="OZB983" s="337"/>
      <c r="OZC983" s="336"/>
      <c r="OZD983" s="337"/>
      <c r="OZE983" s="336"/>
      <c r="OZF983" s="337"/>
      <c r="OZG983" s="336"/>
      <c r="OZH983" s="337"/>
      <c r="OZI983" s="336"/>
      <c r="OZJ983" s="337"/>
      <c r="OZK983" s="336"/>
      <c r="OZL983" s="337"/>
      <c r="OZM983" s="336"/>
      <c r="OZN983" s="337"/>
      <c r="OZO983" s="336"/>
      <c r="OZP983" s="337"/>
      <c r="OZQ983" s="336"/>
      <c r="OZR983" s="337"/>
      <c r="OZS983" s="336"/>
      <c r="OZT983" s="337"/>
      <c r="OZU983" s="336"/>
      <c r="OZV983" s="337"/>
      <c r="OZW983" s="336"/>
      <c r="OZX983" s="337"/>
      <c r="OZY983" s="336"/>
      <c r="OZZ983" s="337"/>
      <c r="PAA983" s="336"/>
      <c r="PAB983" s="337"/>
      <c r="PAC983" s="336"/>
      <c r="PAD983" s="337"/>
      <c r="PAE983" s="336"/>
      <c r="PAF983" s="337"/>
      <c r="PAG983" s="336"/>
      <c r="PAH983" s="337"/>
      <c r="PAI983" s="336"/>
      <c r="PAJ983" s="337"/>
      <c r="PAK983" s="336"/>
      <c r="PAL983" s="337"/>
      <c r="PAM983" s="336"/>
      <c r="PAN983" s="337"/>
      <c r="PAO983" s="336"/>
      <c r="PAP983" s="337"/>
      <c r="PAQ983" s="336"/>
      <c r="PAR983" s="337"/>
      <c r="PAS983" s="336"/>
      <c r="PAT983" s="337"/>
      <c r="PAU983" s="336"/>
      <c r="PAV983" s="337"/>
      <c r="PAW983" s="336"/>
      <c r="PAX983" s="337"/>
      <c r="PAY983" s="336"/>
      <c r="PAZ983" s="337"/>
      <c r="PBA983" s="336"/>
      <c r="PBB983" s="337"/>
      <c r="PBC983" s="336"/>
      <c r="PBD983" s="337"/>
      <c r="PBE983" s="336"/>
      <c r="PBF983" s="337"/>
      <c r="PBG983" s="336"/>
      <c r="PBH983" s="337"/>
      <c r="PBI983" s="336"/>
      <c r="PBJ983" s="337"/>
      <c r="PBK983" s="336"/>
      <c r="PBL983" s="337"/>
      <c r="PBM983" s="336"/>
      <c r="PBN983" s="337"/>
      <c r="PBO983" s="336"/>
      <c r="PBP983" s="337"/>
      <c r="PBQ983" s="336"/>
      <c r="PBR983" s="337"/>
      <c r="PBS983" s="336"/>
      <c r="PBT983" s="337"/>
      <c r="PBU983" s="336"/>
      <c r="PBV983" s="337"/>
      <c r="PBW983" s="336"/>
      <c r="PBX983" s="337"/>
      <c r="PBY983" s="336"/>
      <c r="PBZ983" s="337"/>
      <c r="PCA983" s="336"/>
      <c r="PCB983" s="337"/>
      <c r="PCC983" s="336"/>
      <c r="PCD983" s="337"/>
      <c r="PCE983" s="336"/>
      <c r="PCF983" s="337"/>
      <c r="PCG983" s="336"/>
      <c r="PCH983" s="337"/>
      <c r="PCI983" s="336"/>
      <c r="PCJ983" s="337"/>
      <c r="PCK983" s="336"/>
      <c r="PCL983" s="337"/>
      <c r="PCM983" s="336"/>
      <c r="PCN983" s="337"/>
      <c r="PCO983" s="336"/>
      <c r="PCP983" s="337"/>
      <c r="PCQ983" s="336"/>
      <c r="PCR983" s="337"/>
      <c r="PCS983" s="336"/>
      <c r="PCT983" s="337"/>
      <c r="PCU983" s="336"/>
      <c r="PCV983" s="337"/>
      <c r="PCW983" s="336"/>
      <c r="PCX983" s="337"/>
      <c r="PCY983" s="336"/>
      <c r="PCZ983" s="337"/>
      <c r="PDA983" s="336"/>
      <c r="PDB983" s="337"/>
      <c r="PDC983" s="336"/>
      <c r="PDD983" s="337"/>
      <c r="PDE983" s="336"/>
      <c r="PDF983" s="337"/>
      <c r="PDG983" s="336"/>
      <c r="PDH983" s="337"/>
      <c r="PDI983" s="336"/>
      <c r="PDJ983" s="337"/>
      <c r="PDK983" s="336"/>
      <c r="PDL983" s="337"/>
      <c r="PDM983" s="336"/>
      <c r="PDN983" s="337"/>
      <c r="PDO983" s="336"/>
      <c r="PDP983" s="337"/>
      <c r="PDQ983" s="336"/>
      <c r="PDR983" s="337"/>
      <c r="PDS983" s="336"/>
      <c r="PDT983" s="337"/>
      <c r="PDU983" s="336"/>
      <c r="PDV983" s="337"/>
      <c r="PDW983" s="336"/>
      <c r="PDX983" s="337"/>
      <c r="PDY983" s="336"/>
      <c r="PDZ983" s="337"/>
      <c r="PEA983" s="336"/>
      <c r="PEB983" s="337"/>
      <c r="PEC983" s="336"/>
      <c r="PED983" s="337"/>
      <c r="PEE983" s="336"/>
      <c r="PEF983" s="337"/>
      <c r="PEG983" s="336"/>
      <c r="PEH983" s="337"/>
      <c r="PEI983" s="336"/>
      <c r="PEJ983" s="337"/>
      <c r="PEK983" s="336"/>
      <c r="PEL983" s="337"/>
      <c r="PEM983" s="336"/>
      <c r="PEN983" s="337"/>
      <c r="PEO983" s="336"/>
      <c r="PEP983" s="337"/>
      <c r="PEQ983" s="336"/>
      <c r="PER983" s="337"/>
      <c r="PES983" s="336"/>
      <c r="PET983" s="337"/>
      <c r="PEU983" s="336"/>
      <c r="PEV983" s="337"/>
      <c r="PEW983" s="336"/>
      <c r="PEX983" s="337"/>
      <c r="PEY983" s="336"/>
      <c r="PEZ983" s="337"/>
      <c r="PFA983" s="336"/>
      <c r="PFB983" s="337"/>
      <c r="PFC983" s="336"/>
      <c r="PFD983" s="337"/>
      <c r="PFE983" s="336"/>
      <c r="PFF983" s="337"/>
      <c r="PFG983" s="336"/>
      <c r="PFH983" s="337"/>
      <c r="PFI983" s="336"/>
      <c r="PFJ983" s="337"/>
      <c r="PFK983" s="336"/>
      <c r="PFL983" s="337"/>
      <c r="PFM983" s="336"/>
      <c r="PFN983" s="337"/>
      <c r="PFO983" s="336"/>
      <c r="PFP983" s="337"/>
      <c r="PFQ983" s="336"/>
      <c r="PFR983" s="337"/>
      <c r="PFS983" s="336"/>
      <c r="PFT983" s="337"/>
      <c r="PFU983" s="336"/>
      <c r="PFV983" s="337"/>
      <c r="PFW983" s="336"/>
      <c r="PFX983" s="337"/>
      <c r="PFY983" s="336"/>
      <c r="PFZ983" s="337"/>
      <c r="PGA983" s="336"/>
      <c r="PGB983" s="337"/>
      <c r="PGC983" s="336"/>
      <c r="PGD983" s="337"/>
      <c r="PGE983" s="336"/>
      <c r="PGF983" s="337"/>
      <c r="PGG983" s="336"/>
      <c r="PGH983" s="337"/>
      <c r="PGI983" s="336"/>
      <c r="PGJ983" s="337"/>
      <c r="PGK983" s="336"/>
      <c r="PGL983" s="337"/>
      <c r="PGM983" s="336"/>
      <c r="PGN983" s="337"/>
      <c r="PGO983" s="336"/>
      <c r="PGP983" s="337"/>
      <c r="PGQ983" s="336"/>
      <c r="PGR983" s="337"/>
      <c r="PGS983" s="336"/>
      <c r="PGT983" s="337"/>
      <c r="PGU983" s="336"/>
      <c r="PGV983" s="337"/>
      <c r="PGW983" s="336"/>
      <c r="PGX983" s="337"/>
      <c r="PGY983" s="336"/>
      <c r="PGZ983" s="337"/>
      <c r="PHA983" s="336"/>
      <c r="PHB983" s="337"/>
      <c r="PHC983" s="336"/>
      <c r="PHD983" s="337"/>
      <c r="PHE983" s="336"/>
      <c r="PHF983" s="337"/>
      <c r="PHG983" s="336"/>
      <c r="PHH983" s="337"/>
      <c r="PHI983" s="336"/>
      <c r="PHJ983" s="337"/>
      <c r="PHK983" s="336"/>
      <c r="PHL983" s="337"/>
      <c r="PHM983" s="336"/>
      <c r="PHN983" s="337"/>
      <c r="PHO983" s="336"/>
      <c r="PHP983" s="337"/>
      <c r="PHQ983" s="336"/>
      <c r="PHR983" s="337"/>
      <c r="PHS983" s="336"/>
      <c r="PHT983" s="337"/>
      <c r="PHU983" s="336"/>
      <c r="PHV983" s="337"/>
      <c r="PHW983" s="336"/>
      <c r="PHX983" s="337"/>
      <c r="PHY983" s="336"/>
      <c r="PHZ983" s="337"/>
      <c r="PIA983" s="336"/>
      <c r="PIB983" s="337"/>
      <c r="PIC983" s="336"/>
      <c r="PID983" s="337"/>
      <c r="PIE983" s="336"/>
      <c r="PIF983" s="337"/>
      <c r="PIG983" s="336"/>
      <c r="PIH983" s="337"/>
      <c r="PII983" s="336"/>
      <c r="PIJ983" s="337"/>
      <c r="PIK983" s="336"/>
      <c r="PIL983" s="337"/>
      <c r="PIM983" s="336"/>
      <c r="PIN983" s="337"/>
      <c r="PIO983" s="336"/>
      <c r="PIP983" s="337"/>
      <c r="PIQ983" s="336"/>
      <c r="PIR983" s="337"/>
      <c r="PIS983" s="336"/>
      <c r="PIT983" s="337"/>
      <c r="PIU983" s="336"/>
      <c r="PIV983" s="337"/>
      <c r="PIW983" s="336"/>
      <c r="PIX983" s="337"/>
      <c r="PIY983" s="336"/>
      <c r="PIZ983" s="337"/>
      <c r="PJA983" s="336"/>
      <c r="PJB983" s="337"/>
      <c r="PJC983" s="336"/>
      <c r="PJD983" s="337"/>
      <c r="PJE983" s="336"/>
      <c r="PJF983" s="337"/>
      <c r="PJG983" s="336"/>
      <c r="PJH983" s="337"/>
      <c r="PJI983" s="336"/>
      <c r="PJJ983" s="337"/>
      <c r="PJK983" s="336"/>
      <c r="PJL983" s="337"/>
      <c r="PJM983" s="336"/>
      <c r="PJN983" s="337"/>
      <c r="PJO983" s="336"/>
      <c r="PJP983" s="337"/>
      <c r="PJQ983" s="336"/>
      <c r="PJR983" s="337"/>
      <c r="PJS983" s="336"/>
      <c r="PJT983" s="337"/>
      <c r="PJU983" s="336"/>
      <c r="PJV983" s="337"/>
      <c r="PJW983" s="336"/>
      <c r="PJX983" s="337"/>
      <c r="PJY983" s="336"/>
      <c r="PJZ983" s="337"/>
      <c r="PKA983" s="336"/>
      <c r="PKB983" s="337"/>
      <c r="PKC983" s="336"/>
      <c r="PKD983" s="337"/>
      <c r="PKE983" s="336"/>
      <c r="PKF983" s="337"/>
      <c r="PKG983" s="336"/>
      <c r="PKH983" s="337"/>
      <c r="PKI983" s="336"/>
      <c r="PKJ983" s="337"/>
      <c r="PKK983" s="336"/>
      <c r="PKL983" s="337"/>
      <c r="PKM983" s="336"/>
      <c r="PKN983" s="337"/>
      <c r="PKO983" s="336"/>
      <c r="PKP983" s="337"/>
      <c r="PKQ983" s="336"/>
      <c r="PKR983" s="337"/>
      <c r="PKS983" s="336"/>
      <c r="PKT983" s="337"/>
      <c r="PKU983" s="336"/>
      <c r="PKV983" s="337"/>
      <c r="PKW983" s="336"/>
      <c r="PKX983" s="337"/>
      <c r="PKY983" s="336"/>
      <c r="PKZ983" s="337"/>
      <c r="PLA983" s="336"/>
      <c r="PLB983" s="337"/>
      <c r="PLC983" s="336"/>
      <c r="PLD983" s="337"/>
      <c r="PLE983" s="336"/>
      <c r="PLF983" s="337"/>
      <c r="PLG983" s="336"/>
      <c r="PLH983" s="337"/>
      <c r="PLI983" s="336"/>
      <c r="PLJ983" s="337"/>
      <c r="PLK983" s="336"/>
      <c r="PLL983" s="337"/>
      <c r="PLM983" s="336"/>
      <c r="PLN983" s="337"/>
      <c r="PLO983" s="336"/>
      <c r="PLP983" s="337"/>
      <c r="PLQ983" s="336"/>
      <c r="PLR983" s="337"/>
      <c r="PLS983" s="336"/>
      <c r="PLT983" s="337"/>
      <c r="PLU983" s="336"/>
      <c r="PLV983" s="337"/>
      <c r="PLW983" s="336"/>
      <c r="PLX983" s="337"/>
      <c r="PLY983" s="336"/>
      <c r="PLZ983" s="337"/>
      <c r="PMA983" s="336"/>
      <c r="PMB983" s="337"/>
      <c r="PMC983" s="336"/>
      <c r="PMD983" s="337"/>
      <c r="PME983" s="336"/>
      <c r="PMF983" s="337"/>
      <c r="PMG983" s="336"/>
      <c r="PMH983" s="337"/>
      <c r="PMI983" s="336"/>
      <c r="PMJ983" s="337"/>
      <c r="PMK983" s="336"/>
      <c r="PML983" s="337"/>
      <c r="PMM983" s="336"/>
      <c r="PMN983" s="337"/>
      <c r="PMO983" s="336"/>
      <c r="PMP983" s="337"/>
      <c r="PMQ983" s="336"/>
      <c r="PMR983" s="337"/>
      <c r="PMS983" s="336"/>
      <c r="PMT983" s="337"/>
      <c r="PMU983" s="336"/>
      <c r="PMV983" s="337"/>
      <c r="PMW983" s="336"/>
      <c r="PMX983" s="337"/>
      <c r="PMY983" s="336"/>
      <c r="PMZ983" s="337"/>
      <c r="PNA983" s="336"/>
      <c r="PNB983" s="337"/>
      <c r="PNC983" s="336"/>
      <c r="PND983" s="337"/>
      <c r="PNE983" s="336"/>
      <c r="PNF983" s="337"/>
      <c r="PNG983" s="336"/>
      <c r="PNH983" s="337"/>
      <c r="PNI983" s="336"/>
      <c r="PNJ983" s="337"/>
      <c r="PNK983" s="336"/>
      <c r="PNL983" s="337"/>
      <c r="PNM983" s="336"/>
      <c r="PNN983" s="337"/>
      <c r="PNO983" s="336"/>
      <c r="PNP983" s="337"/>
      <c r="PNQ983" s="336"/>
      <c r="PNR983" s="337"/>
      <c r="PNS983" s="336"/>
      <c r="PNT983" s="337"/>
      <c r="PNU983" s="336"/>
      <c r="PNV983" s="337"/>
      <c r="PNW983" s="336"/>
      <c r="PNX983" s="337"/>
      <c r="PNY983" s="336"/>
      <c r="PNZ983" s="337"/>
      <c r="POA983" s="336"/>
      <c r="POB983" s="337"/>
      <c r="POC983" s="336"/>
      <c r="POD983" s="337"/>
      <c r="POE983" s="336"/>
      <c r="POF983" s="337"/>
      <c r="POG983" s="336"/>
      <c r="POH983" s="337"/>
      <c r="POI983" s="336"/>
      <c r="POJ983" s="337"/>
      <c r="POK983" s="336"/>
      <c r="POL983" s="337"/>
      <c r="POM983" s="336"/>
      <c r="PON983" s="337"/>
      <c r="POO983" s="336"/>
      <c r="POP983" s="337"/>
      <c r="POQ983" s="336"/>
      <c r="POR983" s="337"/>
      <c r="POS983" s="336"/>
      <c r="POT983" s="337"/>
      <c r="POU983" s="336"/>
      <c r="POV983" s="337"/>
      <c r="POW983" s="336"/>
      <c r="POX983" s="337"/>
      <c r="POY983" s="336"/>
      <c r="POZ983" s="337"/>
      <c r="PPA983" s="336"/>
      <c r="PPB983" s="337"/>
      <c r="PPC983" s="336"/>
      <c r="PPD983" s="337"/>
      <c r="PPE983" s="336"/>
      <c r="PPF983" s="337"/>
      <c r="PPG983" s="336"/>
      <c r="PPH983" s="337"/>
      <c r="PPI983" s="336"/>
      <c r="PPJ983" s="337"/>
      <c r="PPK983" s="336"/>
      <c r="PPL983" s="337"/>
      <c r="PPM983" s="336"/>
      <c r="PPN983" s="337"/>
      <c r="PPO983" s="336"/>
      <c r="PPP983" s="337"/>
      <c r="PPQ983" s="336"/>
      <c r="PPR983" s="337"/>
      <c r="PPS983" s="336"/>
      <c r="PPT983" s="337"/>
      <c r="PPU983" s="336"/>
      <c r="PPV983" s="337"/>
      <c r="PPW983" s="336"/>
      <c r="PPX983" s="337"/>
      <c r="PPY983" s="336"/>
      <c r="PPZ983" s="337"/>
      <c r="PQA983" s="336"/>
      <c r="PQB983" s="337"/>
      <c r="PQC983" s="336"/>
      <c r="PQD983" s="337"/>
      <c r="PQE983" s="336"/>
      <c r="PQF983" s="337"/>
      <c r="PQG983" s="336"/>
      <c r="PQH983" s="337"/>
      <c r="PQI983" s="336"/>
      <c r="PQJ983" s="337"/>
      <c r="PQK983" s="336"/>
      <c r="PQL983" s="337"/>
      <c r="PQM983" s="336"/>
      <c r="PQN983" s="337"/>
      <c r="PQO983" s="336"/>
      <c r="PQP983" s="337"/>
      <c r="PQQ983" s="336"/>
      <c r="PQR983" s="337"/>
      <c r="PQS983" s="336"/>
      <c r="PQT983" s="337"/>
      <c r="PQU983" s="336"/>
      <c r="PQV983" s="337"/>
      <c r="PQW983" s="336"/>
      <c r="PQX983" s="337"/>
      <c r="PQY983" s="336"/>
      <c r="PQZ983" s="337"/>
      <c r="PRA983" s="336"/>
      <c r="PRB983" s="337"/>
      <c r="PRC983" s="336"/>
      <c r="PRD983" s="337"/>
      <c r="PRE983" s="336"/>
      <c r="PRF983" s="337"/>
      <c r="PRG983" s="336"/>
      <c r="PRH983" s="337"/>
      <c r="PRI983" s="336"/>
      <c r="PRJ983" s="337"/>
      <c r="PRK983" s="336"/>
      <c r="PRL983" s="337"/>
      <c r="PRM983" s="336"/>
      <c r="PRN983" s="337"/>
      <c r="PRO983" s="336"/>
      <c r="PRP983" s="337"/>
      <c r="PRQ983" s="336"/>
      <c r="PRR983" s="337"/>
      <c r="PRS983" s="336"/>
      <c r="PRT983" s="337"/>
      <c r="PRU983" s="336"/>
      <c r="PRV983" s="337"/>
      <c r="PRW983" s="336"/>
      <c r="PRX983" s="337"/>
      <c r="PRY983" s="336"/>
      <c r="PRZ983" s="337"/>
      <c r="PSA983" s="336"/>
      <c r="PSB983" s="337"/>
      <c r="PSC983" s="336"/>
      <c r="PSD983" s="337"/>
      <c r="PSE983" s="336"/>
      <c r="PSF983" s="337"/>
      <c r="PSG983" s="336"/>
      <c r="PSH983" s="337"/>
      <c r="PSI983" s="336"/>
      <c r="PSJ983" s="337"/>
      <c r="PSK983" s="336"/>
      <c r="PSL983" s="337"/>
      <c r="PSM983" s="336"/>
      <c r="PSN983" s="337"/>
      <c r="PSO983" s="336"/>
      <c r="PSP983" s="337"/>
      <c r="PSQ983" s="336"/>
      <c r="PSR983" s="337"/>
      <c r="PSS983" s="336"/>
      <c r="PST983" s="337"/>
      <c r="PSU983" s="336"/>
      <c r="PSV983" s="337"/>
      <c r="PSW983" s="336"/>
      <c r="PSX983" s="337"/>
      <c r="PSY983" s="336"/>
      <c r="PSZ983" s="337"/>
      <c r="PTA983" s="336"/>
      <c r="PTB983" s="337"/>
      <c r="PTC983" s="336"/>
      <c r="PTD983" s="337"/>
      <c r="PTE983" s="336"/>
      <c r="PTF983" s="337"/>
      <c r="PTG983" s="336"/>
      <c r="PTH983" s="337"/>
      <c r="PTI983" s="336"/>
      <c r="PTJ983" s="337"/>
      <c r="PTK983" s="336"/>
      <c r="PTL983" s="337"/>
      <c r="PTM983" s="336"/>
      <c r="PTN983" s="337"/>
      <c r="PTO983" s="336"/>
      <c r="PTP983" s="337"/>
      <c r="PTQ983" s="336"/>
      <c r="PTR983" s="337"/>
      <c r="PTS983" s="336"/>
      <c r="PTT983" s="337"/>
      <c r="PTU983" s="336"/>
      <c r="PTV983" s="337"/>
      <c r="PTW983" s="336"/>
      <c r="PTX983" s="337"/>
      <c r="PTY983" s="336"/>
      <c r="PTZ983" s="337"/>
      <c r="PUA983" s="336"/>
      <c r="PUB983" s="337"/>
      <c r="PUC983" s="336"/>
      <c r="PUD983" s="337"/>
      <c r="PUE983" s="336"/>
      <c r="PUF983" s="337"/>
      <c r="PUG983" s="336"/>
      <c r="PUH983" s="337"/>
      <c r="PUI983" s="336"/>
      <c r="PUJ983" s="337"/>
      <c r="PUK983" s="336"/>
      <c r="PUL983" s="337"/>
      <c r="PUM983" s="336"/>
      <c r="PUN983" s="337"/>
      <c r="PUO983" s="336"/>
      <c r="PUP983" s="337"/>
      <c r="PUQ983" s="336"/>
      <c r="PUR983" s="337"/>
      <c r="PUS983" s="336"/>
      <c r="PUT983" s="337"/>
      <c r="PUU983" s="336"/>
      <c r="PUV983" s="337"/>
      <c r="PUW983" s="336"/>
      <c r="PUX983" s="337"/>
      <c r="PUY983" s="336"/>
      <c r="PUZ983" s="337"/>
      <c r="PVA983" s="336"/>
      <c r="PVB983" s="337"/>
      <c r="PVC983" s="336"/>
      <c r="PVD983" s="337"/>
      <c r="PVE983" s="336"/>
      <c r="PVF983" s="337"/>
      <c r="PVG983" s="336"/>
      <c r="PVH983" s="337"/>
      <c r="PVI983" s="336"/>
      <c r="PVJ983" s="337"/>
      <c r="PVK983" s="336"/>
      <c r="PVL983" s="337"/>
      <c r="PVM983" s="336"/>
      <c r="PVN983" s="337"/>
      <c r="PVO983" s="336"/>
      <c r="PVP983" s="337"/>
      <c r="PVQ983" s="336"/>
      <c r="PVR983" s="337"/>
      <c r="PVS983" s="336"/>
      <c r="PVT983" s="337"/>
      <c r="PVU983" s="336"/>
      <c r="PVV983" s="337"/>
      <c r="PVW983" s="336"/>
      <c r="PVX983" s="337"/>
      <c r="PVY983" s="336"/>
      <c r="PVZ983" s="337"/>
      <c r="PWA983" s="336"/>
      <c r="PWB983" s="337"/>
      <c r="PWC983" s="336"/>
      <c r="PWD983" s="337"/>
      <c r="PWE983" s="336"/>
      <c r="PWF983" s="337"/>
      <c r="PWG983" s="336"/>
      <c r="PWH983" s="337"/>
      <c r="PWI983" s="336"/>
      <c r="PWJ983" s="337"/>
      <c r="PWK983" s="336"/>
      <c r="PWL983" s="337"/>
      <c r="PWM983" s="336"/>
      <c r="PWN983" s="337"/>
      <c r="PWO983" s="336"/>
      <c r="PWP983" s="337"/>
      <c r="PWQ983" s="336"/>
      <c r="PWR983" s="337"/>
      <c r="PWS983" s="336"/>
      <c r="PWT983" s="337"/>
      <c r="PWU983" s="336"/>
      <c r="PWV983" s="337"/>
      <c r="PWW983" s="336"/>
      <c r="PWX983" s="337"/>
      <c r="PWY983" s="336"/>
      <c r="PWZ983" s="337"/>
      <c r="PXA983" s="336"/>
      <c r="PXB983" s="337"/>
      <c r="PXC983" s="336"/>
      <c r="PXD983" s="337"/>
      <c r="PXE983" s="336"/>
      <c r="PXF983" s="337"/>
      <c r="PXG983" s="336"/>
      <c r="PXH983" s="337"/>
      <c r="PXI983" s="336"/>
      <c r="PXJ983" s="337"/>
      <c r="PXK983" s="336"/>
      <c r="PXL983" s="337"/>
      <c r="PXM983" s="336"/>
      <c r="PXN983" s="337"/>
      <c r="PXO983" s="336"/>
      <c r="PXP983" s="337"/>
      <c r="PXQ983" s="336"/>
      <c r="PXR983" s="337"/>
      <c r="PXS983" s="336"/>
      <c r="PXT983" s="337"/>
      <c r="PXU983" s="336"/>
      <c r="PXV983" s="337"/>
      <c r="PXW983" s="336"/>
      <c r="PXX983" s="337"/>
      <c r="PXY983" s="336"/>
      <c r="PXZ983" s="337"/>
      <c r="PYA983" s="336"/>
      <c r="PYB983" s="337"/>
      <c r="PYC983" s="336"/>
      <c r="PYD983" s="337"/>
      <c r="PYE983" s="336"/>
      <c r="PYF983" s="337"/>
      <c r="PYG983" s="336"/>
      <c r="PYH983" s="337"/>
      <c r="PYI983" s="336"/>
      <c r="PYJ983" s="337"/>
      <c r="PYK983" s="336"/>
      <c r="PYL983" s="337"/>
      <c r="PYM983" s="336"/>
      <c r="PYN983" s="337"/>
      <c r="PYO983" s="336"/>
      <c r="PYP983" s="337"/>
      <c r="PYQ983" s="336"/>
      <c r="PYR983" s="337"/>
      <c r="PYS983" s="336"/>
      <c r="PYT983" s="337"/>
      <c r="PYU983" s="336"/>
      <c r="PYV983" s="337"/>
      <c r="PYW983" s="336"/>
      <c r="PYX983" s="337"/>
      <c r="PYY983" s="336"/>
      <c r="PYZ983" s="337"/>
      <c r="PZA983" s="336"/>
      <c r="PZB983" s="337"/>
      <c r="PZC983" s="336"/>
      <c r="PZD983" s="337"/>
      <c r="PZE983" s="336"/>
      <c r="PZF983" s="337"/>
      <c r="PZG983" s="336"/>
      <c r="PZH983" s="337"/>
      <c r="PZI983" s="336"/>
      <c r="PZJ983" s="337"/>
      <c r="PZK983" s="336"/>
      <c r="PZL983" s="337"/>
      <c r="PZM983" s="336"/>
      <c r="PZN983" s="337"/>
      <c r="PZO983" s="336"/>
      <c r="PZP983" s="337"/>
      <c r="PZQ983" s="336"/>
      <c r="PZR983" s="337"/>
      <c r="PZS983" s="336"/>
      <c r="PZT983" s="337"/>
      <c r="PZU983" s="336"/>
      <c r="PZV983" s="337"/>
      <c r="PZW983" s="336"/>
      <c r="PZX983" s="337"/>
      <c r="PZY983" s="336"/>
      <c r="PZZ983" s="337"/>
      <c r="QAA983" s="336"/>
      <c r="QAB983" s="337"/>
      <c r="QAC983" s="336"/>
      <c r="QAD983" s="337"/>
      <c r="QAE983" s="336"/>
      <c r="QAF983" s="337"/>
      <c r="QAG983" s="336"/>
      <c r="QAH983" s="337"/>
      <c r="QAI983" s="336"/>
      <c r="QAJ983" s="337"/>
      <c r="QAK983" s="336"/>
      <c r="QAL983" s="337"/>
      <c r="QAM983" s="336"/>
      <c r="QAN983" s="337"/>
      <c r="QAO983" s="336"/>
      <c r="QAP983" s="337"/>
      <c r="QAQ983" s="336"/>
      <c r="QAR983" s="337"/>
      <c r="QAS983" s="336"/>
      <c r="QAT983" s="337"/>
      <c r="QAU983" s="336"/>
      <c r="QAV983" s="337"/>
      <c r="QAW983" s="336"/>
      <c r="QAX983" s="337"/>
      <c r="QAY983" s="336"/>
      <c r="QAZ983" s="337"/>
      <c r="QBA983" s="336"/>
      <c r="QBB983" s="337"/>
      <c r="QBC983" s="336"/>
      <c r="QBD983" s="337"/>
      <c r="QBE983" s="336"/>
      <c r="QBF983" s="337"/>
      <c r="QBG983" s="336"/>
      <c r="QBH983" s="337"/>
      <c r="QBI983" s="336"/>
      <c r="QBJ983" s="337"/>
      <c r="QBK983" s="336"/>
      <c r="QBL983" s="337"/>
      <c r="QBM983" s="336"/>
      <c r="QBN983" s="337"/>
      <c r="QBO983" s="336"/>
      <c r="QBP983" s="337"/>
      <c r="QBQ983" s="336"/>
      <c r="QBR983" s="337"/>
      <c r="QBS983" s="336"/>
      <c r="QBT983" s="337"/>
      <c r="QBU983" s="336"/>
      <c r="QBV983" s="337"/>
      <c r="QBW983" s="336"/>
      <c r="QBX983" s="337"/>
      <c r="QBY983" s="336"/>
      <c r="QBZ983" s="337"/>
      <c r="QCA983" s="336"/>
      <c r="QCB983" s="337"/>
      <c r="QCC983" s="336"/>
      <c r="QCD983" s="337"/>
      <c r="QCE983" s="336"/>
      <c r="QCF983" s="337"/>
      <c r="QCG983" s="336"/>
      <c r="QCH983" s="337"/>
      <c r="QCI983" s="336"/>
      <c r="QCJ983" s="337"/>
      <c r="QCK983" s="336"/>
      <c r="QCL983" s="337"/>
      <c r="QCM983" s="336"/>
      <c r="QCN983" s="337"/>
      <c r="QCO983" s="336"/>
      <c r="QCP983" s="337"/>
      <c r="QCQ983" s="336"/>
      <c r="QCR983" s="337"/>
      <c r="QCS983" s="336"/>
      <c r="QCT983" s="337"/>
      <c r="QCU983" s="336"/>
      <c r="QCV983" s="337"/>
      <c r="QCW983" s="336"/>
      <c r="QCX983" s="337"/>
      <c r="QCY983" s="336"/>
      <c r="QCZ983" s="337"/>
      <c r="QDA983" s="336"/>
      <c r="QDB983" s="337"/>
      <c r="QDC983" s="336"/>
      <c r="QDD983" s="337"/>
      <c r="QDE983" s="336"/>
      <c r="QDF983" s="337"/>
      <c r="QDG983" s="336"/>
      <c r="QDH983" s="337"/>
      <c r="QDI983" s="336"/>
      <c r="QDJ983" s="337"/>
      <c r="QDK983" s="336"/>
      <c r="QDL983" s="337"/>
      <c r="QDM983" s="336"/>
      <c r="QDN983" s="337"/>
      <c r="QDO983" s="336"/>
      <c r="QDP983" s="337"/>
      <c r="QDQ983" s="336"/>
      <c r="QDR983" s="337"/>
      <c r="QDS983" s="336"/>
      <c r="QDT983" s="337"/>
      <c r="QDU983" s="336"/>
      <c r="QDV983" s="337"/>
      <c r="QDW983" s="336"/>
      <c r="QDX983" s="337"/>
      <c r="QDY983" s="336"/>
      <c r="QDZ983" s="337"/>
      <c r="QEA983" s="336"/>
      <c r="QEB983" s="337"/>
      <c r="QEC983" s="336"/>
      <c r="QED983" s="337"/>
      <c r="QEE983" s="336"/>
      <c r="QEF983" s="337"/>
      <c r="QEG983" s="336"/>
      <c r="QEH983" s="337"/>
      <c r="QEI983" s="336"/>
      <c r="QEJ983" s="337"/>
      <c r="QEK983" s="336"/>
      <c r="QEL983" s="337"/>
      <c r="QEM983" s="336"/>
      <c r="QEN983" s="337"/>
      <c r="QEO983" s="336"/>
      <c r="QEP983" s="337"/>
      <c r="QEQ983" s="336"/>
      <c r="QER983" s="337"/>
      <c r="QES983" s="336"/>
      <c r="QET983" s="337"/>
      <c r="QEU983" s="336"/>
      <c r="QEV983" s="337"/>
      <c r="QEW983" s="336"/>
      <c r="QEX983" s="337"/>
      <c r="QEY983" s="336"/>
      <c r="QEZ983" s="337"/>
      <c r="QFA983" s="336"/>
      <c r="QFB983" s="337"/>
      <c r="QFC983" s="336"/>
      <c r="QFD983" s="337"/>
      <c r="QFE983" s="336"/>
      <c r="QFF983" s="337"/>
      <c r="QFG983" s="336"/>
      <c r="QFH983" s="337"/>
      <c r="QFI983" s="336"/>
      <c r="QFJ983" s="337"/>
      <c r="QFK983" s="336"/>
      <c r="QFL983" s="337"/>
      <c r="QFM983" s="336"/>
      <c r="QFN983" s="337"/>
      <c r="QFO983" s="336"/>
      <c r="QFP983" s="337"/>
      <c r="QFQ983" s="336"/>
      <c r="QFR983" s="337"/>
      <c r="QFS983" s="336"/>
      <c r="QFT983" s="337"/>
      <c r="QFU983" s="336"/>
      <c r="QFV983" s="337"/>
      <c r="QFW983" s="336"/>
      <c r="QFX983" s="337"/>
      <c r="QFY983" s="336"/>
      <c r="QFZ983" s="337"/>
      <c r="QGA983" s="336"/>
      <c r="QGB983" s="337"/>
      <c r="QGC983" s="336"/>
      <c r="QGD983" s="337"/>
      <c r="QGE983" s="336"/>
      <c r="QGF983" s="337"/>
      <c r="QGG983" s="336"/>
      <c r="QGH983" s="337"/>
      <c r="QGI983" s="336"/>
      <c r="QGJ983" s="337"/>
      <c r="QGK983" s="336"/>
      <c r="QGL983" s="337"/>
      <c r="QGM983" s="336"/>
      <c r="QGN983" s="337"/>
      <c r="QGO983" s="336"/>
      <c r="QGP983" s="337"/>
      <c r="QGQ983" s="336"/>
      <c r="QGR983" s="337"/>
      <c r="QGS983" s="336"/>
      <c r="QGT983" s="337"/>
      <c r="QGU983" s="336"/>
      <c r="QGV983" s="337"/>
      <c r="QGW983" s="336"/>
      <c r="QGX983" s="337"/>
      <c r="QGY983" s="336"/>
      <c r="QGZ983" s="337"/>
      <c r="QHA983" s="336"/>
      <c r="QHB983" s="337"/>
      <c r="QHC983" s="336"/>
      <c r="QHD983" s="337"/>
      <c r="QHE983" s="336"/>
      <c r="QHF983" s="337"/>
      <c r="QHG983" s="336"/>
      <c r="QHH983" s="337"/>
      <c r="QHI983" s="336"/>
      <c r="QHJ983" s="337"/>
      <c r="QHK983" s="336"/>
      <c r="QHL983" s="337"/>
      <c r="QHM983" s="336"/>
      <c r="QHN983" s="337"/>
      <c r="QHO983" s="336"/>
      <c r="QHP983" s="337"/>
      <c r="QHQ983" s="336"/>
      <c r="QHR983" s="337"/>
      <c r="QHS983" s="336"/>
      <c r="QHT983" s="337"/>
      <c r="QHU983" s="336"/>
      <c r="QHV983" s="337"/>
      <c r="QHW983" s="336"/>
      <c r="QHX983" s="337"/>
      <c r="QHY983" s="336"/>
      <c r="QHZ983" s="337"/>
      <c r="QIA983" s="336"/>
      <c r="QIB983" s="337"/>
      <c r="QIC983" s="336"/>
      <c r="QID983" s="337"/>
      <c r="QIE983" s="336"/>
      <c r="QIF983" s="337"/>
      <c r="QIG983" s="336"/>
      <c r="QIH983" s="337"/>
      <c r="QII983" s="336"/>
      <c r="QIJ983" s="337"/>
      <c r="QIK983" s="336"/>
      <c r="QIL983" s="337"/>
      <c r="QIM983" s="336"/>
      <c r="QIN983" s="337"/>
      <c r="QIO983" s="336"/>
      <c r="QIP983" s="337"/>
      <c r="QIQ983" s="336"/>
      <c r="QIR983" s="337"/>
      <c r="QIS983" s="336"/>
      <c r="QIT983" s="337"/>
      <c r="QIU983" s="336"/>
      <c r="QIV983" s="337"/>
      <c r="QIW983" s="336"/>
      <c r="QIX983" s="337"/>
      <c r="QIY983" s="336"/>
      <c r="QIZ983" s="337"/>
      <c r="QJA983" s="336"/>
      <c r="QJB983" s="337"/>
      <c r="QJC983" s="336"/>
      <c r="QJD983" s="337"/>
      <c r="QJE983" s="336"/>
      <c r="QJF983" s="337"/>
      <c r="QJG983" s="336"/>
      <c r="QJH983" s="337"/>
      <c r="QJI983" s="336"/>
      <c r="QJJ983" s="337"/>
      <c r="QJK983" s="336"/>
      <c r="QJL983" s="337"/>
      <c r="QJM983" s="336"/>
      <c r="QJN983" s="337"/>
      <c r="QJO983" s="336"/>
      <c r="QJP983" s="337"/>
      <c r="QJQ983" s="336"/>
      <c r="QJR983" s="337"/>
      <c r="QJS983" s="336"/>
      <c r="QJT983" s="337"/>
      <c r="QJU983" s="336"/>
      <c r="QJV983" s="337"/>
      <c r="QJW983" s="336"/>
      <c r="QJX983" s="337"/>
      <c r="QJY983" s="336"/>
      <c r="QJZ983" s="337"/>
      <c r="QKA983" s="336"/>
      <c r="QKB983" s="337"/>
      <c r="QKC983" s="336"/>
      <c r="QKD983" s="337"/>
      <c r="QKE983" s="336"/>
      <c r="QKF983" s="337"/>
      <c r="QKG983" s="336"/>
      <c r="QKH983" s="337"/>
      <c r="QKI983" s="336"/>
      <c r="QKJ983" s="337"/>
      <c r="QKK983" s="336"/>
      <c r="QKL983" s="337"/>
      <c r="QKM983" s="336"/>
      <c r="QKN983" s="337"/>
      <c r="QKO983" s="336"/>
      <c r="QKP983" s="337"/>
      <c r="QKQ983" s="336"/>
      <c r="QKR983" s="337"/>
      <c r="QKS983" s="336"/>
      <c r="QKT983" s="337"/>
      <c r="QKU983" s="336"/>
      <c r="QKV983" s="337"/>
      <c r="QKW983" s="336"/>
      <c r="QKX983" s="337"/>
      <c r="QKY983" s="336"/>
      <c r="QKZ983" s="337"/>
      <c r="QLA983" s="336"/>
      <c r="QLB983" s="337"/>
      <c r="QLC983" s="336"/>
      <c r="QLD983" s="337"/>
      <c r="QLE983" s="336"/>
      <c r="QLF983" s="337"/>
      <c r="QLG983" s="336"/>
      <c r="QLH983" s="337"/>
      <c r="QLI983" s="336"/>
      <c r="QLJ983" s="337"/>
      <c r="QLK983" s="336"/>
      <c r="QLL983" s="337"/>
      <c r="QLM983" s="336"/>
      <c r="QLN983" s="337"/>
      <c r="QLO983" s="336"/>
      <c r="QLP983" s="337"/>
      <c r="QLQ983" s="336"/>
      <c r="QLR983" s="337"/>
      <c r="QLS983" s="336"/>
      <c r="QLT983" s="337"/>
      <c r="QLU983" s="336"/>
      <c r="QLV983" s="337"/>
      <c r="QLW983" s="336"/>
      <c r="QLX983" s="337"/>
      <c r="QLY983" s="336"/>
      <c r="QLZ983" s="337"/>
      <c r="QMA983" s="336"/>
      <c r="QMB983" s="337"/>
      <c r="QMC983" s="336"/>
      <c r="QMD983" s="337"/>
      <c r="QME983" s="336"/>
      <c r="QMF983" s="337"/>
      <c r="QMG983" s="336"/>
      <c r="QMH983" s="337"/>
      <c r="QMI983" s="336"/>
      <c r="QMJ983" s="337"/>
      <c r="QMK983" s="336"/>
      <c r="QML983" s="337"/>
      <c r="QMM983" s="336"/>
      <c r="QMN983" s="337"/>
      <c r="QMO983" s="336"/>
      <c r="QMP983" s="337"/>
      <c r="QMQ983" s="336"/>
      <c r="QMR983" s="337"/>
      <c r="QMS983" s="336"/>
      <c r="QMT983" s="337"/>
      <c r="QMU983" s="336"/>
      <c r="QMV983" s="337"/>
      <c r="QMW983" s="336"/>
      <c r="QMX983" s="337"/>
      <c r="QMY983" s="336"/>
      <c r="QMZ983" s="337"/>
      <c r="QNA983" s="336"/>
      <c r="QNB983" s="337"/>
      <c r="QNC983" s="336"/>
      <c r="QND983" s="337"/>
      <c r="QNE983" s="336"/>
      <c r="QNF983" s="337"/>
      <c r="QNG983" s="336"/>
      <c r="QNH983" s="337"/>
      <c r="QNI983" s="336"/>
      <c r="QNJ983" s="337"/>
      <c r="QNK983" s="336"/>
      <c r="QNL983" s="337"/>
      <c r="QNM983" s="336"/>
      <c r="QNN983" s="337"/>
      <c r="QNO983" s="336"/>
      <c r="QNP983" s="337"/>
      <c r="QNQ983" s="336"/>
      <c r="QNR983" s="337"/>
      <c r="QNS983" s="336"/>
      <c r="QNT983" s="337"/>
      <c r="QNU983" s="336"/>
      <c r="QNV983" s="337"/>
      <c r="QNW983" s="336"/>
      <c r="QNX983" s="337"/>
      <c r="QNY983" s="336"/>
      <c r="QNZ983" s="337"/>
      <c r="QOA983" s="336"/>
      <c r="QOB983" s="337"/>
      <c r="QOC983" s="336"/>
      <c r="QOD983" s="337"/>
      <c r="QOE983" s="336"/>
      <c r="QOF983" s="337"/>
      <c r="QOG983" s="336"/>
      <c r="QOH983" s="337"/>
      <c r="QOI983" s="336"/>
      <c r="QOJ983" s="337"/>
      <c r="QOK983" s="336"/>
      <c r="QOL983" s="337"/>
      <c r="QOM983" s="336"/>
      <c r="QON983" s="337"/>
      <c r="QOO983" s="336"/>
      <c r="QOP983" s="337"/>
      <c r="QOQ983" s="336"/>
      <c r="QOR983" s="337"/>
      <c r="QOS983" s="336"/>
      <c r="QOT983" s="337"/>
      <c r="QOU983" s="336"/>
      <c r="QOV983" s="337"/>
      <c r="QOW983" s="336"/>
      <c r="QOX983" s="337"/>
      <c r="QOY983" s="336"/>
      <c r="QOZ983" s="337"/>
      <c r="QPA983" s="336"/>
      <c r="QPB983" s="337"/>
      <c r="QPC983" s="336"/>
      <c r="QPD983" s="337"/>
      <c r="QPE983" s="336"/>
      <c r="QPF983" s="337"/>
      <c r="QPG983" s="336"/>
      <c r="QPH983" s="337"/>
      <c r="QPI983" s="336"/>
      <c r="QPJ983" s="337"/>
      <c r="QPK983" s="336"/>
      <c r="QPL983" s="337"/>
      <c r="QPM983" s="336"/>
      <c r="QPN983" s="337"/>
      <c r="QPO983" s="336"/>
      <c r="QPP983" s="337"/>
      <c r="QPQ983" s="336"/>
      <c r="QPR983" s="337"/>
      <c r="QPS983" s="336"/>
      <c r="QPT983" s="337"/>
      <c r="QPU983" s="336"/>
      <c r="QPV983" s="337"/>
      <c r="QPW983" s="336"/>
      <c r="QPX983" s="337"/>
      <c r="QPY983" s="336"/>
      <c r="QPZ983" s="337"/>
      <c r="QQA983" s="336"/>
      <c r="QQB983" s="337"/>
      <c r="QQC983" s="336"/>
      <c r="QQD983" s="337"/>
      <c r="QQE983" s="336"/>
      <c r="QQF983" s="337"/>
      <c r="QQG983" s="336"/>
      <c r="QQH983" s="337"/>
      <c r="QQI983" s="336"/>
      <c r="QQJ983" s="337"/>
      <c r="QQK983" s="336"/>
      <c r="QQL983" s="337"/>
      <c r="QQM983" s="336"/>
      <c r="QQN983" s="337"/>
      <c r="QQO983" s="336"/>
      <c r="QQP983" s="337"/>
      <c r="QQQ983" s="336"/>
      <c r="QQR983" s="337"/>
      <c r="QQS983" s="336"/>
      <c r="QQT983" s="337"/>
      <c r="QQU983" s="336"/>
      <c r="QQV983" s="337"/>
      <c r="QQW983" s="336"/>
      <c r="QQX983" s="337"/>
      <c r="QQY983" s="336"/>
      <c r="QQZ983" s="337"/>
      <c r="QRA983" s="336"/>
      <c r="QRB983" s="337"/>
      <c r="QRC983" s="336"/>
      <c r="QRD983" s="337"/>
      <c r="QRE983" s="336"/>
      <c r="QRF983" s="337"/>
      <c r="QRG983" s="336"/>
      <c r="QRH983" s="337"/>
      <c r="QRI983" s="336"/>
      <c r="QRJ983" s="337"/>
      <c r="QRK983" s="336"/>
      <c r="QRL983" s="337"/>
      <c r="QRM983" s="336"/>
      <c r="QRN983" s="337"/>
      <c r="QRO983" s="336"/>
      <c r="QRP983" s="337"/>
      <c r="QRQ983" s="336"/>
      <c r="QRR983" s="337"/>
      <c r="QRS983" s="336"/>
      <c r="QRT983" s="337"/>
      <c r="QRU983" s="336"/>
      <c r="QRV983" s="337"/>
      <c r="QRW983" s="336"/>
      <c r="QRX983" s="337"/>
      <c r="QRY983" s="336"/>
      <c r="QRZ983" s="337"/>
      <c r="QSA983" s="336"/>
      <c r="QSB983" s="337"/>
      <c r="QSC983" s="336"/>
      <c r="QSD983" s="337"/>
      <c r="QSE983" s="336"/>
      <c r="QSF983" s="337"/>
      <c r="QSG983" s="336"/>
      <c r="QSH983" s="337"/>
      <c r="QSI983" s="336"/>
      <c r="QSJ983" s="337"/>
      <c r="QSK983" s="336"/>
      <c r="QSL983" s="337"/>
      <c r="QSM983" s="336"/>
      <c r="QSN983" s="337"/>
      <c r="QSO983" s="336"/>
      <c r="QSP983" s="337"/>
      <c r="QSQ983" s="336"/>
      <c r="QSR983" s="337"/>
      <c r="QSS983" s="336"/>
      <c r="QST983" s="337"/>
      <c r="QSU983" s="336"/>
      <c r="QSV983" s="337"/>
      <c r="QSW983" s="336"/>
      <c r="QSX983" s="337"/>
      <c r="QSY983" s="336"/>
      <c r="QSZ983" s="337"/>
      <c r="QTA983" s="336"/>
      <c r="QTB983" s="337"/>
      <c r="QTC983" s="336"/>
      <c r="QTD983" s="337"/>
      <c r="QTE983" s="336"/>
      <c r="QTF983" s="337"/>
      <c r="QTG983" s="336"/>
      <c r="QTH983" s="337"/>
      <c r="QTI983" s="336"/>
      <c r="QTJ983" s="337"/>
      <c r="QTK983" s="336"/>
      <c r="QTL983" s="337"/>
      <c r="QTM983" s="336"/>
      <c r="QTN983" s="337"/>
      <c r="QTO983" s="336"/>
      <c r="QTP983" s="337"/>
      <c r="QTQ983" s="336"/>
      <c r="QTR983" s="337"/>
      <c r="QTS983" s="336"/>
      <c r="QTT983" s="337"/>
      <c r="QTU983" s="336"/>
      <c r="QTV983" s="337"/>
      <c r="QTW983" s="336"/>
      <c r="QTX983" s="337"/>
      <c r="QTY983" s="336"/>
      <c r="QTZ983" s="337"/>
      <c r="QUA983" s="336"/>
      <c r="QUB983" s="337"/>
      <c r="QUC983" s="336"/>
      <c r="QUD983" s="337"/>
      <c r="QUE983" s="336"/>
      <c r="QUF983" s="337"/>
      <c r="QUG983" s="336"/>
      <c r="QUH983" s="337"/>
      <c r="QUI983" s="336"/>
      <c r="QUJ983" s="337"/>
      <c r="QUK983" s="336"/>
      <c r="QUL983" s="337"/>
      <c r="QUM983" s="336"/>
      <c r="QUN983" s="337"/>
      <c r="QUO983" s="336"/>
      <c r="QUP983" s="337"/>
      <c r="QUQ983" s="336"/>
      <c r="QUR983" s="337"/>
      <c r="QUS983" s="336"/>
      <c r="QUT983" s="337"/>
      <c r="QUU983" s="336"/>
      <c r="QUV983" s="337"/>
      <c r="QUW983" s="336"/>
      <c r="QUX983" s="337"/>
      <c r="QUY983" s="336"/>
      <c r="QUZ983" s="337"/>
      <c r="QVA983" s="336"/>
      <c r="QVB983" s="337"/>
      <c r="QVC983" s="336"/>
      <c r="QVD983" s="337"/>
      <c r="QVE983" s="336"/>
      <c r="QVF983" s="337"/>
      <c r="QVG983" s="336"/>
      <c r="QVH983" s="337"/>
      <c r="QVI983" s="336"/>
      <c r="QVJ983" s="337"/>
      <c r="QVK983" s="336"/>
      <c r="QVL983" s="337"/>
      <c r="QVM983" s="336"/>
      <c r="QVN983" s="337"/>
      <c r="QVO983" s="336"/>
      <c r="QVP983" s="337"/>
      <c r="QVQ983" s="336"/>
      <c r="QVR983" s="337"/>
      <c r="QVS983" s="336"/>
      <c r="QVT983" s="337"/>
      <c r="QVU983" s="336"/>
      <c r="QVV983" s="337"/>
      <c r="QVW983" s="336"/>
      <c r="QVX983" s="337"/>
      <c r="QVY983" s="336"/>
      <c r="QVZ983" s="337"/>
      <c r="QWA983" s="336"/>
      <c r="QWB983" s="337"/>
      <c r="QWC983" s="336"/>
      <c r="QWD983" s="337"/>
      <c r="QWE983" s="336"/>
      <c r="QWF983" s="337"/>
      <c r="QWG983" s="336"/>
      <c r="QWH983" s="337"/>
      <c r="QWI983" s="336"/>
      <c r="QWJ983" s="337"/>
      <c r="QWK983" s="336"/>
      <c r="QWL983" s="337"/>
      <c r="QWM983" s="336"/>
      <c r="QWN983" s="337"/>
      <c r="QWO983" s="336"/>
      <c r="QWP983" s="337"/>
      <c r="QWQ983" s="336"/>
      <c r="QWR983" s="337"/>
      <c r="QWS983" s="336"/>
      <c r="QWT983" s="337"/>
      <c r="QWU983" s="336"/>
      <c r="QWV983" s="337"/>
      <c r="QWW983" s="336"/>
      <c r="QWX983" s="337"/>
      <c r="QWY983" s="336"/>
      <c r="QWZ983" s="337"/>
      <c r="QXA983" s="336"/>
      <c r="QXB983" s="337"/>
      <c r="QXC983" s="336"/>
      <c r="QXD983" s="337"/>
      <c r="QXE983" s="336"/>
      <c r="QXF983" s="337"/>
      <c r="QXG983" s="336"/>
      <c r="QXH983" s="337"/>
      <c r="QXI983" s="336"/>
      <c r="QXJ983" s="337"/>
      <c r="QXK983" s="336"/>
      <c r="QXL983" s="337"/>
      <c r="QXM983" s="336"/>
      <c r="QXN983" s="337"/>
      <c r="QXO983" s="336"/>
      <c r="QXP983" s="337"/>
      <c r="QXQ983" s="336"/>
      <c r="QXR983" s="337"/>
      <c r="QXS983" s="336"/>
      <c r="QXT983" s="337"/>
      <c r="QXU983" s="336"/>
      <c r="QXV983" s="337"/>
      <c r="QXW983" s="336"/>
      <c r="QXX983" s="337"/>
      <c r="QXY983" s="336"/>
      <c r="QXZ983" s="337"/>
      <c r="QYA983" s="336"/>
      <c r="QYB983" s="337"/>
      <c r="QYC983" s="336"/>
      <c r="QYD983" s="337"/>
      <c r="QYE983" s="336"/>
      <c r="QYF983" s="337"/>
      <c r="QYG983" s="336"/>
      <c r="QYH983" s="337"/>
      <c r="QYI983" s="336"/>
      <c r="QYJ983" s="337"/>
      <c r="QYK983" s="336"/>
      <c r="QYL983" s="337"/>
      <c r="QYM983" s="336"/>
      <c r="QYN983" s="337"/>
      <c r="QYO983" s="336"/>
      <c r="QYP983" s="337"/>
      <c r="QYQ983" s="336"/>
      <c r="QYR983" s="337"/>
      <c r="QYS983" s="336"/>
      <c r="QYT983" s="337"/>
      <c r="QYU983" s="336"/>
      <c r="QYV983" s="337"/>
      <c r="QYW983" s="336"/>
      <c r="QYX983" s="337"/>
      <c r="QYY983" s="336"/>
      <c r="QYZ983" s="337"/>
      <c r="QZA983" s="336"/>
      <c r="QZB983" s="337"/>
      <c r="QZC983" s="336"/>
      <c r="QZD983" s="337"/>
      <c r="QZE983" s="336"/>
      <c r="QZF983" s="337"/>
      <c r="QZG983" s="336"/>
      <c r="QZH983" s="337"/>
      <c r="QZI983" s="336"/>
      <c r="QZJ983" s="337"/>
      <c r="QZK983" s="336"/>
      <c r="QZL983" s="337"/>
      <c r="QZM983" s="336"/>
      <c r="QZN983" s="337"/>
      <c r="QZO983" s="336"/>
      <c r="QZP983" s="337"/>
      <c r="QZQ983" s="336"/>
      <c r="QZR983" s="337"/>
      <c r="QZS983" s="336"/>
      <c r="QZT983" s="337"/>
      <c r="QZU983" s="336"/>
      <c r="QZV983" s="337"/>
      <c r="QZW983" s="336"/>
      <c r="QZX983" s="337"/>
      <c r="QZY983" s="336"/>
      <c r="QZZ983" s="337"/>
      <c r="RAA983" s="336"/>
      <c r="RAB983" s="337"/>
      <c r="RAC983" s="336"/>
      <c r="RAD983" s="337"/>
      <c r="RAE983" s="336"/>
      <c r="RAF983" s="337"/>
      <c r="RAG983" s="336"/>
      <c r="RAH983" s="337"/>
      <c r="RAI983" s="336"/>
      <c r="RAJ983" s="337"/>
      <c r="RAK983" s="336"/>
      <c r="RAL983" s="337"/>
      <c r="RAM983" s="336"/>
      <c r="RAN983" s="337"/>
      <c r="RAO983" s="336"/>
      <c r="RAP983" s="337"/>
      <c r="RAQ983" s="336"/>
      <c r="RAR983" s="337"/>
      <c r="RAS983" s="336"/>
      <c r="RAT983" s="337"/>
      <c r="RAU983" s="336"/>
      <c r="RAV983" s="337"/>
      <c r="RAW983" s="336"/>
      <c r="RAX983" s="337"/>
      <c r="RAY983" s="336"/>
      <c r="RAZ983" s="337"/>
      <c r="RBA983" s="336"/>
      <c r="RBB983" s="337"/>
      <c r="RBC983" s="336"/>
      <c r="RBD983" s="337"/>
      <c r="RBE983" s="336"/>
      <c r="RBF983" s="337"/>
      <c r="RBG983" s="336"/>
      <c r="RBH983" s="337"/>
      <c r="RBI983" s="336"/>
      <c r="RBJ983" s="337"/>
      <c r="RBK983" s="336"/>
      <c r="RBL983" s="337"/>
      <c r="RBM983" s="336"/>
      <c r="RBN983" s="337"/>
      <c r="RBO983" s="336"/>
      <c r="RBP983" s="337"/>
      <c r="RBQ983" s="336"/>
      <c r="RBR983" s="337"/>
      <c r="RBS983" s="336"/>
      <c r="RBT983" s="337"/>
      <c r="RBU983" s="336"/>
      <c r="RBV983" s="337"/>
      <c r="RBW983" s="336"/>
      <c r="RBX983" s="337"/>
      <c r="RBY983" s="336"/>
      <c r="RBZ983" s="337"/>
      <c r="RCA983" s="336"/>
      <c r="RCB983" s="337"/>
      <c r="RCC983" s="336"/>
      <c r="RCD983" s="337"/>
      <c r="RCE983" s="336"/>
      <c r="RCF983" s="337"/>
      <c r="RCG983" s="336"/>
      <c r="RCH983" s="337"/>
      <c r="RCI983" s="336"/>
      <c r="RCJ983" s="337"/>
      <c r="RCK983" s="336"/>
      <c r="RCL983" s="337"/>
      <c r="RCM983" s="336"/>
      <c r="RCN983" s="337"/>
      <c r="RCO983" s="336"/>
      <c r="RCP983" s="337"/>
      <c r="RCQ983" s="336"/>
      <c r="RCR983" s="337"/>
      <c r="RCS983" s="336"/>
      <c r="RCT983" s="337"/>
      <c r="RCU983" s="336"/>
      <c r="RCV983" s="337"/>
      <c r="RCW983" s="336"/>
      <c r="RCX983" s="337"/>
      <c r="RCY983" s="336"/>
      <c r="RCZ983" s="337"/>
      <c r="RDA983" s="336"/>
      <c r="RDB983" s="337"/>
      <c r="RDC983" s="336"/>
      <c r="RDD983" s="337"/>
      <c r="RDE983" s="336"/>
      <c r="RDF983" s="337"/>
      <c r="RDG983" s="336"/>
      <c r="RDH983" s="337"/>
      <c r="RDI983" s="336"/>
      <c r="RDJ983" s="337"/>
      <c r="RDK983" s="336"/>
      <c r="RDL983" s="337"/>
      <c r="RDM983" s="336"/>
      <c r="RDN983" s="337"/>
      <c r="RDO983" s="336"/>
      <c r="RDP983" s="337"/>
      <c r="RDQ983" s="336"/>
      <c r="RDR983" s="337"/>
      <c r="RDS983" s="336"/>
      <c r="RDT983" s="337"/>
      <c r="RDU983" s="336"/>
      <c r="RDV983" s="337"/>
      <c r="RDW983" s="336"/>
      <c r="RDX983" s="337"/>
      <c r="RDY983" s="336"/>
      <c r="RDZ983" s="337"/>
      <c r="REA983" s="336"/>
      <c r="REB983" s="337"/>
      <c r="REC983" s="336"/>
      <c r="RED983" s="337"/>
      <c r="REE983" s="336"/>
      <c r="REF983" s="337"/>
      <c r="REG983" s="336"/>
      <c r="REH983" s="337"/>
      <c r="REI983" s="336"/>
      <c r="REJ983" s="337"/>
      <c r="REK983" s="336"/>
      <c r="REL983" s="337"/>
      <c r="REM983" s="336"/>
      <c r="REN983" s="337"/>
      <c r="REO983" s="336"/>
      <c r="REP983" s="337"/>
      <c r="REQ983" s="336"/>
      <c r="RER983" s="337"/>
      <c r="RES983" s="336"/>
      <c r="RET983" s="337"/>
      <c r="REU983" s="336"/>
      <c r="REV983" s="337"/>
      <c r="REW983" s="336"/>
      <c r="REX983" s="337"/>
      <c r="REY983" s="336"/>
      <c r="REZ983" s="337"/>
      <c r="RFA983" s="336"/>
      <c r="RFB983" s="337"/>
      <c r="RFC983" s="336"/>
      <c r="RFD983" s="337"/>
      <c r="RFE983" s="336"/>
      <c r="RFF983" s="337"/>
      <c r="RFG983" s="336"/>
      <c r="RFH983" s="337"/>
      <c r="RFI983" s="336"/>
      <c r="RFJ983" s="337"/>
      <c r="RFK983" s="336"/>
      <c r="RFL983" s="337"/>
      <c r="RFM983" s="336"/>
      <c r="RFN983" s="337"/>
      <c r="RFO983" s="336"/>
      <c r="RFP983" s="337"/>
      <c r="RFQ983" s="336"/>
      <c r="RFR983" s="337"/>
      <c r="RFS983" s="336"/>
      <c r="RFT983" s="337"/>
      <c r="RFU983" s="336"/>
      <c r="RFV983" s="337"/>
      <c r="RFW983" s="336"/>
      <c r="RFX983" s="337"/>
      <c r="RFY983" s="336"/>
      <c r="RFZ983" s="337"/>
      <c r="RGA983" s="336"/>
      <c r="RGB983" s="337"/>
      <c r="RGC983" s="336"/>
      <c r="RGD983" s="337"/>
      <c r="RGE983" s="336"/>
      <c r="RGF983" s="337"/>
      <c r="RGG983" s="336"/>
      <c r="RGH983" s="337"/>
      <c r="RGI983" s="336"/>
      <c r="RGJ983" s="337"/>
      <c r="RGK983" s="336"/>
      <c r="RGL983" s="337"/>
      <c r="RGM983" s="336"/>
      <c r="RGN983" s="337"/>
      <c r="RGO983" s="336"/>
      <c r="RGP983" s="337"/>
      <c r="RGQ983" s="336"/>
      <c r="RGR983" s="337"/>
      <c r="RGS983" s="336"/>
      <c r="RGT983" s="337"/>
      <c r="RGU983" s="336"/>
      <c r="RGV983" s="337"/>
      <c r="RGW983" s="336"/>
      <c r="RGX983" s="337"/>
      <c r="RGY983" s="336"/>
      <c r="RGZ983" s="337"/>
      <c r="RHA983" s="336"/>
      <c r="RHB983" s="337"/>
      <c r="RHC983" s="336"/>
      <c r="RHD983" s="337"/>
      <c r="RHE983" s="336"/>
      <c r="RHF983" s="337"/>
      <c r="RHG983" s="336"/>
      <c r="RHH983" s="337"/>
      <c r="RHI983" s="336"/>
      <c r="RHJ983" s="337"/>
      <c r="RHK983" s="336"/>
      <c r="RHL983" s="337"/>
      <c r="RHM983" s="336"/>
      <c r="RHN983" s="337"/>
      <c r="RHO983" s="336"/>
      <c r="RHP983" s="337"/>
      <c r="RHQ983" s="336"/>
      <c r="RHR983" s="337"/>
      <c r="RHS983" s="336"/>
      <c r="RHT983" s="337"/>
      <c r="RHU983" s="336"/>
      <c r="RHV983" s="337"/>
      <c r="RHW983" s="336"/>
      <c r="RHX983" s="337"/>
      <c r="RHY983" s="336"/>
      <c r="RHZ983" s="337"/>
      <c r="RIA983" s="336"/>
      <c r="RIB983" s="337"/>
      <c r="RIC983" s="336"/>
      <c r="RID983" s="337"/>
      <c r="RIE983" s="336"/>
      <c r="RIF983" s="337"/>
      <c r="RIG983" s="336"/>
      <c r="RIH983" s="337"/>
      <c r="RII983" s="336"/>
      <c r="RIJ983" s="337"/>
      <c r="RIK983" s="336"/>
      <c r="RIL983" s="337"/>
      <c r="RIM983" s="336"/>
      <c r="RIN983" s="337"/>
      <c r="RIO983" s="336"/>
      <c r="RIP983" s="337"/>
      <c r="RIQ983" s="336"/>
      <c r="RIR983" s="337"/>
      <c r="RIS983" s="336"/>
      <c r="RIT983" s="337"/>
      <c r="RIU983" s="336"/>
      <c r="RIV983" s="337"/>
      <c r="RIW983" s="336"/>
      <c r="RIX983" s="337"/>
      <c r="RIY983" s="336"/>
      <c r="RIZ983" s="337"/>
      <c r="RJA983" s="336"/>
      <c r="RJB983" s="337"/>
      <c r="RJC983" s="336"/>
      <c r="RJD983" s="337"/>
      <c r="RJE983" s="336"/>
      <c r="RJF983" s="337"/>
      <c r="RJG983" s="336"/>
      <c r="RJH983" s="337"/>
      <c r="RJI983" s="336"/>
      <c r="RJJ983" s="337"/>
      <c r="RJK983" s="336"/>
      <c r="RJL983" s="337"/>
      <c r="RJM983" s="336"/>
      <c r="RJN983" s="337"/>
      <c r="RJO983" s="336"/>
      <c r="RJP983" s="337"/>
      <c r="RJQ983" s="336"/>
      <c r="RJR983" s="337"/>
      <c r="RJS983" s="336"/>
      <c r="RJT983" s="337"/>
      <c r="RJU983" s="336"/>
      <c r="RJV983" s="337"/>
      <c r="RJW983" s="336"/>
      <c r="RJX983" s="337"/>
      <c r="RJY983" s="336"/>
      <c r="RJZ983" s="337"/>
      <c r="RKA983" s="336"/>
      <c r="RKB983" s="337"/>
      <c r="RKC983" s="336"/>
      <c r="RKD983" s="337"/>
      <c r="RKE983" s="336"/>
      <c r="RKF983" s="337"/>
      <c r="RKG983" s="336"/>
      <c r="RKH983" s="337"/>
      <c r="RKI983" s="336"/>
      <c r="RKJ983" s="337"/>
      <c r="RKK983" s="336"/>
      <c r="RKL983" s="337"/>
      <c r="RKM983" s="336"/>
      <c r="RKN983" s="337"/>
      <c r="RKO983" s="336"/>
      <c r="RKP983" s="337"/>
      <c r="RKQ983" s="336"/>
      <c r="RKR983" s="337"/>
      <c r="RKS983" s="336"/>
      <c r="RKT983" s="337"/>
      <c r="RKU983" s="336"/>
      <c r="RKV983" s="337"/>
      <c r="RKW983" s="336"/>
      <c r="RKX983" s="337"/>
      <c r="RKY983" s="336"/>
      <c r="RKZ983" s="337"/>
      <c r="RLA983" s="336"/>
      <c r="RLB983" s="337"/>
      <c r="RLC983" s="336"/>
      <c r="RLD983" s="337"/>
      <c r="RLE983" s="336"/>
      <c r="RLF983" s="337"/>
      <c r="RLG983" s="336"/>
      <c r="RLH983" s="337"/>
      <c r="RLI983" s="336"/>
      <c r="RLJ983" s="337"/>
      <c r="RLK983" s="336"/>
      <c r="RLL983" s="337"/>
      <c r="RLM983" s="336"/>
      <c r="RLN983" s="337"/>
      <c r="RLO983" s="336"/>
      <c r="RLP983" s="337"/>
      <c r="RLQ983" s="336"/>
      <c r="RLR983" s="337"/>
      <c r="RLS983" s="336"/>
      <c r="RLT983" s="337"/>
      <c r="RLU983" s="336"/>
      <c r="RLV983" s="337"/>
      <c r="RLW983" s="336"/>
      <c r="RLX983" s="337"/>
      <c r="RLY983" s="336"/>
      <c r="RLZ983" s="337"/>
      <c r="RMA983" s="336"/>
      <c r="RMB983" s="337"/>
      <c r="RMC983" s="336"/>
      <c r="RMD983" s="337"/>
      <c r="RME983" s="336"/>
      <c r="RMF983" s="337"/>
      <c r="RMG983" s="336"/>
      <c r="RMH983" s="337"/>
      <c r="RMI983" s="336"/>
      <c r="RMJ983" s="337"/>
      <c r="RMK983" s="336"/>
      <c r="RML983" s="337"/>
      <c r="RMM983" s="336"/>
      <c r="RMN983" s="337"/>
      <c r="RMO983" s="336"/>
      <c r="RMP983" s="337"/>
      <c r="RMQ983" s="336"/>
      <c r="RMR983" s="337"/>
      <c r="RMS983" s="336"/>
      <c r="RMT983" s="337"/>
      <c r="RMU983" s="336"/>
      <c r="RMV983" s="337"/>
      <c r="RMW983" s="336"/>
      <c r="RMX983" s="337"/>
      <c r="RMY983" s="336"/>
      <c r="RMZ983" s="337"/>
      <c r="RNA983" s="336"/>
      <c r="RNB983" s="337"/>
      <c r="RNC983" s="336"/>
      <c r="RND983" s="337"/>
      <c r="RNE983" s="336"/>
      <c r="RNF983" s="337"/>
      <c r="RNG983" s="336"/>
      <c r="RNH983" s="337"/>
      <c r="RNI983" s="336"/>
      <c r="RNJ983" s="337"/>
      <c r="RNK983" s="336"/>
      <c r="RNL983" s="337"/>
      <c r="RNM983" s="336"/>
      <c r="RNN983" s="337"/>
      <c r="RNO983" s="336"/>
      <c r="RNP983" s="337"/>
      <c r="RNQ983" s="336"/>
      <c r="RNR983" s="337"/>
      <c r="RNS983" s="336"/>
      <c r="RNT983" s="337"/>
      <c r="RNU983" s="336"/>
      <c r="RNV983" s="337"/>
      <c r="RNW983" s="336"/>
      <c r="RNX983" s="337"/>
      <c r="RNY983" s="336"/>
      <c r="RNZ983" s="337"/>
      <c r="ROA983" s="336"/>
      <c r="ROB983" s="337"/>
      <c r="ROC983" s="336"/>
      <c r="ROD983" s="337"/>
      <c r="ROE983" s="336"/>
      <c r="ROF983" s="337"/>
      <c r="ROG983" s="336"/>
      <c r="ROH983" s="337"/>
      <c r="ROI983" s="336"/>
      <c r="ROJ983" s="337"/>
      <c r="ROK983" s="336"/>
      <c r="ROL983" s="337"/>
      <c r="ROM983" s="336"/>
      <c r="RON983" s="337"/>
      <c r="ROO983" s="336"/>
      <c r="ROP983" s="337"/>
      <c r="ROQ983" s="336"/>
      <c r="ROR983" s="337"/>
      <c r="ROS983" s="336"/>
      <c r="ROT983" s="337"/>
      <c r="ROU983" s="336"/>
      <c r="ROV983" s="337"/>
      <c r="ROW983" s="336"/>
      <c r="ROX983" s="337"/>
      <c r="ROY983" s="336"/>
      <c r="ROZ983" s="337"/>
      <c r="RPA983" s="336"/>
      <c r="RPB983" s="337"/>
      <c r="RPC983" s="336"/>
      <c r="RPD983" s="337"/>
      <c r="RPE983" s="336"/>
      <c r="RPF983" s="337"/>
      <c r="RPG983" s="336"/>
      <c r="RPH983" s="337"/>
      <c r="RPI983" s="336"/>
      <c r="RPJ983" s="337"/>
      <c r="RPK983" s="336"/>
      <c r="RPL983" s="337"/>
      <c r="RPM983" s="336"/>
      <c r="RPN983" s="337"/>
      <c r="RPO983" s="336"/>
      <c r="RPP983" s="337"/>
      <c r="RPQ983" s="336"/>
      <c r="RPR983" s="337"/>
      <c r="RPS983" s="336"/>
      <c r="RPT983" s="337"/>
      <c r="RPU983" s="336"/>
      <c r="RPV983" s="337"/>
      <c r="RPW983" s="336"/>
      <c r="RPX983" s="337"/>
      <c r="RPY983" s="336"/>
      <c r="RPZ983" s="337"/>
      <c r="RQA983" s="336"/>
      <c r="RQB983" s="337"/>
      <c r="RQC983" s="336"/>
      <c r="RQD983" s="337"/>
      <c r="RQE983" s="336"/>
      <c r="RQF983" s="337"/>
      <c r="RQG983" s="336"/>
      <c r="RQH983" s="337"/>
      <c r="RQI983" s="336"/>
      <c r="RQJ983" s="337"/>
      <c r="RQK983" s="336"/>
      <c r="RQL983" s="337"/>
      <c r="RQM983" s="336"/>
      <c r="RQN983" s="337"/>
      <c r="RQO983" s="336"/>
      <c r="RQP983" s="337"/>
      <c r="RQQ983" s="336"/>
      <c r="RQR983" s="337"/>
      <c r="RQS983" s="336"/>
      <c r="RQT983" s="337"/>
      <c r="RQU983" s="336"/>
      <c r="RQV983" s="337"/>
      <c r="RQW983" s="336"/>
      <c r="RQX983" s="337"/>
      <c r="RQY983" s="336"/>
      <c r="RQZ983" s="337"/>
      <c r="RRA983" s="336"/>
      <c r="RRB983" s="337"/>
      <c r="RRC983" s="336"/>
      <c r="RRD983" s="337"/>
      <c r="RRE983" s="336"/>
      <c r="RRF983" s="337"/>
      <c r="RRG983" s="336"/>
      <c r="RRH983" s="337"/>
      <c r="RRI983" s="336"/>
      <c r="RRJ983" s="337"/>
      <c r="RRK983" s="336"/>
      <c r="RRL983" s="337"/>
      <c r="RRM983" s="336"/>
      <c r="RRN983" s="337"/>
      <c r="RRO983" s="336"/>
      <c r="RRP983" s="337"/>
      <c r="RRQ983" s="336"/>
      <c r="RRR983" s="337"/>
      <c r="RRS983" s="336"/>
      <c r="RRT983" s="337"/>
      <c r="RRU983" s="336"/>
      <c r="RRV983" s="337"/>
      <c r="RRW983" s="336"/>
      <c r="RRX983" s="337"/>
      <c r="RRY983" s="336"/>
      <c r="RRZ983" s="337"/>
      <c r="RSA983" s="336"/>
      <c r="RSB983" s="337"/>
      <c r="RSC983" s="336"/>
      <c r="RSD983" s="337"/>
      <c r="RSE983" s="336"/>
      <c r="RSF983" s="337"/>
      <c r="RSG983" s="336"/>
      <c r="RSH983" s="337"/>
      <c r="RSI983" s="336"/>
      <c r="RSJ983" s="337"/>
      <c r="RSK983" s="336"/>
      <c r="RSL983" s="337"/>
      <c r="RSM983" s="336"/>
      <c r="RSN983" s="337"/>
      <c r="RSO983" s="336"/>
      <c r="RSP983" s="337"/>
      <c r="RSQ983" s="336"/>
      <c r="RSR983" s="337"/>
      <c r="RSS983" s="336"/>
      <c r="RST983" s="337"/>
      <c r="RSU983" s="336"/>
      <c r="RSV983" s="337"/>
      <c r="RSW983" s="336"/>
      <c r="RSX983" s="337"/>
      <c r="RSY983" s="336"/>
      <c r="RSZ983" s="337"/>
      <c r="RTA983" s="336"/>
      <c r="RTB983" s="337"/>
      <c r="RTC983" s="336"/>
      <c r="RTD983" s="337"/>
      <c r="RTE983" s="336"/>
      <c r="RTF983" s="337"/>
      <c r="RTG983" s="336"/>
      <c r="RTH983" s="337"/>
      <c r="RTI983" s="336"/>
      <c r="RTJ983" s="337"/>
      <c r="RTK983" s="336"/>
      <c r="RTL983" s="337"/>
      <c r="RTM983" s="336"/>
      <c r="RTN983" s="337"/>
      <c r="RTO983" s="336"/>
      <c r="RTP983" s="337"/>
      <c r="RTQ983" s="336"/>
      <c r="RTR983" s="337"/>
      <c r="RTS983" s="336"/>
      <c r="RTT983" s="337"/>
      <c r="RTU983" s="336"/>
      <c r="RTV983" s="337"/>
      <c r="RTW983" s="336"/>
      <c r="RTX983" s="337"/>
      <c r="RTY983" s="336"/>
      <c r="RTZ983" s="337"/>
      <c r="RUA983" s="336"/>
      <c r="RUB983" s="337"/>
      <c r="RUC983" s="336"/>
      <c r="RUD983" s="337"/>
      <c r="RUE983" s="336"/>
      <c r="RUF983" s="337"/>
      <c r="RUG983" s="336"/>
      <c r="RUH983" s="337"/>
      <c r="RUI983" s="336"/>
      <c r="RUJ983" s="337"/>
      <c r="RUK983" s="336"/>
      <c r="RUL983" s="337"/>
      <c r="RUM983" s="336"/>
      <c r="RUN983" s="337"/>
      <c r="RUO983" s="336"/>
      <c r="RUP983" s="337"/>
      <c r="RUQ983" s="336"/>
      <c r="RUR983" s="337"/>
      <c r="RUS983" s="336"/>
      <c r="RUT983" s="337"/>
      <c r="RUU983" s="336"/>
      <c r="RUV983" s="337"/>
      <c r="RUW983" s="336"/>
      <c r="RUX983" s="337"/>
      <c r="RUY983" s="336"/>
      <c r="RUZ983" s="337"/>
      <c r="RVA983" s="336"/>
      <c r="RVB983" s="337"/>
      <c r="RVC983" s="336"/>
      <c r="RVD983" s="337"/>
      <c r="RVE983" s="336"/>
      <c r="RVF983" s="337"/>
      <c r="RVG983" s="336"/>
      <c r="RVH983" s="337"/>
      <c r="RVI983" s="336"/>
      <c r="RVJ983" s="337"/>
      <c r="RVK983" s="336"/>
      <c r="RVL983" s="337"/>
      <c r="RVM983" s="336"/>
      <c r="RVN983" s="337"/>
      <c r="RVO983" s="336"/>
      <c r="RVP983" s="337"/>
      <c r="RVQ983" s="336"/>
      <c r="RVR983" s="337"/>
      <c r="RVS983" s="336"/>
      <c r="RVT983" s="337"/>
      <c r="RVU983" s="336"/>
      <c r="RVV983" s="337"/>
      <c r="RVW983" s="336"/>
      <c r="RVX983" s="337"/>
      <c r="RVY983" s="336"/>
      <c r="RVZ983" s="337"/>
      <c r="RWA983" s="336"/>
      <c r="RWB983" s="337"/>
      <c r="RWC983" s="336"/>
      <c r="RWD983" s="337"/>
      <c r="RWE983" s="336"/>
      <c r="RWF983" s="337"/>
      <c r="RWG983" s="336"/>
      <c r="RWH983" s="337"/>
      <c r="RWI983" s="336"/>
      <c r="RWJ983" s="337"/>
      <c r="RWK983" s="336"/>
      <c r="RWL983" s="337"/>
      <c r="RWM983" s="336"/>
      <c r="RWN983" s="337"/>
      <c r="RWO983" s="336"/>
      <c r="RWP983" s="337"/>
      <c r="RWQ983" s="336"/>
      <c r="RWR983" s="337"/>
      <c r="RWS983" s="336"/>
      <c r="RWT983" s="337"/>
      <c r="RWU983" s="336"/>
      <c r="RWV983" s="337"/>
      <c r="RWW983" s="336"/>
      <c r="RWX983" s="337"/>
      <c r="RWY983" s="336"/>
      <c r="RWZ983" s="337"/>
      <c r="RXA983" s="336"/>
      <c r="RXB983" s="337"/>
      <c r="RXC983" s="336"/>
      <c r="RXD983" s="337"/>
      <c r="RXE983" s="336"/>
      <c r="RXF983" s="337"/>
      <c r="RXG983" s="336"/>
      <c r="RXH983" s="337"/>
      <c r="RXI983" s="336"/>
      <c r="RXJ983" s="337"/>
      <c r="RXK983" s="336"/>
      <c r="RXL983" s="337"/>
      <c r="RXM983" s="336"/>
      <c r="RXN983" s="337"/>
      <c r="RXO983" s="336"/>
      <c r="RXP983" s="337"/>
      <c r="RXQ983" s="336"/>
      <c r="RXR983" s="337"/>
      <c r="RXS983" s="336"/>
      <c r="RXT983" s="337"/>
      <c r="RXU983" s="336"/>
      <c r="RXV983" s="337"/>
      <c r="RXW983" s="336"/>
      <c r="RXX983" s="337"/>
      <c r="RXY983" s="336"/>
      <c r="RXZ983" s="337"/>
      <c r="RYA983" s="336"/>
      <c r="RYB983" s="337"/>
      <c r="RYC983" s="336"/>
      <c r="RYD983" s="337"/>
      <c r="RYE983" s="336"/>
      <c r="RYF983" s="337"/>
      <c r="RYG983" s="336"/>
      <c r="RYH983" s="337"/>
      <c r="RYI983" s="336"/>
      <c r="RYJ983" s="337"/>
      <c r="RYK983" s="336"/>
      <c r="RYL983" s="337"/>
      <c r="RYM983" s="336"/>
      <c r="RYN983" s="337"/>
      <c r="RYO983" s="336"/>
      <c r="RYP983" s="337"/>
      <c r="RYQ983" s="336"/>
      <c r="RYR983" s="337"/>
      <c r="RYS983" s="336"/>
      <c r="RYT983" s="337"/>
      <c r="RYU983" s="336"/>
      <c r="RYV983" s="337"/>
      <c r="RYW983" s="336"/>
      <c r="RYX983" s="337"/>
      <c r="RYY983" s="336"/>
      <c r="RYZ983" s="337"/>
      <c r="RZA983" s="336"/>
      <c r="RZB983" s="337"/>
      <c r="RZC983" s="336"/>
      <c r="RZD983" s="337"/>
      <c r="RZE983" s="336"/>
      <c r="RZF983" s="337"/>
      <c r="RZG983" s="336"/>
      <c r="RZH983" s="337"/>
      <c r="RZI983" s="336"/>
      <c r="RZJ983" s="337"/>
      <c r="RZK983" s="336"/>
      <c r="RZL983" s="337"/>
      <c r="RZM983" s="336"/>
      <c r="RZN983" s="337"/>
      <c r="RZO983" s="336"/>
      <c r="RZP983" s="337"/>
      <c r="RZQ983" s="336"/>
      <c r="RZR983" s="337"/>
      <c r="RZS983" s="336"/>
      <c r="RZT983" s="337"/>
      <c r="RZU983" s="336"/>
      <c r="RZV983" s="337"/>
      <c r="RZW983" s="336"/>
      <c r="RZX983" s="337"/>
      <c r="RZY983" s="336"/>
      <c r="RZZ983" s="337"/>
      <c r="SAA983" s="336"/>
      <c r="SAB983" s="337"/>
      <c r="SAC983" s="336"/>
      <c r="SAD983" s="337"/>
      <c r="SAE983" s="336"/>
      <c r="SAF983" s="337"/>
      <c r="SAG983" s="336"/>
      <c r="SAH983" s="337"/>
      <c r="SAI983" s="336"/>
      <c r="SAJ983" s="337"/>
      <c r="SAK983" s="336"/>
      <c r="SAL983" s="337"/>
      <c r="SAM983" s="336"/>
      <c r="SAN983" s="337"/>
      <c r="SAO983" s="336"/>
      <c r="SAP983" s="337"/>
      <c r="SAQ983" s="336"/>
      <c r="SAR983" s="337"/>
      <c r="SAS983" s="336"/>
      <c r="SAT983" s="337"/>
      <c r="SAU983" s="336"/>
      <c r="SAV983" s="337"/>
      <c r="SAW983" s="336"/>
      <c r="SAX983" s="337"/>
      <c r="SAY983" s="336"/>
      <c r="SAZ983" s="337"/>
      <c r="SBA983" s="336"/>
      <c r="SBB983" s="337"/>
      <c r="SBC983" s="336"/>
      <c r="SBD983" s="337"/>
      <c r="SBE983" s="336"/>
      <c r="SBF983" s="337"/>
      <c r="SBG983" s="336"/>
      <c r="SBH983" s="337"/>
      <c r="SBI983" s="336"/>
      <c r="SBJ983" s="337"/>
      <c r="SBK983" s="336"/>
      <c r="SBL983" s="337"/>
      <c r="SBM983" s="336"/>
      <c r="SBN983" s="337"/>
      <c r="SBO983" s="336"/>
      <c r="SBP983" s="337"/>
      <c r="SBQ983" s="336"/>
      <c r="SBR983" s="337"/>
      <c r="SBS983" s="336"/>
      <c r="SBT983" s="337"/>
      <c r="SBU983" s="336"/>
      <c r="SBV983" s="337"/>
      <c r="SBW983" s="336"/>
      <c r="SBX983" s="337"/>
      <c r="SBY983" s="336"/>
      <c r="SBZ983" s="337"/>
      <c r="SCA983" s="336"/>
      <c r="SCB983" s="337"/>
      <c r="SCC983" s="336"/>
      <c r="SCD983" s="337"/>
      <c r="SCE983" s="336"/>
      <c r="SCF983" s="337"/>
      <c r="SCG983" s="336"/>
      <c r="SCH983" s="337"/>
      <c r="SCI983" s="336"/>
      <c r="SCJ983" s="337"/>
      <c r="SCK983" s="336"/>
      <c r="SCL983" s="337"/>
      <c r="SCM983" s="336"/>
      <c r="SCN983" s="337"/>
      <c r="SCO983" s="336"/>
      <c r="SCP983" s="337"/>
      <c r="SCQ983" s="336"/>
      <c r="SCR983" s="337"/>
      <c r="SCS983" s="336"/>
      <c r="SCT983" s="337"/>
      <c r="SCU983" s="336"/>
      <c r="SCV983" s="337"/>
      <c r="SCW983" s="336"/>
      <c r="SCX983" s="337"/>
      <c r="SCY983" s="336"/>
      <c r="SCZ983" s="337"/>
      <c r="SDA983" s="336"/>
      <c r="SDB983" s="337"/>
      <c r="SDC983" s="336"/>
      <c r="SDD983" s="337"/>
      <c r="SDE983" s="336"/>
      <c r="SDF983" s="337"/>
      <c r="SDG983" s="336"/>
      <c r="SDH983" s="337"/>
      <c r="SDI983" s="336"/>
      <c r="SDJ983" s="337"/>
      <c r="SDK983" s="336"/>
      <c r="SDL983" s="337"/>
      <c r="SDM983" s="336"/>
      <c r="SDN983" s="337"/>
      <c r="SDO983" s="336"/>
      <c r="SDP983" s="337"/>
      <c r="SDQ983" s="336"/>
      <c r="SDR983" s="337"/>
      <c r="SDS983" s="336"/>
      <c r="SDT983" s="337"/>
      <c r="SDU983" s="336"/>
      <c r="SDV983" s="337"/>
      <c r="SDW983" s="336"/>
      <c r="SDX983" s="337"/>
      <c r="SDY983" s="336"/>
      <c r="SDZ983" s="337"/>
      <c r="SEA983" s="336"/>
      <c r="SEB983" s="337"/>
      <c r="SEC983" s="336"/>
      <c r="SED983" s="337"/>
      <c r="SEE983" s="336"/>
      <c r="SEF983" s="337"/>
      <c r="SEG983" s="336"/>
      <c r="SEH983" s="337"/>
      <c r="SEI983" s="336"/>
      <c r="SEJ983" s="337"/>
      <c r="SEK983" s="336"/>
      <c r="SEL983" s="337"/>
      <c r="SEM983" s="336"/>
      <c r="SEN983" s="337"/>
      <c r="SEO983" s="336"/>
      <c r="SEP983" s="337"/>
      <c r="SEQ983" s="336"/>
      <c r="SER983" s="337"/>
      <c r="SES983" s="336"/>
      <c r="SET983" s="337"/>
      <c r="SEU983" s="336"/>
      <c r="SEV983" s="337"/>
      <c r="SEW983" s="336"/>
      <c r="SEX983" s="337"/>
      <c r="SEY983" s="336"/>
      <c r="SEZ983" s="337"/>
      <c r="SFA983" s="336"/>
      <c r="SFB983" s="337"/>
      <c r="SFC983" s="336"/>
      <c r="SFD983" s="337"/>
      <c r="SFE983" s="336"/>
      <c r="SFF983" s="337"/>
      <c r="SFG983" s="336"/>
      <c r="SFH983" s="337"/>
      <c r="SFI983" s="336"/>
      <c r="SFJ983" s="337"/>
      <c r="SFK983" s="336"/>
      <c r="SFL983" s="337"/>
      <c r="SFM983" s="336"/>
      <c r="SFN983" s="337"/>
      <c r="SFO983" s="336"/>
      <c r="SFP983" s="337"/>
      <c r="SFQ983" s="336"/>
      <c r="SFR983" s="337"/>
      <c r="SFS983" s="336"/>
      <c r="SFT983" s="337"/>
      <c r="SFU983" s="336"/>
      <c r="SFV983" s="337"/>
      <c r="SFW983" s="336"/>
      <c r="SFX983" s="337"/>
      <c r="SFY983" s="336"/>
      <c r="SFZ983" s="337"/>
      <c r="SGA983" s="336"/>
      <c r="SGB983" s="337"/>
      <c r="SGC983" s="336"/>
      <c r="SGD983" s="337"/>
      <c r="SGE983" s="336"/>
      <c r="SGF983" s="337"/>
      <c r="SGG983" s="336"/>
      <c r="SGH983" s="337"/>
      <c r="SGI983" s="336"/>
      <c r="SGJ983" s="337"/>
      <c r="SGK983" s="336"/>
      <c r="SGL983" s="337"/>
      <c r="SGM983" s="336"/>
      <c r="SGN983" s="337"/>
      <c r="SGO983" s="336"/>
      <c r="SGP983" s="337"/>
      <c r="SGQ983" s="336"/>
      <c r="SGR983" s="337"/>
      <c r="SGS983" s="336"/>
      <c r="SGT983" s="337"/>
      <c r="SGU983" s="336"/>
      <c r="SGV983" s="337"/>
      <c r="SGW983" s="336"/>
      <c r="SGX983" s="337"/>
      <c r="SGY983" s="336"/>
      <c r="SGZ983" s="337"/>
      <c r="SHA983" s="336"/>
      <c r="SHB983" s="337"/>
      <c r="SHC983" s="336"/>
      <c r="SHD983" s="337"/>
      <c r="SHE983" s="336"/>
      <c r="SHF983" s="337"/>
      <c r="SHG983" s="336"/>
      <c r="SHH983" s="337"/>
      <c r="SHI983" s="336"/>
      <c r="SHJ983" s="337"/>
      <c r="SHK983" s="336"/>
      <c r="SHL983" s="337"/>
      <c r="SHM983" s="336"/>
      <c r="SHN983" s="337"/>
      <c r="SHO983" s="336"/>
      <c r="SHP983" s="337"/>
      <c r="SHQ983" s="336"/>
      <c r="SHR983" s="337"/>
      <c r="SHS983" s="336"/>
      <c r="SHT983" s="337"/>
      <c r="SHU983" s="336"/>
      <c r="SHV983" s="337"/>
      <c r="SHW983" s="336"/>
      <c r="SHX983" s="337"/>
      <c r="SHY983" s="336"/>
      <c r="SHZ983" s="337"/>
      <c r="SIA983" s="336"/>
      <c r="SIB983" s="337"/>
      <c r="SIC983" s="336"/>
      <c r="SID983" s="337"/>
      <c r="SIE983" s="336"/>
      <c r="SIF983" s="337"/>
      <c r="SIG983" s="336"/>
      <c r="SIH983" s="337"/>
      <c r="SII983" s="336"/>
      <c r="SIJ983" s="337"/>
      <c r="SIK983" s="336"/>
      <c r="SIL983" s="337"/>
      <c r="SIM983" s="336"/>
      <c r="SIN983" s="337"/>
      <c r="SIO983" s="336"/>
      <c r="SIP983" s="337"/>
      <c r="SIQ983" s="336"/>
      <c r="SIR983" s="337"/>
      <c r="SIS983" s="336"/>
      <c r="SIT983" s="337"/>
      <c r="SIU983" s="336"/>
      <c r="SIV983" s="337"/>
      <c r="SIW983" s="336"/>
      <c r="SIX983" s="337"/>
      <c r="SIY983" s="336"/>
      <c r="SIZ983" s="337"/>
      <c r="SJA983" s="336"/>
      <c r="SJB983" s="337"/>
      <c r="SJC983" s="336"/>
      <c r="SJD983" s="337"/>
      <c r="SJE983" s="336"/>
      <c r="SJF983" s="337"/>
      <c r="SJG983" s="336"/>
      <c r="SJH983" s="337"/>
      <c r="SJI983" s="336"/>
      <c r="SJJ983" s="337"/>
      <c r="SJK983" s="336"/>
      <c r="SJL983" s="337"/>
      <c r="SJM983" s="336"/>
      <c r="SJN983" s="337"/>
      <c r="SJO983" s="336"/>
      <c r="SJP983" s="337"/>
      <c r="SJQ983" s="336"/>
      <c r="SJR983" s="337"/>
      <c r="SJS983" s="336"/>
      <c r="SJT983" s="337"/>
      <c r="SJU983" s="336"/>
      <c r="SJV983" s="337"/>
      <c r="SJW983" s="336"/>
      <c r="SJX983" s="337"/>
      <c r="SJY983" s="336"/>
      <c r="SJZ983" s="337"/>
      <c r="SKA983" s="336"/>
      <c r="SKB983" s="337"/>
      <c r="SKC983" s="336"/>
      <c r="SKD983" s="337"/>
      <c r="SKE983" s="336"/>
      <c r="SKF983" s="337"/>
      <c r="SKG983" s="336"/>
      <c r="SKH983" s="337"/>
      <c r="SKI983" s="336"/>
      <c r="SKJ983" s="337"/>
      <c r="SKK983" s="336"/>
      <c r="SKL983" s="337"/>
      <c r="SKM983" s="336"/>
      <c r="SKN983" s="337"/>
      <c r="SKO983" s="336"/>
      <c r="SKP983" s="337"/>
      <c r="SKQ983" s="336"/>
      <c r="SKR983" s="337"/>
      <c r="SKS983" s="336"/>
      <c r="SKT983" s="337"/>
      <c r="SKU983" s="336"/>
      <c r="SKV983" s="337"/>
      <c r="SKW983" s="336"/>
      <c r="SKX983" s="337"/>
      <c r="SKY983" s="336"/>
      <c r="SKZ983" s="337"/>
      <c r="SLA983" s="336"/>
      <c r="SLB983" s="337"/>
      <c r="SLC983" s="336"/>
      <c r="SLD983" s="337"/>
      <c r="SLE983" s="336"/>
      <c r="SLF983" s="337"/>
      <c r="SLG983" s="336"/>
      <c r="SLH983" s="337"/>
      <c r="SLI983" s="336"/>
      <c r="SLJ983" s="337"/>
      <c r="SLK983" s="336"/>
      <c r="SLL983" s="337"/>
      <c r="SLM983" s="336"/>
      <c r="SLN983" s="337"/>
      <c r="SLO983" s="336"/>
      <c r="SLP983" s="337"/>
      <c r="SLQ983" s="336"/>
      <c r="SLR983" s="337"/>
      <c r="SLS983" s="336"/>
      <c r="SLT983" s="337"/>
      <c r="SLU983" s="336"/>
      <c r="SLV983" s="337"/>
      <c r="SLW983" s="336"/>
      <c r="SLX983" s="337"/>
      <c r="SLY983" s="336"/>
      <c r="SLZ983" s="337"/>
      <c r="SMA983" s="336"/>
      <c r="SMB983" s="337"/>
      <c r="SMC983" s="336"/>
      <c r="SMD983" s="337"/>
      <c r="SME983" s="336"/>
      <c r="SMF983" s="337"/>
      <c r="SMG983" s="336"/>
      <c r="SMH983" s="337"/>
      <c r="SMI983" s="336"/>
      <c r="SMJ983" s="337"/>
      <c r="SMK983" s="336"/>
      <c r="SML983" s="337"/>
      <c r="SMM983" s="336"/>
      <c r="SMN983" s="337"/>
      <c r="SMO983" s="336"/>
      <c r="SMP983" s="337"/>
      <c r="SMQ983" s="336"/>
      <c r="SMR983" s="337"/>
      <c r="SMS983" s="336"/>
      <c r="SMT983" s="337"/>
      <c r="SMU983" s="336"/>
      <c r="SMV983" s="337"/>
      <c r="SMW983" s="336"/>
      <c r="SMX983" s="337"/>
      <c r="SMY983" s="336"/>
      <c r="SMZ983" s="337"/>
      <c r="SNA983" s="336"/>
      <c r="SNB983" s="337"/>
      <c r="SNC983" s="336"/>
      <c r="SND983" s="337"/>
      <c r="SNE983" s="336"/>
      <c r="SNF983" s="337"/>
      <c r="SNG983" s="336"/>
      <c r="SNH983" s="337"/>
      <c r="SNI983" s="336"/>
      <c r="SNJ983" s="337"/>
      <c r="SNK983" s="336"/>
      <c r="SNL983" s="337"/>
      <c r="SNM983" s="336"/>
      <c r="SNN983" s="337"/>
      <c r="SNO983" s="336"/>
      <c r="SNP983" s="337"/>
      <c r="SNQ983" s="336"/>
      <c r="SNR983" s="337"/>
      <c r="SNS983" s="336"/>
      <c r="SNT983" s="337"/>
      <c r="SNU983" s="336"/>
      <c r="SNV983" s="337"/>
      <c r="SNW983" s="336"/>
      <c r="SNX983" s="337"/>
      <c r="SNY983" s="336"/>
      <c r="SNZ983" s="337"/>
      <c r="SOA983" s="336"/>
      <c r="SOB983" s="337"/>
      <c r="SOC983" s="336"/>
      <c r="SOD983" s="337"/>
      <c r="SOE983" s="336"/>
      <c r="SOF983" s="337"/>
      <c r="SOG983" s="336"/>
      <c r="SOH983" s="337"/>
      <c r="SOI983" s="336"/>
      <c r="SOJ983" s="337"/>
      <c r="SOK983" s="336"/>
      <c r="SOL983" s="337"/>
      <c r="SOM983" s="336"/>
      <c r="SON983" s="337"/>
      <c r="SOO983" s="336"/>
      <c r="SOP983" s="337"/>
      <c r="SOQ983" s="336"/>
      <c r="SOR983" s="337"/>
      <c r="SOS983" s="336"/>
      <c r="SOT983" s="337"/>
      <c r="SOU983" s="336"/>
      <c r="SOV983" s="337"/>
      <c r="SOW983" s="336"/>
      <c r="SOX983" s="337"/>
      <c r="SOY983" s="336"/>
      <c r="SOZ983" s="337"/>
      <c r="SPA983" s="336"/>
      <c r="SPB983" s="337"/>
      <c r="SPC983" s="336"/>
      <c r="SPD983" s="337"/>
      <c r="SPE983" s="336"/>
      <c r="SPF983" s="337"/>
      <c r="SPG983" s="336"/>
      <c r="SPH983" s="337"/>
      <c r="SPI983" s="336"/>
      <c r="SPJ983" s="337"/>
      <c r="SPK983" s="336"/>
      <c r="SPL983" s="337"/>
      <c r="SPM983" s="336"/>
      <c r="SPN983" s="337"/>
      <c r="SPO983" s="336"/>
      <c r="SPP983" s="337"/>
      <c r="SPQ983" s="336"/>
      <c r="SPR983" s="337"/>
      <c r="SPS983" s="336"/>
      <c r="SPT983" s="337"/>
      <c r="SPU983" s="336"/>
      <c r="SPV983" s="337"/>
      <c r="SPW983" s="336"/>
      <c r="SPX983" s="337"/>
      <c r="SPY983" s="336"/>
      <c r="SPZ983" s="337"/>
      <c r="SQA983" s="336"/>
      <c r="SQB983" s="337"/>
      <c r="SQC983" s="336"/>
      <c r="SQD983" s="337"/>
      <c r="SQE983" s="336"/>
      <c r="SQF983" s="337"/>
      <c r="SQG983" s="336"/>
      <c r="SQH983" s="337"/>
      <c r="SQI983" s="336"/>
      <c r="SQJ983" s="337"/>
      <c r="SQK983" s="336"/>
      <c r="SQL983" s="337"/>
      <c r="SQM983" s="336"/>
      <c r="SQN983" s="337"/>
      <c r="SQO983" s="336"/>
      <c r="SQP983" s="337"/>
      <c r="SQQ983" s="336"/>
      <c r="SQR983" s="337"/>
      <c r="SQS983" s="336"/>
      <c r="SQT983" s="337"/>
      <c r="SQU983" s="336"/>
      <c r="SQV983" s="337"/>
      <c r="SQW983" s="336"/>
      <c r="SQX983" s="337"/>
      <c r="SQY983" s="336"/>
      <c r="SQZ983" s="337"/>
      <c r="SRA983" s="336"/>
      <c r="SRB983" s="337"/>
      <c r="SRC983" s="336"/>
      <c r="SRD983" s="337"/>
      <c r="SRE983" s="336"/>
      <c r="SRF983" s="337"/>
      <c r="SRG983" s="336"/>
      <c r="SRH983" s="337"/>
      <c r="SRI983" s="336"/>
      <c r="SRJ983" s="337"/>
      <c r="SRK983" s="336"/>
      <c r="SRL983" s="337"/>
      <c r="SRM983" s="336"/>
      <c r="SRN983" s="337"/>
      <c r="SRO983" s="336"/>
      <c r="SRP983" s="337"/>
      <c r="SRQ983" s="336"/>
      <c r="SRR983" s="337"/>
      <c r="SRS983" s="336"/>
      <c r="SRT983" s="337"/>
      <c r="SRU983" s="336"/>
      <c r="SRV983" s="337"/>
      <c r="SRW983" s="336"/>
      <c r="SRX983" s="337"/>
      <c r="SRY983" s="336"/>
      <c r="SRZ983" s="337"/>
      <c r="SSA983" s="336"/>
      <c r="SSB983" s="337"/>
      <c r="SSC983" s="336"/>
      <c r="SSD983" s="337"/>
      <c r="SSE983" s="336"/>
      <c r="SSF983" s="337"/>
      <c r="SSG983" s="336"/>
      <c r="SSH983" s="337"/>
      <c r="SSI983" s="336"/>
      <c r="SSJ983" s="337"/>
      <c r="SSK983" s="336"/>
      <c r="SSL983" s="337"/>
      <c r="SSM983" s="336"/>
      <c r="SSN983" s="337"/>
      <c r="SSO983" s="336"/>
      <c r="SSP983" s="337"/>
      <c r="SSQ983" s="336"/>
      <c r="SSR983" s="337"/>
      <c r="SSS983" s="336"/>
      <c r="SST983" s="337"/>
      <c r="SSU983" s="336"/>
      <c r="SSV983" s="337"/>
      <c r="SSW983" s="336"/>
      <c r="SSX983" s="337"/>
      <c r="SSY983" s="336"/>
      <c r="SSZ983" s="337"/>
      <c r="STA983" s="336"/>
      <c r="STB983" s="337"/>
      <c r="STC983" s="336"/>
      <c r="STD983" s="337"/>
      <c r="STE983" s="336"/>
      <c r="STF983" s="337"/>
      <c r="STG983" s="336"/>
      <c r="STH983" s="337"/>
      <c r="STI983" s="336"/>
      <c r="STJ983" s="337"/>
      <c r="STK983" s="336"/>
      <c r="STL983" s="337"/>
      <c r="STM983" s="336"/>
      <c r="STN983" s="337"/>
      <c r="STO983" s="336"/>
      <c r="STP983" s="337"/>
      <c r="STQ983" s="336"/>
      <c r="STR983" s="337"/>
      <c r="STS983" s="336"/>
      <c r="STT983" s="337"/>
      <c r="STU983" s="336"/>
      <c r="STV983" s="337"/>
      <c r="STW983" s="336"/>
      <c r="STX983" s="337"/>
      <c r="STY983" s="336"/>
      <c r="STZ983" s="337"/>
      <c r="SUA983" s="336"/>
      <c r="SUB983" s="337"/>
      <c r="SUC983" s="336"/>
      <c r="SUD983" s="337"/>
      <c r="SUE983" s="336"/>
      <c r="SUF983" s="337"/>
      <c r="SUG983" s="336"/>
      <c r="SUH983" s="337"/>
      <c r="SUI983" s="336"/>
      <c r="SUJ983" s="337"/>
      <c r="SUK983" s="336"/>
      <c r="SUL983" s="337"/>
      <c r="SUM983" s="336"/>
      <c r="SUN983" s="337"/>
      <c r="SUO983" s="336"/>
      <c r="SUP983" s="337"/>
      <c r="SUQ983" s="336"/>
      <c r="SUR983" s="337"/>
      <c r="SUS983" s="336"/>
      <c r="SUT983" s="337"/>
      <c r="SUU983" s="336"/>
      <c r="SUV983" s="337"/>
      <c r="SUW983" s="336"/>
      <c r="SUX983" s="337"/>
      <c r="SUY983" s="336"/>
      <c r="SUZ983" s="337"/>
      <c r="SVA983" s="336"/>
      <c r="SVB983" s="337"/>
      <c r="SVC983" s="336"/>
      <c r="SVD983" s="337"/>
      <c r="SVE983" s="336"/>
      <c r="SVF983" s="337"/>
      <c r="SVG983" s="336"/>
      <c r="SVH983" s="337"/>
      <c r="SVI983" s="336"/>
      <c r="SVJ983" s="337"/>
      <c r="SVK983" s="336"/>
      <c r="SVL983" s="337"/>
      <c r="SVM983" s="336"/>
      <c r="SVN983" s="337"/>
      <c r="SVO983" s="336"/>
      <c r="SVP983" s="337"/>
      <c r="SVQ983" s="336"/>
      <c r="SVR983" s="337"/>
      <c r="SVS983" s="336"/>
      <c r="SVT983" s="337"/>
      <c r="SVU983" s="336"/>
      <c r="SVV983" s="337"/>
      <c r="SVW983" s="336"/>
      <c r="SVX983" s="337"/>
      <c r="SVY983" s="336"/>
      <c r="SVZ983" s="337"/>
      <c r="SWA983" s="336"/>
      <c r="SWB983" s="337"/>
      <c r="SWC983" s="336"/>
      <c r="SWD983" s="337"/>
      <c r="SWE983" s="336"/>
      <c r="SWF983" s="337"/>
      <c r="SWG983" s="336"/>
      <c r="SWH983" s="337"/>
      <c r="SWI983" s="336"/>
      <c r="SWJ983" s="337"/>
      <c r="SWK983" s="336"/>
      <c r="SWL983" s="337"/>
      <c r="SWM983" s="336"/>
      <c r="SWN983" s="337"/>
      <c r="SWO983" s="336"/>
      <c r="SWP983" s="337"/>
      <c r="SWQ983" s="336"/>
      <c r="SWR983" s="337"/>
      <c r="SWS983" s="336"/>
      <c r="SWT983" s="337"/>
      <c r="SWU983" s="336"/>
      <c r="SWV983" s="337"/>
      <c r="SWW983" s="336"/>
      <c r="SWX983" s="337"/>
      <c r="SWY983" s="336"/>
      <c r="SWZ983" s="337"/>
      <c r="SXA983" s="336"/>
      <c r="SXB983" s="337"/>
      <c r="SXC983" s="336"/>
      <c r="SXD983" s="337"/>
      <c r="SXE983" s="336"/>
      <c r="SXF983" s="337"/>
      <c r="SXG983" s="336"/>
      <c r="SXH983" s="337"/>
      <c r="SXI983" s="336"/>
      <c r="SXJ983" s="337"/>
      <c r="SXK983" s="336"/>
      <c r="SXL983" s="337"/>
      <c r="SXM983" s="336"/>
      <c r="SXN983" s="337"/>
      <c r="SXO983" s="336"/>
      <c r="SXP983" s="337"/>
      <c r="SXQ983" s="336"/>
      <c r="SXR983" s="337"/>
      <c r="SXS983" s="336"/>
      <c r="SXT983" s="337"/>
      <c r="SXU983" s="336"/>
      <c r="SXV983" s="337"/>
      <c r="SXW983" s="336"/>
      <c r="SXX983" s="337"/>
      <c r="SXY983" s="336"/>
      <c r="SXZ983" s="337"/>
      <c r="SYA983" s="336"/>
      <c r="SYB983" s="337"/>
      <c r="SYC983" s="336"/>
      <c r="SYD983" s="337"/>
      <c r="SYE983" s="336"/>
      <c r="SYF983" s="337"/>
      <c r="SYG983" s="336"/>
      <c r="SYH983" s="337"/>
      <c r="SYI983" s="336"/>
      <c r="SYJ983" s="337"/>
      <c r="SYK983" s="336"/>
      <c r="SYL983" s="337"/>
      <c r="SYM983" s="336"/>
      <c r="SYN983" s="337"/>
      <c r="SYO983" s="336"/>
      <c r="SYP983" s="337"/>
      <c r="SYQ983" s="336"/>
      <c r="SYR983" s="337"/>
      <c r="SYS983" s="336"/>
      <c r="SYT983" s="337"/>
      <c r="SYU983" s="336"/>
      <c r="SYV983" s="337"/>
      <c r="SYW983" s="336"/>
      <c r="SYX983" s="337"/>
      <c r="SYY983" s="336"/>
      <c r="SYZ983" s="337"/>
      <c r="SZA983" s="336"/>
      <c r="SZB983" s="337"/>
      <c r="SZC983" s="336"/>
      <c r="SZD983" s="337"/>
      <c r="SZE983" s="336"/>
      <c r="SZF983" s="337"/>
      <c r="SZG983" s="336"/>
      <c r="SZH983" s="337"/>
      <c r="SZI983" s="336"/>
      <c r="SZJ983" s="337"/>
      <c r="SZK983" s="336"/>
      <c r="SZL983" s="337"/>
      <c r="SZM983" s="336"/>
      <c r="SZN983" s="337"/>
      <c r="SZO983" s="336"/>
      <c r="SZP983" s="337"/>
      <c r="SZQ983" s="336"/>
      <c r="SZR983" s="337"/>
      <c r="SZS983" s="336"/>
      <c r="SZT983" s="337"/>
      <c r="SZU983" s="336"/>
      <c r="SZV983" s="337"/>
      <c r="SZW983" s="336"/>
      <c r="SZX983" s="337"/>
      <c r="SZY983" s="336"/>
      <c r="SZZ983" s="337"/>
      <c r="TAA983" s="336"/>
      <c r="TAB983" s="337"/>
      <c r="TAC983" s="336"/>
      <c r="TAD983" s="337"/>
      <c r="TAE983" s="336"/>
      <c r="TAF983" s="337"/>
      <c r="TAG983" s="336"/>
      <c r="TAH983" s="337"/>
      <c r="TAI983" s="336"/>
      <c r="TAJ983" s="337"/>
      <c r="TAK983" s="336"/>
      <c r="TAL983" s="337"/>
      <c r="TAM983" s="336"/>
      <c r="TAN983" s="337"/>
      <c r="TAO983" s="336"/>
      <c r="TAP983" s="337"/>
      <c r="TAQ983" s="336"/>
      <c r="TAR983" s="337"/>
      <c r="TAS983" s="336"/>
      <c r="TAT983" s="337"/>
      <c r="TAU983" s="336"/>
      <c r="TAV983" s="337"/>
      <c r="TAW983" s="336"/>
      <c r="TAX983" s="337"/>
      <c r="TAY983" s="336"/>
      <c r="TAZ983" s="337"/>
      <c r="TBA983" s="336"/>
      <c r="TBB983" s="337"/>
      <c r="TBC983" s="336"/>
      <c r="TBD983" s="337"/>
      <c r="TBE983" s="336"/>
      <c r="TBF983" s="337"/>
      <c r="TBG983" s="336"/>
      <c r="TBH983" s="337"/>
      <c r="TBI983" s="336"/>
      <c r="TBJ983" s="337"/>
      <c r="TBK983" s="336"/>
      <c r="TBL983" s="337"/>
      <c r="TBM983" s="336"/>
      <c r="TBN983" s="337"/>
      <c r="TBO983" s="336"/>
      <c r="TBP983" s="337"/>
      <c r="TBQ983" s="336"/>
      <c r="TBR983" s="337"/>
      <c r="TBS983" s="336"/>
      <c r="TBT983" s="337"/>
      <c r="TBU983" s="336"/>
      <c r="TBV983" s="337"/>
      <c r="TBW983" s="336"/>
      <c r="TBX983" s="337"/>
      <c r="TBY983" s="336"/>
      <c r="TBZ983" s="337"/>
      <c r="TCA983" s="336"/>
      <c r="TCB983" s="337"/>
      <c r="TCC983" s="336"/>
      <c r="TCD983" s="337"/>
      <c r="TCE983" s="336"/>
      <c r="TCF983" s="337"/>
      <c r="TCG983" s="336"/>
      <c r="TCH983" s="337"/>
      <c r="TCI983" s="336"/>
      <c r="TCJ983" s="337"/>
      <c r="TCK983" s="336"/>
      <c r="TCL983" s="337"/>
      <c r="TCM983" s="336"/>
      <c r="TCN983" s="337"/>
      <c r="TCO983" s="336"/>
      <c r="TCP983" s="337"/>
      <c r="TCQ983" s="336"/>
      <c r="TCR983" s="337"/>
      <c r="TCS983" s="336"/>
      <c r="TCT983" s="337"/>
      <c r="TCU983" s="336"/>
      <c r="TCV983" s="337"/>
      <c r="TCW983" s="336"/>
      <c r="TCX983" s="337"/>
      <c r="TCY983" s="336"/>
      <c r="TCZ983" s="337"/>
      <c r="TDA983" s="336"/>
      <c r="TDB983" s="337"/>
      <c r="TDC983" s="336"/>
      <c r="TDD983" s="337"/>
      <c r="TDE983" s="336"/>
      <c r="TDF983" s="337"/>
      <c r="TDG983" s="336"/>
      <c r="TDH983" s="337"/>
      <c r="TDI983" s="336"/>
      <c r="TDJ983" s="337"/>
      <c r="TDK983" s="336"/>
      <c r="TDL983" s="337"/>
      <c r="TDM983" s="336"/>
      <c r="TDN983" s="337"/>
      <c r="TDO983" s="336"/>
      <c r="TDP983" s="337"/>
      <c r="TDQ983" s="336"/>
      <c r="TDR983" s="337"/>
      <c r="TDS983" s="336"/>
      <c r="TDT983" s="337"/>
      <c r="TDU983" s="336"/>
      <c r="TDV983" s="337"/>
      <c r="TDW983" s="336"/>
      <c r="TDX983" s="337"/>
      <c r="TDY983" s="336"/>
      <c r="TDZ983" s="337"/>
      <c r="TEA983" s="336"/>
      <c r="TEB983" s="337"/>
      <c r="TEC983" s="336"/>
      <c r="TED983" s="337"/>
      <c r="TEE983" s="336"/>
      <c r="TEF983" s="337"/>
      <c r="TEG983" s="336"/>
      <c r="TEH983" s="337"/>
      <c r="TEI983" s="336"/>
      <c r="TEJ983" s="337"/>
      <c r="TEK983" s="336"/>
      <c r="TEL983" s="337"/>
      <c r="TEM983" s="336"/>
      <c r="TEN983" s="337"/>
      <c r="TEO983" s="336"/>
      <c r="TEP983" s="337"/>
      <c r="TEQ983" s="336"/>
      <c r="TER983" s="337"/>
      <c r="TES983" s="336"/>
      <c r="TET983" s="337"/>
      <c r="TEU983" s="336"/>
      <c r="TEV983" s="337"/>
      <c r="TEW983" s="336"/>
      <c r="TEX983" s="337"/>
      <c r="TEY983" s="336"/>
      <c r="TEZ983" s="337"/>
      <c r="TFA983" s="336"/>
      <c r="TFB983" s="337"/>
      <c r="TFC983" s="336"/>
      <c r="TFD983" s="337"/>
      <c r="TFE983" s="336"/>
      <c r="TFF983" s="337"/>
      <c r="TFG983" s="336"/>
      <c r="TFH983" s="337"/>
      <c r="TFI983" s="336"/>
      <c r="TFJ983" s="337"/>
      <c r="TFK983" s="336"/>
      <c r="TFL983" s="337"/>
      <c r="TFM983" s="336"/>
      <c r="TFN983" s="337"/>
      <c r="TFO983" s="336"/>
      <c r="TFP983" s="337"/>
      <c r="TFQ983" s="336"/>
      <c r="TFR983" s="337"/>
      <c r="TFS983" s="336"/>
      <c r="TFT983" s="337"/>
      <c r="TFU983" s="336"/>
      <c r="TFV983" s="337"/>
      <c r="TFW983" s="336"/>
      <c r="TFX983" s="337"/>
      <c r="TFY983" s="336"/>
      <c r="TFZ983" s="337"/>
      <c r="TGA983" s="336"/>
      <c r="TGB983" s="337"/>
      <c r="TGC983" s="336"/>
      <c r="TGD983" s="337"/>
      <c r="TGE983" s="336"/>
      <c r="TGF983" s="337"/>
      <c r="TGG983" s="336"/>
      <c r="TGH983" s="337"/>
      <c r="TGI983" s="336"/>
      <c r="TGJ983" s="337"/>
      <c r="TGK983" s="336"/>
      <c r="TGL983" s="337"/>
      <c r="TGM983" s="336"/>
      <c r="TGN983" s="337"/>
      <c r="TGO983" s="336"/>
      <c r="TGP983" s="337"/>
      <c r="TGQ983" s="336"/>
      <c r="TGR983" s="337"/>
      <c r="TGS983" s="336"/>
      <c r="TGT983" s="337"/>
      <c r="TGU983" s="336"/>
      <c r="TGV983" s="337"/>
      <c r="TGW983" s="336"/>
      <c r="TGX983" s="337"/>
      <c r="TGY983" s="336"/>
      <c r="TGZ983" s="337"/>
      <c r="THA983" s="336"/>
      <c r="THB983" s="337"/>
      <c r="THC983" s="336"/>
      <c r="THD983" s="337"/>
      <c r="THE983" s="336"/>
      <c r="THF983" s="337"/>
      <c r="THG983" s="336"/>
      <c r="THH983" s="337"/>
      <c r="THI983" s="336"/>
      <c r="THJ983" s="337"/>
      <c r="THK983" s="336"/>
      <c r="THL983" s="337"/>
      <c r="THM983" s="336"/>
      <c r="THN983" s="337"/>
      <c r="THO983" s="336"/>
      <c r="THP983" s="337"/>
      <c r="THQ983" s="336"/>
      <c r="THR983" s="337"/>
      <c r="THS983" s="336"/>
      <c r="THT983" s="337"/>
      <c r="THU983" s="336"/>
      <c r="THV983" s="337"/>
      <c r="THW983" s="336"/>
      <c r="THX983" s="337"/>
      <c r="THY983" s="336"/>
      <c r="THZ983" s="337"/>
      <c r="TIA983" s="336"/>
      <c r="TIB983" s="337"/>
      <c r="TIC983" s="336"/>
      <c r="TID983" s="337"/>
      <c r="TIE983" s="336"/>
      <c r="TIF983" s="337"/>
      <c r="TIG983" s="336"/>
      <c r="TIH983" s="337"/>
      <c r="TII983" s="336"/>
      <c r="TIJ983" s="337"/>
      <c r="TIK983" s="336"/>
      <c r="TIL983" s="337"/>
      <c r="TIM983" s="336"/>
      <c r="TIN983" s="337"/>
      <c r="TIO983" s="336"/>
      <c r="TIP983" s="337"/>
      <c r="TIQ983" s="336"/>
      <c r="TIR983" s="337"/>
      <c r="TIS983" s="336"/>
      <c r="TIT983" s="337"/>
      <c r="TIU983" s="336"/>
      <c r="TIV983" s="337"/>
      <c r="TIW983" s="336"/>
      <c r="TIX983" s="337"/>
      <c r="TIY983" s="336"/>
      <c r="TIZ983" s="337"/>
      <c r="TJA983" s="336"/>
      <c r="TJB983" s="337"/>
      <c r="TJC983" s="336"/>
      <c r="TJD983" s="337"/>
      <c r="TJE983" s="336"/>
      <c r="TJF983" s="337"/>
      <c r="TJG983" s="336"/>
      <c r="TJH983" s="337"/>
      <c r="TJI983" s="336"/>
      <c r="TJJ983" s="337"/>
      <c r="TJK983" s="336"/>
      <c r="TJL983" s="337"/>
      <c r="TJM983" s="336"/>
      <c r="TJN983" s="337"/>
      <c r="TJO983" s="336"/>
      <c r="TJP983" s="337"/>
      <c r="TJQ983" s="336"/>
      <c r="TJR983" s="337"/>
      <c r="TJS983" s="336"/>
      <c r="TJT983" s="337"/>
      <c r="TJU983" s="336"/>
      <c r="TJV983" s="337"/>
      <c r="TJW983" s="336"/>
      <c r="TJX983" s="337"/>
      <c r="TJY983" s="336"/>
      <c r="TJZ983" s="337"/>
      <c r="TKA983" s="336"/>
      <c r="TKB983" s="337"/>
      <c r="TKC983" s="336"/>
      <c r="TKD983" s="337"/>
      <c r="TKE983" s="336"/>
      <c r="TKF983" s="337"/>
      <c r="TKG983" s="336"/>
      <c r="TKH983" s="337"/>
      <c r="TKI983" s="336"/>
      <c r="TKJ983" s="337"/>
      <c r="TKK983" s="336"/>
      <c r="TKL983" s="337"/>
      <c r="TKM983" s="336"/>
      <c r="TKN983" s="337"/>
      <c r="TKO983" s="336"/>
      <c r="TKP983" s="337"/>
      <c r="TKQ983" s="336"/>
      <c r="TKR983" s="337"/>
      <c r="TKS983" s="336"/>
      <c r="TKT983" s="337"/>
      <c r="TKU983" s="336"/>
      <c r="TKV983" s="337"/>
      <c r="TKW983" s="336"/>
      <c r="TKX983" s="337"/>
      <c r="TKY983" s="336"/>
      <c r="TKZ983" s="337"/>
      <c r="TLA983" s="336"/>
      <c r="TLB983" s="337"/>
      <c r="TLC983" s="336"/>
      <c r="TLD983" s="337"/>
      <c r="TLE983" s="336"/>
      <c r="TLF983" s="337"/>
      <c r="TLG983" s="336"/>
      <c r="TLH983" s="337"/>
      <c r="TLI983" s="336"/>
      <c r="TLJ983" s="337"/>
      <c r="TLK983" s="336"/>
      <c r="TLL983" s="337"/>
      <c r="TLM983" s="336"/>
      <c r="TLN983" s="337"/>
      <c r="TLO983" s="336"/>
      <c r="TLP983" s="337"/>
      <c r="TLQ983" s="336"/>
      <c r="TLR983" s="337"/>
      <c r="TLS983" s="336"/>
      <c r="TLT983" s="337"/>
      <c r="TLU983" s="336"/>
      <c r="TLV983" s="337"/>
      <c r="TLW983" s="336"/>
      <c r="TLX983" s="337"/>
      <c r="TLY983" s="336"/>
      <c r="TLZ983" s="337"/>
      <c r="TMA983" s="336"/>
      <c r="TMB983" s="337"/>
      <c r="TMC983" s="336"/>
      <c r="TMD983" s="337"/>
      <c r="TME983" s="336"/>
      <c r="TMF983" s="337"/>
      <c r="TMG983" s="336"/>
      <c r="TMH983" s="337"/>
      <c r="TMI983" s="336"/>
      <c r="TMJ983" s="337"/>
      <c r="TMK983" s="336"/>
      <c r="TML983" s="337"/>
      <c r="TMM983" s="336"/>
      <c r="TMN983" s="337"/>
      <c r="TMO983" s="336"/>
      <c r="TMP983" s="337"/>
      <c r="TMQ983" s="336"/>
      <c r="TMR983" s="337"/>
      <c r="TMS983" s="336"/>
      <c r="TMT983" s="337"/>
      <c r="TMU983" s="336"/>
      <c r="TMV983" s="337"/>
      <c r="TMW983" s="336"/>
      <c r="TMX983" s="337"/>
      <c r="TMY983" s="336"/>
      <c r="TMZ983" s="337"/>
      <c r="TNA983" s="336"/>
      <c r="TNB983" s="337"/>
      <c r="TNC983" s="336"/>
      <c r="TND983" s="337"/>
      <c r="TNE983" s="336"/>
      <c r="TNF983" s="337"/>
      <c r="TNG983" s="336"/>
      <c r="TNH983" s="337"/>
      <c r="TNI983" s="336"/>
      <c r="TNJ983" s="337"/>
      <c r="TNK983" s="336"/>
      <c r="TNL983" s="337"/>
      <c r="TNM983" s="336"/>
      <c r="TNN983" s="337"/>
      <c r="TNO983" s="336"/>
      <c r="TNP983" s="337"/>
      <c r="TNQ983" s="336"/>
      <c r="TNR983" s="337"/>
      <c r="TNS983" s="336"/>
      <c r="TNT983" s="337"/>
      <c r="TNU983" s="336"/>
      <c r="TNV983" s="337"/>
      <c r="TNW983" s="336"/>
      <c r="TNX983" s="337"/>
      <c r="TNY983" s="336"/>
      <c r="TNZ983" s="337"/>
      <c r="TOA983" s="336"/>
      <c r="TOB983" s="337"/>
      <c r="TOC983" s="336"/>
      <c r="TOD983" s="337"/>
      <c r="TOE983" s="336"/>
      <c r="TOF983" s="337"/>
      <c r="TOG983" s="336"/>
      <c r="TOH983" s="337"/>
      <c r="TOI983" s="336"/>
      <c r="TOJ983" s="337"/>
      <c r="TOK983" s="336"/>
      <c r="TOL983" s="337"/>
      <c r="TOM983" s="336"/>
      <c r="TON983" s="337"/>
      <c r="TOO983" s="336"/>
      <c r="TOP983" s="337"/>
      <c r="TOQ983" s="336"/>
      <c r="TOR983" s="337"/>
      <c r="TOS983" s="336"/>
      <c r="TOT983" s="337"/>
      <c r="TOU983" s="336"/>
      <c r="TOV983" s="337"/>
      <c r="TOW983" s="336"/>
      <c r="TOX983" s="337"/>
      <c r="TOY983" s="336"/>
      <c r="TOZ983" s="337"/>
      <c r="TPA983" s="336"/>
      <c r="TPB983" s="337"/>
      <c r="TPC983" s="336"/>
      <c r="TPD983" s="337"/>
      <c r="TPE983" s="336"/>
      <c r="TPF983" s="337"/>
      <c r="TPG983" s="336"/>
      <c r="TPH983" s="337"/>
      <c r="TPI983" s="336"/>
      <c r="TPJ983" s="337"/>
      <c r="TPK983" s="336"/>
      <c r="TPL983" s="337"/>
      <c r="TPM983" s="336"/>
      <c r="TPN983" s="337"/>
      <c r="TPO983" s="336"/>
      <c r="TPP983" s="337"/>
      <c r="TPQ983" s="336"/>
      <c r="TPR983" s="337"/>
      <c r="TPS983" s="336"/>
      <c r="TPT983" s="337"/>
      <c r="TPU983" s="336"/>
      <c r="TPV983" s="337"/>
      <c r="TPW983" s="336"/>
      <c r="TPX983" s="337"/>
      <c r="TPY983" s="336"/>
      <c r="TPZ983" s="337"/>
      <c r="TQA983" s="336"/>
      <c r="TQB983" s="337"/>
      <c r="TQC983" s="336"/>
      <c r="TQD983" s="337"/>
      <c r="TQE983" s="336"/>
      <c r="TQF983" s="337"/>
      <c r="TQG983" s="336"/>
      <c r="TQH983" s="337"/>
      <c r="TQI983" s="336"/>
      <c r="TQJ983" s="337"/>
      <c r="TQK983" s="336"/>
      <c r="TQL983" s="337"/>
      <c r="TQM983" s="336"/>
      <c r="TQN983" s="337"/>
      <c r="TQO983" s="336"/>
      <c r="TQP983" s="337"/>
      <c r="TQQ983" s="336"/>
      <c r="TQR983" s="337"/>
      <c r="TQS983" s="336"/>
      <c r="TQT983" s="337"/>
      <c r="TQU983" s="336"/>
      <c r="TQV983" s="337"/>
      <c r="TQW983" s="336"/>
      <c r="TQX983" s="337"/>
      <c r="TQY983" s="336"/>
      <c r="TQZ983" s="337"/>
      <c r="TRA983" s="336"/>
      <c r="TRB983" s="337"/>
      <c r="TRC983" s="336"/>
      <c r="TRD983" s="337"/>
      <c r="TRE983" s="336"/>
      <c r="TRF983" s="337"/>
      <c r="TRG983" s="336"/>
      <c r="TRH983" s="337"/>
      <c r="TRI983" s="336"/>
      <c r="TRJ983" s="337"/>
      <c r="TRK983" s="336"/>
      <c r="TRL983" s="337"/>
      <c r="TRM983" s="336"/>
      <c r="TRN983" s="337"/>
      <c r="TRO983" s="336"/>
      <c r="TRP983" s="337"/>
      <c r="TRQ983" s="336"/>
      <c r="TRR983" s="337"/>
      <c r="TRS983" s="336"/>
      <c r="TRT983" s="337"/>
      <c r="TRU983" s="336"/>
      <c r="TRV983" s="337"/>
      <c r="TRW983" s="336"/>
      <c r="TRX983" s="337"/>
      <c r="TRY983" s="336"/>
      <c r="TRZ983" s="337"/>
      <c r="TSA983" s="336"/>
      <c r="TSB983" s="337"/>
      <c r="TSC983" s="336"/>
      <c r="TSD983" s="337"/>
      <c r="TSE983" s="336"/>
      <c r="TSF983" s="337"/>
      <c r="TSG983" s="336"/>
      <c r="TSH983" s="337"/>
      <c r="TSI983" s="336"/>
      <c r="TSJ983" s="337"/>
      <c r="TSK983" s="336"/>
      <c r="TSL983" s="337"/>
      <c r="TSM983" s="336"/>
      <c r="TSN983" s="337"/>
      <c r="TSO983" s="336"/>
      <c r="TSP983" s="337"/>
      <c r="TSQ983" s="336"/>
      <c r="TSR983" s="337"/>
      <c r="TSS983" s="336"/>
      <c r="TST983" s="337"/>
      <c r="TSU983" s="336"/>
      <c r="TSV983" s="337"/>
      <c r="TSW983" s="336"/>
      <c r="TSX983" s="337"/>
      <c r="TSY983" s="336"/>
      <c r="TSZ983" s="337"/>
      <c r="TTA983" s="336"/>
      <c r="TTB983" s="337"/>
      <c r="TTC983" s="336"/>
      <c r="TTD983" s="337"/>
      <c r="TTE983" s="336"/>
      <c r="TTF983" s="337"/>
      <c r="TTG983" s="336"/>
      <c r="TTH983" s="337"/>
      <c r="TTI983" s="336"/>
      <c r="TTJ983" s="337"/>
      <c r="TTK983" s="336"/>
      <c r="TTL983" s="337"/>
      <c r="TTM983" s="336"/>
      <c r="TTN983" s="337"/>
      <c r="TTO983" s="336"/>
      <c r="TTP983" s="337"/>
      <c r="TTQ983" s="336"/>
      <c r="TTR983" s="337"/>
      <c r="TTS983" s="336"/>
      <c r="TTT983" s="337"/>
      <c r="TTU983" s="336"/>
      <c r="TTV983" s="337"/>
      <c r="TTW983" s="336"/>
      <c r="TTX983" s="337"/>
      <c r="TTY983" s="336"/>
      <c r="TTZ983" s="337"/>
      <c r="TUA983" s="336"/>
      <c r="TUB983" s="337"/>
      <c r="TUC983" s="336"/>
      <c r="TUD983" s="337"/>
      <c r="TUE983" s="336"/>
      <c r="TUF983" s="337"/>
      <c r="TUG983" s="336"/>
      <c r="TUH983" s="337"/>
      <c r="TUI983" s="336"/>
      <c r="TUJ983" s="337"/>
      <c r="TUK983" s="336"/>
      <c r="TUL983" s="337"/>
      <c r="TUM983" s="336"/>
      <c r="TUN983" s="337"/>
      <c r="TUO983" s="336"/>
      <c r="TUP983" s="337"/>
      <c r="TUQ983" s="336"/>
      <c r="TUR983" s="337"/>
      <c r="TUS983" s="336"/>
      <c r="TUT983" s="337"/>
      <c r="TUU983" s="336"/>
      <c r="TUV983" s="337"/>
      <c r="TUW983" s="336"/>
      <c r="TUX983" s="337"/>
      <c r="TUY983" s="336"/>
      <c r="TUZ983" s="337"/>
      <c r="TVA983" s="336"/>
      <c r="TVB983" s="337"/>
      <c r="TVC983" s="336"/>
      <c r="TVD983" s="337"/>
      <c r="TVE983" s="336"/>
      <c r="TVF983" s="337"/>
      <c r="TVG983" s="336"/>
      <c r="TVH983" s="337"/>
      <c r="TVI983" s="336"/>
      <c r="TVJ983" s="337"/>
      <c r="TVK983" s="336"/>
      <c r="TVL983" s="337"/>
      <c r="TVM983" s="336"/>
      <c r="TVN983" s="337"/>
      <c r="TVO983" s="336"/>
      <c r="TVP983" s="337"/>
      <c r="TVQ983" s="336"/>
      <c r="TVR983" s="337"/>
      <c r="TVS983" s="336"/>
      <c r="TVT983" s="337"/>
      <c r="TVU983" s="336"/>
      <c r="TVV983" s="337"/>
      <c r="TVW983" s="336"/>
      <c r="TVX983" s="337"/>
      <c r="TVY983" s="336"/>
      <c r="TVZ983" s="337"/>
      <c r="TWA983" s="336"/>
      <c r="TWB983" s="337"/>
      <c r="TWC983" s="336"/>
      <c r="TWD983" s="337"/>
      <c r="TWE983" s="336"/>
      <c r="TWF983" s="337"/>
      <c r="TWG983" s="336"/>
      <c r="TWH983" s="337"/>
      <c r="TWI983" s="336"/>
      <c r="TWJ983" s="337"/>
      <c r="TWK983" s="336"/>
      <c r="TWL983" s="337"/>
      <c r="TWM983" s="336"/>
      <c r="TWN983" s="337"/>
      <c r="TWO983" s="336"/>
      <c r="TWP983" s="337"/>
      <c r="TWQ983" s="336"/>
      <c r="TWR983" s="337"/>
      <c r="TWS983" s="336"/>
      <c r="TWT983" s="337"/>
      <c r="TWU983" s="336"/>
      <c r="TWV983" s="337"/>
      <c r="TWW983" s="336"/>
      <c r="TWX983" s="337"/>
      <c r="TWY983" s="336"/>
      <c r="TWZ983" s="337"/>
      <c r="TXA983" s="336"/>
      <c r="TXB983" s="337"/>
      <c r="TXC983" s="336"/>
      <c r="TXD983" s="337"/>
      <c r="TXE983" s="336"/>
      <c r="TXF983" s="337"/>
      <c r="TXG983" s="336"/>
      <c r="TXH983" s="337"/>
      <c r="TXI983" s="336"/>
      <c r="TXJ983" s="337"/>
      <c r="TXK983" s="336"/>
      <c r="TXL983" s="337"/>
      <c r="TXM983" s="336"/>
      <c r="TXN983" s="337"/>
      <c r="TXO983" s="336"/>
      <c r="TXP983" s="337"/>
      <c r="TXQ983" s="336"/>
      <c r="TXR983" s="337"/>
      <c r="TXS983" s="336"/>
      <c r="TXT983" s="337"/>
      <c r="TXU983" s="336"/>
      <c r="TXV983" s="337"/>
      <c r="TXW983" s="336"/>
      <c r="TXX983" s="337"/>
      <c r="TXY983" s="336"/>
      <c r="TXZ983" s="337"/>
      <c r="TYA983" s="336"/>
      <c r="TYB983" s="337"/>
      <c r="TYC983" s="336"/>
      <c r="TYD983" s="337"/>
      <c r="TYE983" s="336"/>
      <c r="TYF983" s="337"/>
      <c r="TYG983" s="336"/>
      <c r="TYH983" s="337"/>
      <c r="TYI983" s="336"/>
      <c r="TYJ983" s="337"/>
      <c r="TYK983" s="336"/>
      <c r="TYL983" s="337"/>
      <c r="TYM983" s="336"/>
      <c r="TYN983" s="337"/>
      <c r="TYO983" s="336"/>
      <c r="TYP983" s="337"/>
      <c r="TYQ983" s="336"/>
      <c r="TYR983" s="337"/>
      <c r="TYS983" s="336"/>
      <c r="TYT983" s="337"/>
      <c r="TYU983" s="336"/>
      <c r="TYV983" s="337"/>
      <c r="TYW983" s="336"/>
      <c r="TYX983" s="337"/>
      <c r="TYY983" s="336"/>
      <c r="TYZ983" s="337"/>
      <c r="TZA983" s="336"/>
      <c r="TZB983" s="337"/>
      <c r="TZC983" s="336"/>
      <c r="TZD983" s="337"/>
      <c r="TZE983" s="336"/>
      <c r="TZF983" s="337"/>
      <c r="TZG983" s="336"/>
      <c r="TZH983" s="337"/>
      <c r="TZI983" s="336"/>
      <c r="TZJ983" s="337"/>
      <c r="TZK983" s="336"/>
      <c r="TZL983" s="337"/>
      <c r="TZM983" s="336"/>
      <c r="TZN983" s="337"/>
      <c r="TZO983" s="336"/>
      <c r="TZP983" s="337"/>
      <c r="TZQ983" s="336"/>
      <c r="TZR983" s="337"/>
      <c r="TZS983" s="336"/>
      <c r="TZT983" s="337"/>
      <c r="TZU983" s="336"/>
      <c r="TZV983" s="337"/>
      <c r="TZW983" s="336"/>
      <c r="TZX983" s="337"/>
      <c r="TZY983" s="336"/>
      <c r="TZZ983" s="337"/>
      <c r="UAA983" s="336"/>
      <c r="UAB983" s="337"/>
      <c r="UAC983" s="336"/>
      <c r="UAD983" s="337"/>
      <c r="UAE983" s="336"/>
      <c r="UAF983" s="337"/>
      <c r="UAG983" s="336"/>
      <c r="UAH983" s="337"/>
      <c r="UAI983" s="336"/>
      <c r="UAJ983" s="337"/>
      <c r="UAK983" s="336"/>
      <c r="UAL983" s="337"/>
      <c r="UAM983" s="336"/>
      <c r="UAN983" s="337"/>
      <c r="UAO983" s="336"/>
      <c r="UAP983" s="337"/>
      <c r="UAQ983" s="336"/>
      <c r="UAR983" s="337"/>
      <c r="UAS983" s="336"/>
      <c r="UAT983" s="337"/>
      <c r="UAU983" s="336"/>
      <c r="UAV983" s="337"/>
      <c r="UAW983" s="336"/>
      <c r="UAX983" s="337"/>
      <c r="UAY983" s="336"/>
      <c r="UAZ983" s="337"/>
      <c r="UBA983" s="336"/>
      <c r="UBB983" s="337"/>
      <c r="UBC983" s="336"/>
      <c r="UBD983" s="337"/>
      <c r="UBE983" s="336"/>
      <c r="UBF983" s="337"/>
      <c r="UBG983" s="336"/>
      <c r="UBH983" s="337"/>
      <c r="UBI983" s="336"/>
      <c r="UBJ983" s="337"/>
      <c r="UBK983" s="336"/>
      <c r="UBL983" s="337"/>
      <c r="UBM983" s="336"/>
      <c r="UBN983" s="337"/>
      <c r="UBO983" s="336"/>
      <c r="UBP983" s="337"/>
      <c r="UBQ983" s="336"/>
      <c r="UBR983" s="337"/>
      <c r="UBS983" s="336"/>
      <c r="UBT983" s="337"/>
      <c r="UBU983" s="336"/>
      <c r="UBV983" s="337"/>
      <c r="UBW983" s="336"/>
      <c r="UBX983" s="337"/>
      <c r="UBY983" s="336"/>
      <c r="UBZ983" s="337"/>
      <c r="UCA983" s="336"/>
      <c r="UCB983" s="337"/>
      <c r="UCC983" s="336"/>
      <c r="UCD983" s="337"/>
      <c r="UCE983" s="336"/>
      <c r="UCF983" s="337"/>
      <c r="UCG983" s="336"/>
      <c r="UCH983" s="337"/>
      <c r="UCI983" s="336"/>
      <c r="UCJ983" s="337"/>
      <c r="UCK983" s="336"/>
      <c r="UCL983" s="337"/>
      <c r="UCM983" s="336"/>
      <c r="UCN983" s="337"/>
      <c r="UCO983" s="336"/>
      <c r="UCP983" s="337"/>
      <c r="UCQ983" s="336"/>
      <c r="UCR983" s="337"/>
      <c r="UCS983" s="336"/>
      <c r="UCT983" s="337"/>
      <c r="UCU983" s="336"/>
      <c r="UCV983" s="337"/>
      <c r="UCW983" s="336"/>
      <c r="UCX983" s="337"/>
      <c r="UCY983" s="336"/>
      <c r="UCZ983" s="337"/>
      <c r="UDA983" s="336"/>
      <c r="UDB983" s="337"/>
      <c r="UDC983" s="336"/>
      <c r="UDD983" s="337"/>
      <c r="UDE983" s="336"/>
      <c r="UDF983" s="337"/>
      <c r="UDG983" s="336"/>
      <c r="UDH983" s="337"/>
      <c r="UDI983" s="336"/>
      <c r="UDJ983" s="337"/>
      <c r="UDK983" s="336"/>
      <c r="UDL983" s="337"/>
      <c r="UDM983" s="336"/>
      <c r="UDN983" s="337"/>
      <c r="UDO983" s="336"/>
      <c r="UDP983" s="337"/>
      <c r="UDQ983" s="336"/>
      <c r="UDR983" s="337"/>
      <c r="UDS983" s="336"/>
      <c r="UDT983" s="337"/>
      <c r="UDU983" s="336"/>
      <c r="UDV983" s="337"/>
      <c r="UDW983" s="336"/>
      <c r="UDX983" s="337"/>
      <c r="UDY983" s="336"/>
      <c r="UDZ983" s="337"/>
      <c r="UEA983" s="336"/>
      <c r="UEB983" s="337"/>
      <c r="UEC983" s="336"/>
      <c r="UED983" s="337"/>
      <c r="UEE983" s="336"/>
      <c r="UEF983" s="337"/>
      <c r="UEG983" s="336"/>
      <c r="UEH983" s="337"/>
      <c r="UEI983" s="336"/>
      <c r="UEJ983" s="337"/>
      <c r="UEK983" s="336"/>
      <c r="UEL983" s="337"/>
      <c r="UEM983" s="336"/>
      <c r="UEN983" s="337"/>
      <c r="UEO983" s="336"/>
      <c r="UEP983" s="337"/>
      <c r="UEQ983" s="336"/>
      <c r="UER983" s="337"/>
      <c r="UES983" s="336"/>
      <c r="UET983" s="337"/>
      <c r="UEU983" s="336"/>
      <c r="UEV983" s="337"/>
      <c r="UEW983" s="336"/>
      <c r="UEX983" s="337"/>
      <c r="UEY983" s="336"/>
      <c r="UEZ983" s="337"/>
      <c r="UFA983" s="336"/>
      <c r="UFB983" s="337"/>
      <c r="UFC983" s="336"/>
      <c r="UFD983" s="337"/>
      <c r="UFE983" s="336"/>
      <c r="UFF983" s="337"/>
      <c r="UFG983" s="336"/>
      <c r="UFH983" s="337"/>
      <c r="UFI983" s="336"/>
      <c r="UFJ983" s="337"/>
      <c r="UFK983" s="336"/>
      <c r="UFL983" s="337"/>
      <c r="UFM983" s="336"/>
      <c r="UFN983" s="337"/>
      <c r="UFO983" s="336"/>
      <c r="UFP983" s="337"/>
      <c r="UFQ983" s="336"/>
      <c r="UFR983" s="337"/>
      <c r="UFS983" s="336"/>
      <c r="UFT983" s="337"/>
      <c r="UFU983" s="336"/>
      <c r="UFV983" s="337"/>
      <c r="UFW983" s="336"/>
      <c r="UFX983" s="337"/>
      <c r="UFY983" s="336"/>
      <c r="UFZ983" s="337"/>
      <c r="UGA983" s="336"/>
      <c r="UGB983" s="337"/>
      <c r="UGC983" s="336"/>
      <c r="UGD983" s="337"/>
      <c r="UGE983" s="336"/>
      <c r="UGF983" s="337"/>
      <c r="UGG983" s="336"/>
      <c r="UGH983" s="337"/>
      <c r="UGI983" s="336"/>
      <c r="UGJ983" s="337"/>
      <c r="UGK983" s="336"/>
      <c r="UGL983" s="337"/>
      <c r="UGM983" s="336"/>
      <c r="UGN983" s="337"/>
      <c r="UGO983" s="336"/>
      <c r="UGP983" s="337"/>
      <c r="UGQ983" s="336"/>
      <c r="UGR983" s="337"/>
      <c r="UGS983" s="336"/>
      <c r="UGT983" s="337"/>
      <c r="UGU983" s="336"/>
      <c r="UGV983" s="337"/>
      <c r="UGW983" s="336"/>
      <c r="UGX983" s="337"/>
      <c r="UGY983" s="336"/>
      <c r="UGZ983" s="337"/>
      <c r="UHA983" s="336"/>
      <c r="UHB983" s="337"/>
      <c r="UHC983" s="336"/>
      <c r="UHD983" s="337"/>
      <c r="UHE983" s="336"/>
      <c r="UHF983" s="337"/>
      <c r="UHG983" s="336"/>
      <c r="UHH983" s="337"/>
      <c r="UHI983" s="336"/>
      <c r="UHJ983" s="337"/>
      <c r="UHK983" s="336"/>
      <c r="UHL983" s="337"/>
      <c r="UHM983" s="336"/>
      <c r="UHN983" s="337"/>
      <c r="UHO983" s="336"/>
      <c r="UHP983" s="337"/>
      <c r="UHQ983" s="336"/>
      <c r="UHR983" s="337"/>
      <c r="UHS983" s="336"/>
      <c r="UHT983" s="337"/>
      <c r="UHU983" s="336"/>
      <c r="UHV983" s="337"/>
      <c r="UHW983" s="336"/>
      <c r="UHX983" s="337"/>
      <c r="UHY983" s="336"/>
      <c r="UHZ983" s="337"/>
      <c r="UIA983" s="336"/>
      <c r="UIB983" s="337"/>
      <c r="UIC983" s="336"/>
      <c r="UID983" s="337"/>
      <c r="UIE983" s="336"/>
      <c r="UIF983" s="337"/>
      <c r="UIG983" s="336"/>
      <c r="UIH983" s="337"/>
      <c r="UII983" s="336"/>
      <c r="UIJ983" s="337"/>
      <c r="UIK983" s="336"/>
      <c r="UIL983" s="337"/>
      <c r="UIM983" s="336"/>
      <c r="UIN983" s="337"/>
      <c r="UIO983" s="336"/>
      <c r="UIP983" s="337"/>
      <c r="UIQ983" s="336"/>
      <c r="UIR983" s="337"/>
      <c r="UIS983" s="336"/>
      <c r="UIT983" s="337"/>
      <c r="UIU983" s="336"/>
      <c r="UIV983" s="337"/>
      <c r="UIW983" s="336"/>
      <c r="UIX983" s="337"/>
      <c r="UIY983" s="336"/>
      <c r="UIZ983" s="337"/>
      <c r="UJA983" s="336"/>
      <c r="UJB983" s="337"/>
      <c r="UJC983" s="336"/>
      <c r="UJD983" s="337"/>
      <c r="UJE983" s="336"/>
      <c r="UJF983" s="337"/>
      <c r="UJG983" s="336"/>
      <c r="UJH983" s="337"/>
      <c r="UJI983" s="336"/>
      <c r="UJJ983" s="337"/>
      <c r="UJK983" s="336"/>
      <c r="UJL983" s="337"/>
      <c r="UJM983" s="336"/>
      <c r="UJN983" s="337"/>
      <c r="UJO983" s="336"/>
      <c r="UJP983" s="337"/>
      <c r="UJQ983" s="336"/>
      <c r="UJR983" s="337"/>
      <c r="UJS983" s="336"/>
      <c r="UJT983" s="337"/>
      <c r="UJU983" s="336"/>
      <c r="UJV983" s="337"/>
      <c r="UJW983" s="336"/>
      <c r="UJX983" s="337"/>
      <c r="UJY983" s="336"/>
      <c r="UJZ983" s="337"/>
      <c r="UKA983" s="336"/>
      <c r="UKB983" s="337"/>
      <c r="UKC983" s="336"/>
      <c r="UKD983" s="337"/>
      <c r="UKE983" s="336"/>
      <c r="UKF983" s="337"/>
      <c r="UKG983" s="336"/>
      <c r="UKH983" s="337"/>
      <c r="UKI983" s="336"/>
      <c r="UKJ983" s="337"/>
      <c r="UKK983" s="336"/>
      <c r="UKL983" s="337"/>
      <c r="UKM983" s="336"/>
      <c r="UKN983" s="337"/>
      <c r="UKO983" s="336"/>
      <c r="UKP983" s="337"/>
      <c r="UKQ983" s="336"/>
      <c r="UKR983" s="337"/>
      <c r="UKS983" s="336"/>
      <c r="UKT983" s="337"/>
      <c r="UKU983" s="336"/>
      <c r="UKV983" s="337"/>
      <c r="UKW983" s="336"/>
      <c r="UKX983" s="337"/>
      <c r="UKY983" s="336"/>
      <c r="UKZ983" s="337"/>
      <c r="ULA983" s="336"/>
      <c r="ULB983" s="337"/>
      <c r="ULC983" s="336"/>
      <c r="ULD983" s="337"/>
      <c r="ULE983" s="336"/>
      <c r="ULF983" s="337"/>
      <c r="ULG983" s="336"/>
      <c r="ULH983" s="337"/>
      <c r="ULI983" s="336"/>
      <c r="ULJ983" s="337"/>
      <c r="ULK983" s="336"/>
      <c r="ULL983" s="337"/>
      <c r="ULM983" s="336"/>
      <c r="ULN983" s="337"/>
      <c r="ULO983" s="336"/>
      <c r="ULP983" s="337"/>
      <c r="ULQ983" s="336"/>
      <c r="ULR983" s="337"/>
      <c r="ULS983" s="336"/>
      <c r="ULT983" s="337"/>
      <c r="ULU983" s="336"/>
      <c r="ULV983" s="337"/>
      <c r="ULW983" s="336"/>
      <c r="ULX983" s="337"/>
      <c r="ULY983" s="336"/>
      <c r="ULZ983" s="337"/>
      <c r="UMA983" s="336"/>
      <c r="UMB983" s="337"/>
      <c r="UMC983" s="336"/>
      <c r="UMD983" s="337"/>
      <c r="UME983" s="336"/>
      <c r="UMF983" s="337"/>
      <c r="UMG983" s="336"/>
      <c r="UMH983" s="337"/>
      <c r="UMI983" s="336"/>
      <c r="UMJ983" s="337"/>
      <c r="UMK983" s="336"/>
      <c r="UML983" s="337"/>
      <c r="UMM983" s="336"/>
      <c r="UMN983" s="337"/>
      <c r="UMO983" s="336"/>
      <c r="UMP983" s="337"/>
      <c r="UMQ983" s="336"/>
      <c r="UMR983" s="337"/>
      <c r="UMS983" s="336"/>
      <c r="UMT983" s="337"/>
      <c r="UMU983" s="336"/>
      <c r="UMV983" s="337"/>
      <c r="UMW983" s="336"/>
      <c r="UMX983" s="337"/>
      <c r="UMY983" s="336"/>
      <c r="UMZ983" s="337"/>
      <c r="UNA983" s="336"/>
      <c r="UNB983" s="337"/>
      <c r="UNC983" s="336"/>
      <c r="UND983" s="337"/>
      <c r="UNE983" s="336"/>
      <c r="UNF983" s="337"/>
      <c r="UNG983" s="336"/>
      <c r="UNH983" s="337"/>
      <c r="UNI983" s="336"/>
      <c r="UNJ983" s="337"/>
      <c r="UNK983" s="336"/>
      <c r="UNL983" s="337"/>
      <c r="UNM983" s="336"/>
      <c r="UNN983" s="337"/>
      <c r="UNO983" s="336"/>
      <c r="UNP983" s="337"/>
      <c r="UNQ983" s="336"/>
      <c r="UNR983" s="337"/>
      <c r="UNS983" s="336"/>
      <c r="UNT983" s="337"/>
      <c r="UNU983" s="336"/>
      <c r="UNV983" s="337"/>
      <c r="UNW983" s="336"/>
      <c r="UNX983" s="337"/>
      <c r="UNY983" s="336"/>
      <c r="UNZ983" s="337"/>
      <c r="UOA983" s="336"/>
      <c r="UOB983" s="337"/>
      <c r="UOC983" s="336"/>
      <c r="UOD983" s="337"/>
      <c r="UOE983" s="336"/>
      <c r="UOF983" s="337"/>
      <c r="UOG983" s="336"/>
      <c r="UOH983" s="337"/>
      <c r="UOI983" s="336"/>
      <c r="UOJ983" s="337"/>
      <c r="UOK983" s="336"/>
      <c r="UOL983" s="337"/>
      <c r="UOM983" s="336"/>
      <c r="UON983" s="337"/>
      <c r="UOO983" s="336"/>
      <c r="UOP983" s="337"/>
      <c r="UOQ983" s="336"/>
      <c r="UOR983" s="337"/>
      <c r="UOS983" s="336"/>
      <c r="UOT983" s="337"/>
      <c r="UOU983" s="336"/>
      <c r="UOV983" s="337"/>
      <c r="UOW983" s="336"/>
      <c r="UOX983" s="337"/>
      <c r="UOY983" s="336"/>
      <c r="UOZ983" s="337"/>
      <c r="UPA983" s="336"/>
      <c r="UPB983" s="337"/>
      <c r="UPC983" s="336"/>
      <c r="UPD983" s="337"/>
      <c r="UPE983" s="336"/>
      <c r="UPF983" s="337"/>
      <c r="UPG983" s="336"/>
      <c r="UPH983" s="337"/>
      <c r="UPI983" s="336"/>
      <c r="UPJ983" s="337"/>
      <c r="UPK983" s="336"/>
      <c r="UPL983" s="337"/>
      <c r="UPM983" s="336"/>
      <c r="UPN983" s="337"/>
      <c r="UPO983" s="336"/>
      <c r="UPP983" s="337"/>
      <c r="UPQ983" s="336"/>
      <c r="UPR983" s="337"/>
      <c r="UPS983" s="336"/>
      <c r="UPT983" s="337"/>
      <c r="UPU983" s="336"/>
      <c r="UPV983" s="337"/>
      <c r="UPW983" s="336"/>
      <c r="UPX983" s="337"/>
      <c r="UPY983" s="336"/>
      <c r="UPZ983" s="337"/>
      <c r="UQA983" s="336"/>
      <c r="UQB983" s="337"/>
      <c r="UQC983" s="336"/>
      <c r="UQD983" s="337"/>
      <c r="UQE983" s="336"/>
      <c r="UQF983" s="337"/>
      <c r="UQG983" s="336"/>
      <c r="UQH983" s="337"/>
      <c r="UQI983" s="336"/>
      <c r="UQJ983" s="337"/>
      <c r="UQK983" s="336"/>
      <c r="UQL983" s="337"/>
      <c r="UQM983" s="336"/>
      <c r="UQN983" s="337"/>
      <c r="UQO983" s="336"/>
      <c r="UQP983" s="337"/>
      <c r="UQQ983" s="336"/>
      <c r="UQR983" s="337"/>
      <c r="UQS983" s="336"/>
      <c r="UQT983" s="337"/>
      <c r="UQU983" s="336"/>
      <c r="UQV983" s="337"/>
      <c r="UQW983" s="336"/>
      <c r="UQX983" s="337"/>
      <c r="UQY983" s="336"/>
      <c r="UQZ983" s="337"/>
      <c r="URA983" s="336"/>
      <c r="URB983" s="337"/>
      <c r="URC983" s="336"/>
      <c r="URD983" s="337"/>
      <c r="URE983" s="336"/>
      <c r="URF983" s="337"/>
      <c r="URG983" s="336"/>
      <c r="URH983" s="337"/>
      <c r="URI983" s="336"/>
      <c r="URJ983" s="337"/>
      <c r="URK983" s="336"/>
      <c r="URL983" s="337"/>
      <c r="URM983" s="336"/>
      <c r="URN983" s="337"/>
      <c r="URO983" s="336"/>
      <c r="URP983" s="337"/>
      <c r="URQ983" s="336"/>
      <c r="URR983" s="337"/>
      <c r="URS983" s="336"/>
      <c r="URT983" s="337"/>
      <c r="URU983" s="336"/>
      <c r="URV983" s="337"/>
      <c r="URW983" s="336"/>
      <c r="URX983" s="337"/>
      <c r="URY983" s="336"/>
      <c r="URZ983" s="337"/>
      <c r="USA983" s="336"/>
      <c r="USB983" s="337"/>
      <c r="USC983" s="336"/>
      <c r="USD983" s="337"/>
      <c r="USE983" s="336"/>
      <c r="USF983" s="337"/>
      <c r="USG983" s="336"/>
      <c r="USH983" s="337"/>
      <c r="USI983" s="336"/>
      <c r="USJ983" s="337"/>
      <c r="USK983" s="336"/>
      <c r="USL983" s="337"/>
      <c r="USM983" s="336"/>
      <c r="USN983" s="337"/>
      <c r="USO983" s="336"/>
      <c r="USP983" s="337"/>
      <c r="USQ983" s="336"/>
      <c r="USR983" s="337"/>
      <c r="USS983" s="336"/>
      <c r="UST983" s="337"/>
      <c r="USU983" s="336"/>
      <c r="USV983" s="337"/>
      <c r="USW983" s="336"/>
      <c r="USX983" s="337"/>
      <c r="USY983" s="336"/>
      <c r="USZ983" s="337"/>
      <c r="UTA983" s="336"/>
      <c r="UTB983" s="337"/>
      <c r="UTC983" s="336"/>
      <c r="UTD983" s="337"/>
      <c r="UTE983" s="336"/>
      <c r="UTF983" s="337"/>
      <c r="UTG983" s="336"/>
      <c r="UTH983" s="337"/>
      <c r="UTI983" s="336"/>
      <c r="UTJ983" s="337"/>
      <c r="UTK983" s="336"/>
      <c r="UTL983" s="337"/>
      <c r="UTM983" s="336"/>
      <c r="UTN983" s="337"/>
      <c r="UTO983" s="336"/>
      <c r="UTP983" s="337"/>
      <c r="UTQ983" s="336"/>
      <c r="UTR983" s="337"/>
      <c r="UTS983" s="336"/>
      <c r="UTT983" s="337"/>
      <c r="UTU983" s="336"/>
      <c r="UTV983" s="337"/>
      <c r="UTW983" s="336"/>
      <c r="UTX983" s="337"/>
      <c r="UTY983" s="336"/>
      <c r="UTZ983" s="337"/>
      <c r="UUA983" s="336"/>
      <c r="UUB983" s="337"/>
      <c r="UUC983" s="336"/>
      <c r="UUD983" s="337"/>
      <c r="UUE983" s="336"/>
      <c r="UUF983" s="337"/>
      <c r="UUG983" s="336"/>
      <c r="UUH983" s="337"/>
      <c r="UUI983" s="336"/>
      <c r="UUJ983" s="337"/>
      <c r="UUK983" s="336"/>
      <c r="UUL983" s="337"/>
      <c r="UUM983" s="336"/>
      <c r="UUN983" s="337"/>
      <c r="UUO983" s="336"/>
      <c r="UUP983" s="337"/>
      <c r="UUQ983" s="336"/>
      <c r="UUR983" s="337"/>
      <c r="UUS983" s="336"/>
      <c r="UUT983" s="337"/>
      <c r="UUU983" s="336"/>
      <c r="UUV983" s="337"/>
      <c r="UUW983" s="336"/>
      <c r="UUX983" s="337"/>
      <c r="UUY983" s="336"/>
      <c r="UUZ983" s="337"/>
      <c r="UVA983" s="336"/>
      <c r="UVB983" s="337"/>
      <c r="UVC983" s="336"/>
      <c r="UVD983" s="337"/>
      <c r="UVE983" s="336"/>
      <c r="UVF983" s="337"/>
      <c r="UVG983" s="336"/>
      <c r="UVH983" s="337"/>
      <c r="UVI983" s="336"/>
      <c r="UVJ983" s="337"/>
      <c r="UVK983" s="336"/>
      <c r="UVL983" s="337"/>
      <c r="UVM983" s="336"/>
      <c r="UVN983" s="337"/>
      <c r="UVO983" s="336"/>
      <c r="UVP983" s="337"/>
      <c r="UVQ983" s="336"/>
      <c r="UVR983" s="337"/>
      <c r="UVS983" s="336"/>
      <c r="UVT983" s="337"/>
      <c r="UVU983" s="336"/>
      <c r="UVV983" s="337"/>
      <c r="UVW983" s="336"/>
      <c r="UVX983" s="337"/>
      <c r="UVY983" s="336"/>
      <c r="UVZ983" s="337"/>
      <c r="UWA983" s="336"/>
      <c r="UWB983" s="337"/>
      <c r="UWC983" s="336"/>
      <c r="UWD983" s="337"/>
      <c r="UWE983" s="336"/>
      <c r="UWF983" s="337"/>
      <c r="UWG983" s="336"/>
      <c r="UWH983" s="337"/>
      <c r="UWI983" s="336"/>
      <c r="UWJ983" s="337"/>
      <c r="UWK983" s="336"/>
      <c r="UWL983" s="337"/>
      <c r="UWM983" s="336"/>
      <c r="UWN983" s="337"/>
      <c r="UWO983" s="336"/>
      <c r="UWP983" s="337"/>
      <c r="UWQ983" s="336"/>
      <c r="UWR983" s="337"/>
      <c r="UWS983" s="336"/>
      <c r="UWT983" s="337"/>
      <c r="UWU983" s="336"/>
      <c r="UWV983" s="337"/>
      <c r="UWW983" s="336"/>
      <c r="UWX983" s="337"/>
      <c r="UWY983" s="336"/>
      <c r="UWZ983" s="337"/>
      <c r="UXA983" s="336"/>
      <c r="UXB983" s="337"/>
      <c r="UXC983" s="336"/>
      <c r="UXD983" s="337"/>
      <c r="UXE983" s="336"/>
      <c r="UXF983" s="337"/>
      <c r="UXG983" s="336"/>
      <c r="UXH983" s="337"/>
      <c r="UXI983" s="336"/>
      <c r="UXJ983" s="337"/>
      <c r="UXK983" s="336"/>
      <c r="UXL983" s="337"/>
      <c r="UXM983" s="336"/>
      <c r="UXN983" s="337"/>
      <c r="UXO983" s="336"/>
      <c r="UXP983" s="337"/>
      <c r="UXQ983" s="336"/>
      <c r="UXR983" s="337"/>
      <c r="UXS983" s="336"/>
      <c r="UXT983" s="337"/>
      <c r="UXU983" s="336"/>
      <c r="UXV983" s="337"/>
      <c r="UXW983" s="336"/>
      <c r="UXX983" s="337"/>
      <c r="UXY983" s="336"/>
      <c r="UXZ983" s="337"/>
      <c r="UYA983" s="336"/>
      <c r="UYB983" s="337"/>
      <c r="UYC983" s="336"/>
      <c r="UYD983" s="337"/>
      <c r="UYE983" s="336"/>
      <c r="UYF983" s="337"/>
      <c r="UYG983" s="336"/>
      <c r="UYH983" s="337"/>
      <c r="UYI983" s="336"/>
      <c r="UYJ983" s="337"/>
      <c r="UYK983" s="336"/>
      <c r="UYL983" s="337"/>
      <c r="UYM983" s="336"/>
      <c r="UYN983" s="337"/>
      <c r="UYO983" s="336"/>
      <c r="UYP983" s="337"/>
      <c r="UYQ983" s="336"/>
      <c r="UYR983" s="337"/>
      <c r="UYS983" s="336"/>
      <c r="UYT983" s="337"/>
      <c r="UYU983" s="336"/>
      <c r="UYV983" s="337"/>
      <c r="UYW983" s="336"/>
      <c r="UYX983" s="337"/>
      <c r="UYY983" s="336"/>
      <c r="UYZ983" s="337"/>
      <c r="UZA983" s="336"/>
      <c r="UZB983" s="337"/>
      <c r="UZC983" s="336"/>
      <c r="UZD983" s="337"/>
      <c r="UZE983" s="336"/>
      <c r="UZF983" s="337"/>
      <c r="UZG983" s="336"/>
      <c r="UZH983" s="337"/>
      <c r="UZI983" s="336"/>
      <c r="UZJ983" s="337"/>
      <c r="UZK983" s="336"/>
      <c r="UZL983" s="337"/>
      <c r="UZM983" s="336"/>
      <c r="UZN983" s="337"/>
      <c r="UZO983" s="336"/>
      <c r="UZP983" s="337"/>
      <c r="UZQ983" s="336"/>
      <c r="UZR983" s="337"/>
      <c r="UZS983" s="336"/>
      <c r="UZT983" s="337"/>
      <c r="UZU983" s="336"/>
      <c r="UZV983" s="337"/>
      <c r="UZW983" s="336"/>
      <c r="UZX983" s="337"/>
      <c r="UZY983" s="336"/>
      <c r="UZZ983" s="337"/>
      <c r="VAA983" s="336"/>
      <c r="VAB983" s="337"/>
      <c r="VAC983" s="336"/>
      <c r="VAD983" s="337"/>
      <c r="VAE983" s="336"/>
      <c r="VAF983" s="337"/>
      <c r="VAG983" s="336"/>
      <c r="VAH983" s="337"/>
      <c r="VAI983" s="336"/>
      <c r="VAJ983" s="337"/>
      <c r="VAK983" s="336"/>
      <c r="VAL983" s="337"/>
      <c r="VAM983" s="336"/>
      <c r="VAN983" s="337"/>
      <c r="VAO983" s="336"/>
      <c r="VAP983" s="337"/>
      <c r="VAQ983" s="336"/>
      <c r="VAR983" s="337"/>
      <c r="VAS983" s="336"/>
      <c r="VAT983" s="337"/>
      <c r="VAU983" s="336"/>
      <c r="VAV983" s="337"/>
      <c r="VAW983" s="336"/>
      <c r="VAX983" s="337"/>
      <c r="VAY983" s="336"/>
      <c r="VAZ983" s="337"/>
      <c r="VBA983" s="336"/>
      <c r="VBB983" s="337"/>
      <c r="VBC983" s="336"/>
      <c r="VBD983" s="337"/>
      <c r="VBE983" s="336"/>
      <c r="VBF983" s="337"/>
      <c r="VBG983" s="336"/>
      <c r="VBH983" s="337"/>
      <c r="VBI983" s="336"/>
      <c r="VBJ983" s="337"/>
      <c r="VBK983" s="336"/>
      <c r="VBL983" s="337"/>
      <c r="VBM983" s="336"/>
      <c r="VBN983" s="337"/>
      <c r="VBO983" s="336"/>
      <c r="VBP983" s="337"/>
      <c r="VBQ983" s="336"/>
      <c r="VBR983" s="337"/>
      <c r="VBS983" s="336"/>
      <c r="VBT983" s="337"/>
      <c r="VBU983" s="336"/>
      <c r="VBV983" s="337"/>
      <c r="VBW983" s="336"/>
      <c r="VBX983" s="337"/>
      <c r="VBY983" s="336"/>
      <c r="VBZ983" s="337"/>
      <c r="VCA983" s="336"/>
      <c r="VCB983" s="337"/>
      <c r="VCC983" s="336"/>
      <c r="VCD983" s="337"/>
      <c r="VCE983" s="336"/>
      <c r="VCF983" s="337"/>
      <c r="VCG983" s="336"/>
      <c r="VCH983" s="337"/>
      <c r="VCI983" s="336"/>
      <c r="VCJ983" s="337"/>
      <c r="VCK983" s="336"/>
      <c r="VCL983" s="337"/>
      <c r="VCM983" s="336"/>
      <c r="VCN983" s="337"/>
      <c r="VCO983" s="336"/>
      <c r="VCP983" s="337"/>
      <c r="VCQ983" s="336"/>
      <c r="VCR983" s="337"/>
      <c r="VCS983" s="336"/>
      <c r="VCT983" s="337"/>
      <c r="VCU983" s="336"/>
      <c r="VCV983" s="337"/>
      <c r="VCW983" s="336"/>
      <c r="VCX983" s="337"/>
      <c r="VCY983" s="336"/>
      <c r="VCZ983" s="337"/>
      <c r="VDA983" s="336"/>
      <c r="VDB983" s="337"/>
      <c r="VDC983" s="336"/>
      <c r="VDD983" s="337"/>
      <c r="VDE983" s="336"/>
      <c r="VDF983" s="337"/>
      <c r="VDG983" s="336"/>
      <c r="VDH983" s="337"/>
      <c r="VDI983" s="336"/>
      <c r="VDJ983" s="337"/>
      <c r="VDK983" s="336"/>
      <c r="VDL983" s="337"/>
      <c r="VDM983" s="336"/>
      <c r="VDN983" s="337"/>
      <c r="VDO983" s="336"/>
      <c r="VDP983" s="337"/>
      <c r="VDQ983" s="336"/>
      <c r="VDR983" s="337"/>
      <c r="VDS983" s="336"/>
      <c r="VDT983" s="337"/>
      <c r="VDU983" s="336"/>
      <c r="VDV983" s="337"/>
      <c r="VDW983" s="336"/>
      <c r="VDX983" s="337"/>
      <c r="VDY983" s="336"/>
      <c r="VDZ983" s="337"/>
      <c r="VEA983" s="336"/>
      <c r="VEB983" s="337"/>
      <c r="VEC983" s="336"/>
      <c r="VED983" s="337"/>
      <c r="VEE983" s="336"/>
      <c r="VEF983" s="337"/>
      <c r="VEG983" s="336"/>
      <c r="VEH983" s="337"/>
      <c r="VEI983" s="336"/>
      <c r="VEJ983" s="337"/>
      <c r="VEK983" s="336"/>
      <c r="VEL983" s="337"/>
      <c r="VEM983" s="336"/>
      <c r="VEN983" s="337"/>
      <c r="VEO983" s="336"/>
      <c r="VEP983" s="337"/>
      <c r="VEQ983" s="336"/>
      <c r="VER983" s="337"/>
      <c r="VES983" s="336"/>
      <c r="VET983" s="337"/>
      <c r="VEU983" s="336"/>
      <c r="VEV983" s="337"/>
      <c r="VEW983" s="336"/>
      <c r="VEX983" s="337"/>
      <c r="VEY983" s="336"/>
      <c r="VEZ983" s="337"/>
      <c r="VFA983" s="336"/>
      <c r="VFB983" s="337"/>
      <c r="VFC983" s="336"/>
      <c r="VFD983" s="337"/>
      <c r="VFE983" s="336"/>
      <c r="VFF983" s="337"/>
      <c r="VFG983" s="336"/>
      <c r="VFH983" s="337"/>
      <c r="VFI983" s="336"/>
      <c r="VFJ983" s="337"/>
      <c r="VFK983" s="336"/>
      <c r="VFL983" s="337"/>
      <c r="VFM983" s="336"/>
      <c r="VFN983" s="337"/>
      <c r="VFO983" s="336"/>
      <c r="VFP983" s="337"/>
      <c r="VFQ983" s="336"/>
      <c r="VFR983" s="337"/>
      <c r="VFS983" s="336"/>
      <c r="VFT983" s="337"/>
      <c r="VFU983" s="336"/>
      <c r="VFV983" s="337"/>
      <c r="VFW983" s="336"/>
      <c r="VFX983" s="337"/>
      <c r="VFY983" s="336"/>
      <c r="VFZ983" s="337"/>
      <c r="VGA983" s="336"/>
      <c r="VGB983" s="337"/>
      <c r="VGC983" s="336"/>
      <c r="VGD983" s="337"/>
      <c r="VGE983" s="336"/>
      <c r="VGF983" s="337"/>
      <c r="VGG983" s="336"/>
      <c r="VGH983" s="337"/>
      <c r="VGI983" s="336"/>
      <c r="VGJ983" s="337"/>
      <c r="VGK983" s="336"/>
      <c r="VGL983" s="337"/>
      <c r="VGM983" s="336"/>
      <c r="VGN983" s="337"/>
      <c r="VGO983" s="336"/>
      <c r="VGP983" s="337"/>
      <c r="VGQ983" s="336"/>
      <c r="VGR983" s="337"/>
      <c r="VGS983" s="336"/>
      <c r="VGT983" s="337"/>
      <c r="VGU983" s="336"/>
      <c r="VGV983" s="337"/>
      <c r="VGW983" s="336"/>
      <c r="VGX983" s="337"/>
      <c r="VGY983" s="336"/>
      <c r="VGZ983" s="337"/>
      <c r="VHA983" s="336"/>
      <c r="VHB983" s="337"/>
      <c r="VHC983" s="336"/>
      <c r="VHD983" s="337"/>
      <c r="VHE983" s="336"/>
      <c r="VHF983" s="337"/>
      <c r="VHG983" s="336"/>
      <c r="VHH983" s="337"/>
      <c r="VHI983" s="336"/>
      <c r="VHJ983" s="337"/>
      <c r="VHK983" s="336"/>
      <c r="VHL983" s="337"/>
      <c r="VHM983" s="336"/>
      <c r="VHN983" s="337"/>
      <c r="VHO983" s="336"/>
      <c r="VHP983" s="337"/>
      <c r="VHQ983" s="336"/>
      <c r="VHR983" s="337"/>
      <c r="VHS983" s="336"/>
      <c r="VHT983" s="337"/>
      <c r="VHU983" s="336"/>
      <c r="VHV983" s="337"/>
      <c r="VHW983" s="336"/>
      <c r="VHX983" s="337"/>
      <c r="VHY983" s="336"/>
      <c r="VHZ983" s="337"/>
      <c r="VIA983" s="336"/>
      <c r="VIB983" s="337"/>
      <c r="VIC983" s="336"/>
      <c r="VID983" s="337"/>
      <c r="VIE983" s="336"/>
      <c r="VIF983" s="337"/>
      <c r="VIG983" s="336"/>
      <c r="VIH983" s="337"/>
      <c r="VII983" s="336"/>
      <c r="VIJ983" s="337"/>
      <c r="VIK983" s="336"/>
      <c r="VIL983" s="337"/>
      <c r="VIM983" s="336"/>
      <c r="VIN983" s="337"/>
      <c r="VIO983" s="336"/>
      <c r="VIP983" s="337"/>
      <c r="VIQ983" s="336"/>
      <c r="VIR983" s="337"/>
      <c r="VIS983" s="336"/>
      <c r="VIT983" s="337"/>
      <c r="VIU983" s="336"/>
      <c r="VIV983" s="337"/>
      <c r="VIW983" s="336"/>
      <c r="VIX983" s="337"/>
      <c r="VIY983" s="336"/>
      <c r="VIZ983" s="337"/>
      <c r="VJA983" s="336"/>
      <c r="VJB983" s="337"/>
      <c r="VJC983" s="336"/>
      <c r="VJD983" s="337"/>
      <c r="VJE983" s="336"/>
      <c r="VJF983" s="337"/>
      <c r="VJG983" s="336"/>
      <c r="VJH983" s="337"/>
      <c r="VJI983" s="336"/>
      <c r="VJJ983" s="337"/>
      <c r="VJK983" s="336"/>
      <c r="VJL983" s="337"/>
      <c r="VJM983" s="336"/>
      <c r="VJN983" s="337"/>
      <c r="VJO983" s="336"/>
      <c r="VJP983" s="337"/>
      <c r="VJQ983" s="336"/>
      <c r="VJR983" s="337"/>
      <c r="VJS983" s="336"/>
      <c r="VJT983" s="337"/>
      <c r="VJU983" s="336"/>
      <c r="VJV983" s="337"/>
      <c r="VJW983" s="336"/>
      <c r="VJX983" s="337"/>
      <c r="VJY983" s="336"/>
      <c r="VJZ983" s="337"/>
      <c r="VKA983" s="336"/>
      <c r="VKB983" s="337"/>
      <c r="VKC983" s="336"/>
      <c r="VKD983" s="337"/>
      <c r="VKE983" s="336"/>
      <c r="VKF983" s="337"/>
      <c r="VKG983" s="336"/>
      <c r="VKH983" s="337"/>
      <c r="VKI983" s="336"/>
      <c r="VKJ983" s="337"/>
      <c r="VKK983" s="336"/>
      <c r="VKL983" s="337"/>
      <c r="VKM983" s="336"/>
      <c r="VKN983" s="337"/>
      <c r="VKO983" s="336"/>
      <c r="VKP983" s="337"/>
      <c r="VKQ983" s="336"/>
      <c r="VKR983" s="337"/>
      <c r="VKS983" s="336"/>
      <c r="VKT983" s="337"/>
      <c r="VKU983" s="336"/>
      <c r="VKV983" s="337"/>
      <c r="VKW983" s="336"/>
      <c r="VKX983" s="337"/>
      <c r="VKY983" s="336"/>
      <c r="VKZ983" s="337"/>
      <c r="VLA983" s="336"/>
      <c r="VLB983" s="337"/>
      <c r="VLC983" s="336"/>
      <c r="VLD983" s="337"/>
      <c r="VLE983" s="336"/>
      <c r="VLF983" s="337"/>
      <c r="VLG983" s="336"/>
      <c r="VLH983" s="337"/>
      <c r="VLI983" s="336"/>
      <c r="VLJ983" s="337"/>
      <c r="VLK983" s="336"/>
      <c r="VLL983" s="337"/>
      <c r="VLM983" s="336"/>
      <c r="VLN983" s="337"/>
      <c r="VLO983" s="336"/>
      <c r="VLP983" s="337"/>
      <c r="VLQ983" s="336"/>
      <c r="VLR983" s="337"/>
      <c r="VLS983" s="336"/>
      <c r="VLT983" s="337"/>
      <c r="VLU983" s="336"/>
      <c r="VLV983" s="337"/>
      <c r="VLW983" s="336"/>
      <c r="VLX983" s="337"/>
      <c r="VLY983" s="336"/>
      <c r="VLZ983" s="337"/>
      <c r="VMA983" s="336"/>
      <c r="VMB983" s="337"/>
      <c r="VMC983" s="336"/>
      <c r="VMD983" s="337"/>
      <c r="VME983" s="336"/>
      <c r="VMF983" s="337"/>
      <c r="VMG983" s="336"/>
      <c r="VMH983" s="337"/>
      <c r="VMI983" s="336"/>
      <c r="VMJ983" s="337"/>
      <c r="VMK983" s="336"/>
      <c r="VML983" s="337"/>
      <c r="VMM983" s="336"/>
      <c r="VMN983" s="337"/>
      <c r="VMO983" s="336"/>
      <c r="VMP983" s="337"/>
      <c r="VMQ983" s="336"/>
      <c r="VMR983" s="337"/>
      <c r="VMS983" s="336"/>
      <c r="VMT983" s="337"/>
      <c r="VMU983" s="336"/>
      <c r="VMV983" s="337"/>
      <c r="VMW983" s="336"/>
      <c r="VMX983" s="337"/>
      <c r="VMY983" s="336"/>
      <c r="VMZ983" s="337"/>
      <c r="VNA983" s="336"/>
      <c r="VNB983" s="337"/>
      <c r="VNC983" s="336"/>
      <c r="VND983" s="337"/>
      <c r="VNE983" s="336"/>
      <c r="VNF983" s="337"/>
      <c r="VNG983" s="336"/>
      <c r="VNH983" s="337"/>
      <c r="VNI983" s="336"/>
      <c r="VNJ983" s="337"/>
      <c r="VNK983" s="336"/>
      <c r="VNL983" s="337"/>
      <c r="VNM983" s="336"/>
      <c r="VNN983" s="337"/>
      <c r="VNO983" s="336"/>
      <c r="VNP983" s="337"/>
      <c r="VNQ983" s="336"/>
      <c r="VNR983" s="337"/>
      <c r="VNS983" s="336"/>
      <c r="VNT983" s="337"/>
      <c r="VNU983" s="336"/>
      <c r="VNV983" s="337"/>
      <c r="VNW983" s="336"/>
      <c r="VNX983" s="337"/>
      <c r="VNY983" s="336"/>
      <c r="VNZ983" s="337"/>
      <c r="VOA983" s="336"/>
      <c r="VOB983" s="337"/>
      <c r="VOC983" s="336"/>
      <c r="VOD983" s="337"/>
      <c r="VOE983" s="336"/>
      <c r="VOF983" s="337"/>
      <c r="VOG983" s="336"/>
      <c r="VOH983" s="337"/>
      <c r="VOI983" s="336"/>
      <c r="VOJ983" s="337"/>
      <c r="VOK983" s="336"/>
      <c r="VOL983" s="337"/>
      <c r="VOM983" s="336"/>
      <c r="VON983" s="337"/>
      <c r="VOO983" s="336"/>
      <c r="VOP983" s="337"/>
      <c r="VOQ983" s="336"/>
      <c r="VOR983" s="337"/>
      <c r="VOS983" s="336"/>
      <c r="VOT983" s="337"/>
      <c r="VOU983" s="336"/>
      <c r="VOV983" s="337"/>
      <c r="VOW983" s="336"/>
      <c r="VOX983" s="337"/>
      <c r="VOY983" s="336"/>
      <c r="VOZ983" s="337"/>
      <c r="VPA983" s="336"/>
      <c r="VPB983" s="337"/>
      <c r="VPC983" s="336"/>
      <c r="VPD983" s="337"/>
      <c r="VPE983" s="336"/>
      <c r="VPF983" s="337"/>
      <c r="VPG983" s="336"/>
      <c r="VPH983" s="337"/>
      <c r="VPI983" s="336"/>
      <c r="VPJ983" s="337"/>
      <c r="VPK983" s="336"/>
      <c r="VPL983" s="337"/>
      <c r="VPM983" s="336"/>
      <c r="VPN983" s="337"/>
      <c r="VPO983" s="336"/>
      <c r="VPP983" s="337"/>
      <c r="VPQ983" s="336"/>
      <c r="VPR983" s="337"/>
      <c r="VPS983" s="336"/>
      <c r="VPT983" s="337"/>
      <c r="VPU983" s="336"/>
      <c r="VPV983" s="337"/>
      <c r="VPW983" s="336"/>
      <c r="VPX983" s="337"/>
      <c r="VPY983" s="336"/>
      <c r="VPZ983" s="337"/>
      <c r="VQA983" s="336"/>
      <c r="VQB983" s="337"/>
      <c r="VQC983" s="336"/>
      <c r="VQD983" s="337"/>
      <c r="VQE983" s="336"/>
      <c r="VQF983" s="337"/>
      <c r="VQG983" s="336"/>
      <c r="VQH983" s="337"/>
      <c r="VQI983" s="336"/>
      <c r="VQJ983" s="337"/>
      <c r="VQK983" s="336"/>
      <c r="VQL983" s="337"/>
      <c r="VQM983" s="336"/>
      <c r="VQN983" s="337"/>
      <c r="VQO983" s="336"/>
      <c r="VQP983" s="337"/>
      <c r="VQQ983" s="336"/>
      <c r="VQR983" s="337"/>
      <c r="VQS983" s="336"/>
      <c r="VQT983" s="337"/>
      <c r="VQU983" s="336"/>
      <c r="VQV983" s="337"/>
      <c r="VQW983" s="336"/>
      <c r="VQX983" s="337"/>
      <c r="VQY983" s="336"/>
      <c r="VQZ983" s="337"/>
      <c r="VRA983" s="336"/>
      <c r="VRB983" s="337"/>
      <c r="VRC983" s="336"/>
      <c r="VRD983" s="337"/>
      <c r="VRE983" s="336"/>
      <c r="VRF983" s="337"/>
      <c r="VRG983" s="336"/>
      <c r="VRH983" s="337"/>
      <c r="VRI983" s="336"/>
      <c r="VRJ983" s="337"/>
      <c r="VRK983" s="336"/>
      <c r="VRL983" s="337"/>
      <c r="VRM983" s="336"/>
      <c r="VRN983" s="337"/>
      <c r="VRO983" s="336"/>
      <c r="VRP983" s="337"/>
      <c r="VRQ983" s="336"/>
      <c r="VRR983" s="337"/>
      <c r="VRS983" s="336"/>
      <c r="VRT983" s="337"/>
      <c r="VRU983" s="336"/>
      <c r="VRV983" s="337"/>
      <c r="VRW983" s="336"/>
      <c r="VRX983" s="337"/>
      <c r="VRY983" s="336"/>
      <c r="VRZ983" s="337"/>
      <c r="VSA983" s="336"/>
      <c r="VSB983" s="337"/>
      <c r="VSC983" s="336"/>
      <c r="VSD983" s="337"/>
      <c r="VSE983" s="336"/>
      <c r="VSF983" s="337"/>
      <c r="VSG983" s="336"/>
      <c r="VSH983" s="337"/>
      <c r="VSI983" s="336"/>
      <c r="VSJ983" s="337"/>
      <c r="VSK983" s="336"/>
      <c r="VSL983" s="337"/>
      <c r="VSM983" s="336"/>
      <c r="VSN983" s="337"/>
      <c r="VSO983" s="336"/>
      <c r="VSP983" s="337"/>
      <c r="VSQ983" s="336"/>
      <c r="VSR983" s="337"/>
      <c r="VSS983" s="336"/>
      <c r="VST983" s="337"/>
      <c r="VSU983" s="336"/>
      <c r="VSV983" s="337"/>
      <c r="VSW983" s="336"/>
      <c r="VSX983" s="337"/>
      <c r="VSY983" s="336"/>
      <c r="VSZ983" s="337"/>
      <c r="VTA983" s="336"/>
      <c r="VTB983" s="337"/>
      <c r="VTC983" s="336"/>
      <c r="VTD983" s="337"/>
      <c r="VTE983" s="336"/>
      <c r="VTF983" s="337"/>
      <c r="VTG983" s="336"/>
      <c r="VTH983" s="337"/>
      <c r="VTI983" s="336"/>
      <c r="VTJ983" s="337"/>
      <c r="VTK983" s="336"/>
      <c r="VTL983" s="337"/>
      <c r="VTM983" s="336"/>
      <c r="VTN983" s="337"/>
      <c r="VTO983" s="336"/>
      <c r="VTP983" s="337"/>
      <c r="VTQ983" s="336"/>
      <c r="VTR983" s="337"/>
      <c r="VTS983" s="336"/>
      <c r="VTT983" s="337"/>
      <c r="VTU983" s="336"/>
      <c r="VTV983" s="337"/>
      <c r="VTW983" s="336"/>
      <c r="VTX983" s="337"/>
      <c r="VTY983" s="336"/>
      <c r="VTZ983" s="337"/>
      <c r="VUA983" s="336"/>
      <c r="VUB983" s="337"/>
      <c r="VUC983" s="336"/>
      <c r="VUD983" s="337"/>
      <c r="VUE983" s="336"/>
      <c r="VUF983" s="337"/>
      <c r="VUG983" s="336"/>
      <c r="VUH983" s="337"/>
      <c r="VUI983" s="336"/>
      <c r="VUJ983" s="337"/>
      <c r="VUK983" s="336"/>
      <c r="VUL983" s="337"/>
      <c r="VUM983" s="336"/>
      <c r="VUN983" s="337"/>
      <c r="VUO983" s="336"/>
      <c r="VUP983" s="337"/>
      <c r="VUQ983" s="336"/>
      <c r="VUR983" s="337"/>
      <c r="VUS983" s="336"/>
      <c r="VUT983" s="337"/>
      <c r="VUU983" s="336"/>
      <c r="VUV983" s="337"/>
      <c r="VUW983" s="336"/>
      <c r="VUX983" s="337"/>
      <c r="VUY983" s="336"/>
      <c r="VUZ983" s="337"/>
      <c r="VVA983" s="336"/>
      <c r="VVB983" s="337"/>
      <c r="VVC983" s="336"/>
      <c r="VVD983" s="337"/>
      <c r="VVE983" s="336"/>
      <c r="VVF983" s="337"/>
      <c r="VVG983" s="336"/>
      <c r="VVH983" s="337"/>
      <c r="VVI983" s="336"/>
      <c r="VVJ983" s="337"/>
      <c r="VVK983" s="336"/>
      <c r="VVL983" s="337"/>
      <c r="VVM983" s="336"/>
      <c r="VVN983" s="337"/>
      <c r="VVO983" s="336"/>
      <c r="VVP983" s="337"/>
      <c r="VVQ983" s="336"/>
      <c r="VVR983" s="337"/>
      <c r="VVS983" s="336"/>
      <c r="VVT983" s="337"/>
      <c r="VVU983" s="336"/>
      <c r="VVV983" s="337"/>
      <c r="VVW983" s="336"/>
      <c r="VVX983" s="337"/>
      <c r="VVY983" s="336"/>
      <c r="VVZ983" s="337"/>
      <c r="VWA983" s="336"/>
      <c r="VWB983" s="337"/>
      <c r="VWC983" s="336"/>
      <c r="VWD983" s="337"/>
      <c r="VWE983" s="336"/>
      <c r="VWF983" s="337"/>
      <c r="VWG983" s="336"/>
      <c r="VWH983" s="337"/>
      <c r="VWI983" s="336"/>
      <c r="VWJ983" s="337"/>
      <c r="VWK983" s="336"/>
      <c r="VWL983" s="337"/>
      <c r="VWM983" s="336"/>
      <c r="VWN983" s="337"/>
      <c r="VWO983" s="336"/>
      <c r="VWP983" s="337"/>
      <c r="VWQ983" s="336"/>
      <c r="VWR983" s="337"/>
      <c r="VWS983" s="336"/>
      <c r="VWT983" s="337"/>
      <c r="VWU983" s="336"/>
      <c r="VWV983" s="337"/>
      <c r="VWW983" s="336"/>
      <c r="VWX983" s="337"/>
      <c r="VWY983" s="336"/>
      <c r="VWZ983" s="337"/>
      <c r="VXA983" s="336"/>
      <c r="VXB983" s="337"/>
      <c r="VXC983" s="336"/>
      <c r="VXD983" s="337"/>
      <c r="VXE983" s="336"/>
      <c r="VXF983" s="337"/>
      <c r="VXG983" s="336"/>
      <c r="VXH983" s="337"/>
      <c r="VXI983" s="336"/>
      <c r="VXJ983" s="337"/>
      <c r="VXK983" s="336"/>
      <c r="VXL983" s="337"/>
      <c r="VXM983" s="336"/>
      <c r="VXN983" s="337"/>
      <c r="VXO983" s="336"/>
      <c r="VXP983" s="337"/>
      <c r="VXQ983" s="336"/>
      <c r="VXR983" s="337"/>
      <c r="VXS983" s="336"/>
      <c r="VXT983" s="337"/>
      <c r="VXU983" s="336"/>
      <c r="VXV983" s="337"/>
      <c r="VXW983" s="336"/>
      <c r="VXX983" s="337"/>
      <c r="VXY983" s="336"/>
      <c r="VXZ983" s="337"/>
      <c r="VYA983" s="336"/>
      <c r="VYB983" s="337"/>
      <c r="VYC983" s="336"/>
      <c r="VYD983" s="337"/>
      <c r="VYE983" s="336"/>
      <c r="VYF983" s="337"/>
      <c r="VYG983" s="336"/>
      <c r="VYH983" s="337"/>
      <c r="VYI983" s="336"/>
      <c r="VYJ983" s="337"/>
      <c r="VYK983" s="336"/>
      <c r="VYL983" s="337"/>
      <c r="VYM983" s="336"/>
      <c r="VYN983" s="337"/>
      <c r="VYO983" s="336"/>
      <c r="VYP983" s="337"/>
      <c r="VYQ983" s="336"/>
      <c r="VYR983" s="337"/>
      <c r="VYS983" s="336"/>
      <c r="VYT983" s="337"/>
      <c r="VYU983" s="336"/>
      <c r="VYV983" s="337"/>
      <c r="VYW983" s="336"/>
      <c r="VYX983" s="337"/>
      <c r="VYY983" s="336"/>
      <c r="VYZ983" s="337"/>
      <c r="VZA983" s="336"/>
      <c r="VZB983" s="337"/>
      <c r="VZC983" s="336"/>
      <c r="VZD983" s="337"/>
      <c r="VZE983" s="336"/>
      <c r="VZF983" s="337"/>
      <c r="VZG983" s="336"/>
      <c r="VZH983" s="337"/>
      <c r="VZI983" s="336"/>
      <c r="VZJ983" s="337"/>
      <c r="VZK983" s="336"/>
      <c r="VZL983" s="337"/>
      <c r="VZM983" s="336"/>
      <c r="VZN983" s="337"/>
      <c r="VZO983" s="336"/>
      <c r="VZP983" s="337"/>
      <c r="VZQ983" s="336"/>
      <c r="VZR983" s="337"/>
      <c r="VZS983" s="336"/>
      <c r="VZT983" s="337"/>
      <c r="VZU983" s="336"/>
      <c r="VZV983" s="337"/>
      <c r="VZW983" s="336"/>
      <c r="VZX983" s="337"/>
      <c r="VZY983" s="336"/>
      <c r="VZZ983" s="337"/>
      <c r="WAA983" s="336"/>
      <c r="WAB983" s="337"/>
      <c r="WAC983" s="336"/>
      <c r="WAD983" s="337"/>
      <c r="WAE983" s="336"/>
      <c r="WAF983" s="337"/>
      <c r="WAG983" s="336"/>
      <c r="WAH983" s="337"/>
      <c r="WAI983" s="336"/>
      <c r="WAJ983" s="337"/>
      <c r="WAK983" s="336"/>
      <c r="WAL983" s="337"/>
      <c r="WAM983" s="336"/>
      <c r="WAN983" s="337"/>
      <c r="WAO983" s="336"/>
      <c r="WAP983" s="337"/>
      <c r="WAQ983" s="336"/>
      <c r="WAR983" s="337"/>
      <c r="WAS983" s="336"/>
      <c r="WAT983" s="337"/>
      <c r="WAU983" s="336"/>
      <c r="WAV983" s="337"/>
      <c r="WAW983" s="336"/>
      <c r="WAX983" s="337"/>
      <c r="WAY983" s="336"/>
      <c r="WAZ983" s="337"/>
      <c r="WBA983" s="336"/>
      <c r="WBB983" s="337"/>
      <c r="WBC983" s="336"/>
      <c r="WBD983" s="337"/>
      <c r="WBE983" s="336"/>
      <c r="WBF983" s="337"/>
      <c r="WBG983" s="336"/>
      <c r="WBH983" s="337"/>
      <c r="WBI983" s="336"/>
      <c r="WBJ983" s="337"/>
      <c r="WBK983" s="336"/>
      <c r="WBL983" s="337"/>
      <c r="WBM983" s="336"/>
      <c r="WBN983" s="337"/>
      <c r="WBO983" s="336"/>
      <c r="WBP983" s="337"/>
      <c r="WBQ983" s="336"/>
      <c r="WBR983" s="337"/>
      <c r="WBS983" s="336"/>
      <c r="WBT983" s="337"/>
      <c r="WBU983" s="336"/>
      <c r="WBV983" s="337"/>
      <c r="WBW983" s="336"/>
      <c r="WBX983" s="337"/>
      <c r="WBY983" s="336"/>
      <c r="WBZ983" s="337"/>
      <c r="WCA983" s="336"/>
      <c r="WCB983" s="337"/>
      <c r="WCC983" s="336"/>
      <c r="WCD983" s="337"/>
      <c r="WCE983" s="336"/>
      <c r="WCF983" s="337"/>
      <c r="WCG983" s="336"/>
      <c r="WCH983" s="337"/>
      <c r="WCI983" s="336"/>
      <c r="WCJ983" s="337"/>
      <c r="WCK983" s="336"/>
      <c r="WCL983" s="337"/>
      <c r="WCM983" s="336"/>
      <c r="WCN983" s="337"/>
      <c r="WCO983" s="336"/>
      <c r="WCP983" s="337"/>
      <c r="WCQ983" s="336"/>
      <c r="WCR983" s="337"/>
      <c r="WCS983" s="336"/>
      <c r="WCT983" s="337"/>
      <c r="WCU983" s="336"/>
      <c r="WCV983" s="337"/>
      <c r="WCW983" s="336"/>
      <c r="WCX983" s="337"/>
      <c r="WCY983" s="336"/>
      <c r="WCZ983" s="337"/>
      <c r="WDA983" s="336"/>
      <c r="WDB983" s="337"/>
      <c r="WDC983" s="336"/>
      <c r="WDD983" s="337"/>
      <c r="WDE983" s="336"/>
      <c r="WDF983" s="337"/>
      <c r="WDG983" s="336"/>
      <c r="WDH983" s="337"/>
      <c r="WDI983" s="336"/>
      <c r="WDJ983" s="337"/>
      <c r="WDK983" s="336"/>
      <c r="WDL983" s="337"/>
      <c r="WDM983" s="336"/>
      <c r="WDN983" s="337"/>
      <c r="WDO983" s="336"/>
      <c r="WDP983" s="337"/>
      <c r="WDQ983" s="336"/>
      <c r="WDR983" s="337"/>
      <c r="WDS983" s="336"/>
      <c r="WDT983" s="337"/>
      <c r="WDU983" s="336"/>
      <c r="WDV983" s="337"/>
      <c r="WDW983" s="336"/>
      <c r="WDX983" s="337"/>
      <c r="WDY983" s="336"/>
      <c r="WDZ983" s="337"/>
      <c r="WEA983" s="336"/>
      <c r="WEB983" s="337"/>
      <c r="WEC983" s="336"/>
      <c r="WED983" s="337"/>
      <c r="WEE983" s="336"/>
      <c r="WEF983" s="337"/>
      <c r="WEG983" s="336"/>
      <c r="WEH983" s="337"/>
      <c r="WEI983" s="336"/>
      <c r="WEJ983" s="337"/>
      <c r="WEK983" s="336"/>
      <c r="WEL983" s="337"/>
      <c r="WEM983" s="336"/>
      <c r="WEN983" s="337"/>
      <c r="WEO983" s="336"/>
      <c r="WEP983" s="337"/>
      <c r="WEQ983" s="336"/>
      <c r="WER983" s="337"/>
      <c r="WES983" s="336"/>
      <c r="WET983" s="337"/>
      <c r="WEU983" s="336"/>
      <c r="WEV983" s="337"/>
      <c r="WEW983" s="336"/>
      <c r="WEX983" s="337"/>
      <c r="WEY983" s="336"/>
      <c r="WEZ983" s="337"/>
      <c r="WFA983" s="336"/>
      <c r="WFB983" s="337"/>
      <c r="WFC983" s="336"/>
      <c r="WFD983" s="337"/>
      <c r="WFE983" s="336"/>
      <c r="WFF983" s="337"/>
      <c r="WFG983" s="336"/>
      <c r="WFH983" s="337"/>
      <c r="WFI983" s="336"/>
      <c r="WFJ983" s="337"/>
      <c r="WFK983" s="336"/>
      <c r="WFL983" s="337"/>
      <c r="WFM983" s="336"/>
      <c r="WFN983" s="337"/>
      <c r="WFO983" s="336"/>
      <c r="WFP983" s="337"/>
      <c r="WFQ983" s="336"/>
      <c r="WFR983" s="337"/>
      <c r="WFS983" s="336"/>
      <c r="WFT983" s="337"/>
      <c r="WFU983" s="336"/>
      <c r="WFV983" s="337"/>
      <c r="WFW983" s="336"/>
      <c r="WFX983" s="337"/>
      <c r="WFY983" s="336"/>
      <c r="WFZ983" s="337"/>
      <c r="WGA983" s="336"/>
      <c r="WGB983" s="337"/>
      <c r="WGC983" s="336"/>
      <c r="WGD983" s="337"/>
      <c r="WGE983" s="336"/>
      <c r="WGF983" s="337"/>
      <c r="WGG983" s="336"/>
      <c r="WGH983" s="337"/>
      <c r="WGI983" s="336"/>
      <c r="WGJ983" s="337"/>
      <c r="WGK983" s="336"/>
      <c r="WGL983" s="337"/>
      <c r="WGM983" s="336"/>
      <c r="WGN983" s="337"/>
      <c r="WGO983" s="336"/>
      <c r="WGP983" s="337"/>
      <c r="WGQ983" s="336"/>
      <c r="WGR983" s="337"/>
      <c r="WGS983" s="336"/>
      <c r="WGT983" s="337"/>
      <c r="WGU983" s="336"/>
      <c r="WGV983" s="337"/>
      <c r="WGW983" s="336"/>
      <c r="WGX983" s="337"/>
      <c r="WGY983" s="336"/>
      <c r="WGZ983" s="337"/>
      <c r="WHA983" s="336"/>
      <c r="WHB983" s="337"/>
      <c r="WHC983" s="336"/>
      <c r="WHD983" s="337"/>
      <c r="WHE983" s="336"/>
      <c r="WHF983" s="337"/>
      <c r="WHG983" s="336"/>
      <c r="WHH983" s="337"/>
      <c r="WHI983" s="336"/>
      <c r="WHJ983" s="337"/>
      <c r="WHK983" s="336"/>
      <c r="WHL983" s="337"/>
      <c r="WHM983" s="336"/>
      <c r="WHN983" s="337"/>
      <c r="WHO983" s="336"/>
      <c r="WHP983" s="337"/>
      <c r="WHQ983" s="336"/>
      <c r="WHR983" s="337"/>
      <c r="WHS983" s="336"/>
      <c r="WHT983" s="337"/>
      <c r="WHU983" s="336"/>
      <c r="WHV983" s="337"/>
      <c r="WHW983" s="336"/>
      <c r="WHX983" s="337"/>
      <c r="WHY983" s="336"/>
      <c r="WHZ983" s="337"/>
      <c r="WIA983" s="336"/>
      <c r="WIB983" s="337"/>
      <c r="WIC983" s="336"/>
      <c r="WID983" s="337"/>
      <c r="WIE983" s="336"/>
      <c r="WIF983" s="337"/>
      <c r="WIG983" s="336"/>
      <c r="WIH983" s="337"/>
      <c r="WII983" s="336"/>
      <c r="WIJ983" s="337"/>
      <c r="WIK983" s="336"/>
      <c r="WIL983" s="337"/>
      <c r="WIM983" s="336"/>
      <c r="WIN983" s="337"/>
      <c r="WIO983" s="336"/>
      <c r="WIP983" s="337"/>
      <c r="WIQ983" s="336"/>
      <c r="WIR983" s="337"/>
      <c r="WIS983" s="336"/>
      <c r="WIT983" s="337"/>
      <c r="WIU983" s="336"/>
      <c r="WIV983" s="337"/>
      <c r="WIW983" s="336"/>
      <c r="WIX983" s="337"/>
      <c r="WIY983" s="336"/>
      <c r="WIZ983" s="337"/>
      <c r="WJA983" s="336"/>
      <c r="WJB983" s="337"/>
      <c r="WJC983" s="336"/>
      <c r="WJD983" s="337"/>
      <c r="WJE983" s="336"/>
      <c r="WJF983" s="337"/>
      <c r="WJG983" s="336"/>
      <c r="WJH983" s="337"/>
      <c r="WJI983" s="336"/>
      <c r="WJJ983" s="337"/>
      <c r="WJK983" s="336"/>
      <c r="WJL983" s="337"/>
      <c r="WJM983" s="336"/>
      <c r="WJN983" s="337"/>
      <c r="WJO983" s="336"/>
      <c r="WJP983" s="337"/>
      <c r="WJQ983" s="336"/>
      <c r="WJR983" s="337"/>
      <c r="WJS983" s="336"/>
      <c r="WJT983" s="337"/>
      <c r="WJU983" s="336"/>
      <c r="WJV983" s="337"/>
      <c r="WJW983" s="336"/>
      <c r="WJX983" s="337"/>
      <c r="WJY983" s="336"/>
      <c r="WJZ983" s="337"/>
      <c r="WKA983" s="336"/>
      <c r="WKB983" s="337"/>
      <c r="WKC983" s="336"/>
      <c r="WKD983" s="337"/>
      <c r="WKE983" s="336"/>
      <c r="WKF983" s="337"/>
      <c r="WKG983" s="336"/>
      <c r="WKH983" s="337"/>
      <c r="WKI983" s="336"/>
      <c r="WKJ983" s="337"/>
      <c r="WKK983" s="336"/>
      <c r="WKL983" s="337"/>
      <c r="WKM983" s="336"/>
      <c r="WKN983" s="337"/>
      <c r="WKO983" s="336"/>
      <c r="WKP983" s="337"/>
      <c r="WKQ983" s="336"/>
      <c r="WKR983" s="337"/>
      <c r="WKS983" s="336"/>
      <c r="WKT983" s="337"/>
      <c r="WKU983" s="336"/>
      <c r="WKV983" s="337"/>
      <c r="WKW983" s="336"/>
      <c r="WKX983" s="337"/>
      <c r="WKY983" s="336"/>
      <c r="WKZ983" s="337"/>
      <c r="WLA983" s="336"/>
      <c r="WLB983" s="337"/>
      <c r="WLC983" s="336"/>
      <c r="WLD983" s="337"/>
      <c r="WLE983" s="336"/>
      <c r="WLF983" s="337"/>
      <c r="WLG983" s="336"/>
      <c r="WLH983" s="337"/>
      <c r="WLI983" s="336"/>
      <c r="WLJ983" s="337"/>
      <c r="WLK983" s="336"/>
      <c r="WLL983" s="337"/>
      <c r="WLM983" s="336"/>
      <c r="WLN983" s="337"/>
      <c r="WLO983" s="336"/>
      <c r="WLP983" s="337"/>
      <c r="WLQ983" s="336"/>
      <c r="WLR983" s="337"/>
      <c r="WLS983" s="336"/>
      <c r="WLT983" s="337"/>
      <c r="WLU983" s="336"/>
      <c r="WLV983" s="337"/>
      <c r="WLW983" s="336"/>
      <c r="WLX983" s="337"/>
      <c r="WLY983" s="336"/>
      <c r="WLZ983" s="337"/>
      <c r="WMA983" s="336"/>
      <c r="WMB983" s="337"/>
      <c r="WMC983" s="336"/>
      <c r="WMD983" s="337"/>
      <c r="WME983" s="336"/>
      <c r="WMF983" s="337"/>
      <c r="WMG983" s="336"/>
      <c r="WMH983" s="337"/>
      <c r="WMI983" s="336"/>
      <c r="WMJ983" s="337"/>
      <c r="WMK983" s="336"/>
      <c r="WML983" s="337"/>
      <c r="WMM983" s="336"/>
      <c r="WMN983" s="337"/>
      <c r="WMO983" s="336"/>
      <c r="WMP983" s="337"/>
      <c r="WMQ983" s="336"/>
      <c r="WMR983" s="337"/>
      <c r="WMS983" s="336"/>
      <c r="WMT983" s="337"/>
      <c r="WMU983" s="336"/>
      <c r="WMV983" s="337"/>
      <c r="WMW983" s="336"/>
      <c r="WMX983" s="337"/>
      <c r="WMY983" s="336"/>
      <c r="WMZ983" s="337"/>
      <c r="WNA983" s="336"/>
      <c r="WNB983" s="337"/>
      <c r="WNC983" s="336"/>
      <c r="WND983" s="337"/>
      <c r="WNE983" s="336"/>
      <c r="WNF983" s="337"/>
      <c r="WNG983" s="336"/>
      <c r="WNH983" s="337"/>
      <c r="WNI983" s="336"/>
      <c r="WNJ983" s="337"/>
      <c r="WNK983" s="336"/>
      <c r="WNL983" s="337"/>
      <c r="WNM983" s="336"/>
      <c r="WNN983" s="337"/>
      <c r="WNO983" s="336"/>
      <c r="WNP983" s="337"/>
      <c r="WNQ983" s="336"/>
      <c r="WNR983" s="337"/>
      <c r="WNS983" s="336"/>
      <c r="WNT983" s="337"/>
      <c r="WNU983" s="336"/>
      <c r="WNV983" s="337"/>
      <c r="WNW983" s="336"/>
      <c r="WNX983" s="337"/>
      <c r="WNY983" s="336"/>
      <c r="WNZ983" s="337"/>
      <c r="WOA983" s="336"/>
      <c r="WOB983" s="337"/>
      <c r="WOC983" s="336"/>
      <c r="WOD983" s="337"/>
      <c r="WOE983" s="336"/>
      <c r="WOF983" s="337"/>
      <c r="WOG983" s="336"/>
      <c r="WOH983" s="337"/>
      <c r="WOI983" s="336"/>
      <c r="WOJ983" s="337"/>
      <c r="WOK983" s="336"/>
      <c r="WOL983" s="337"/>
      <c r="WOM983" s="336"/>
      <c r="WON983" s="337"/>
      <c r="WOO983" s="336"/>
      <c r="WOP983" s="337"/>
      <c r="WOQ983" s="336"/>
      <c r="WOR983" s="337"/>
      <c r="WOS983" s="336"/>
      <c r="WOT983" s="337"/>
      <c r="WOU983" s="336"/>
      <c r="WOV983" s="337"/>
      <c r="WOW983" s="336"/>
      <c r="WOX983" s="337"/>
      <c r="WOY983" s="336"/>
      <c r="WOZ983" s="337"/>
      <c r="WPA983" s="336"/>
      <c r="WPB983" s="337"/>
      <c r="WPC983" s="336"/>
      <c r="WPD983" s="337"/>
      <c r="WPE983" s="336"/>
      <c r="WPF983" s="337"/>
      <c r="WPG983" s="336"/>
      <c r="WPH983" s="337"/>
      <c r="WPI983" s="336"/>
      <c r="WPJ983" s="337"/>
      <c r="WPK983" s="336"/>
      <c r="WPL983" s="337"/>
      <c r="WPM983" s="336"/>
      <c r="WPN983" s="337"/>
      <c r="WPO983" s="336"/>
      <c r="WPP983" s="337"/>
      <c r="WPQ983" s="336"/>
      <c r="WPR983" s="337"/>
      <c r="WPS983" s="336"/>
      <c r="WPT983" s="337"/>
      <c r="WPU983" s="336"/>
      <c r="WPV983" s="337"/>
      <c r="WPW983" s="336"/>
      <c r="WPX983" s="337"/>
      <c r="WPY983" s="336"/>
      <c r="WPZ983" s="337"/>
      <c r="WQA983" s="336"/>
      <c r="WQB983" s="337"/>
      <c r="WQC983" s="336"/>
      <c r="WQD983" s="337"/>
      <c r="WQE983" s="336"/>
      <c r="WQF983" s="337"/>
      <c r="WQG983" s="336"/>
      <c r="WQH983" s="337"/>
      <c r="WQI983" s="336"/>
      <c r="WQJ983" s="337"/>
      <c r="WQK983" s="336"/>
      <c r="WQL983" s="337"/>
      <c r="WQM983" s="336"/>
      <c r="WQN983" s="337"/>
      <c r="WQO983" s="336"/>
      <c r="WQP983" s="337"/>
      <c r="WQQ983" s="336"/>
      <c r="WQR983" s="337"/>
      <c r="WQS983" s="336"/>
      <c r="WQT983" s="337"/>
      <c r="WQU983" s="336"/>
      <c r="WQV983" s="337"/>
      <c r="WQW983" s="336"/>
      <c r="WQX983" s="337"/>
      <c r="WQY983" s="336"/>
      <c r="WQZ983" s="337"/>
      <c r="WRA983" s="336"/>
      <c r="WRB983" s="337"/>
      <c r="WRC983" s="336"/>
      <c r="WRD983" s="337"/>
      <c r="WRE983" s="336"/>
      <c r="WRF983" s="337"/>
      <c r="WRG983" s="336"/>
      <c r="WRH983" s="337"/>
      <c r="WRI983" s="336"/>
      <c r="WRJ983" s="337"/>
      <c r="WRK983" s="336"/>
      <c r="WRL983" s="337"/>
      <c r="WRM983" s="336"/>
      <c r="WRN983" s="337"/>
      <c r="WRO983" s="336"/>
      <c r="WRP983" s="337"/>
      <c r="WRQ983" s="336"/>
      <c r="WRR983" s="337"/>
      <c r="WRS983" s="336"/>
      <c r="WRT983" s="337"/>
      <c r="WRU983" s="336"/>
      <c r="WRV983" s="337"/>
      <c r="WRW983" s="336"/>
      <c r="WRX983" s="337"/>
      <c r="WRY983" s="336"/>
      <c r="WRZ983" s="337"/>
      <c r="WSA983" s="336"/>
      <c r="WSB983" s="337"/>
      <c r="WSC983" s="336"/>
      <c r="WSD983" s="337"/>
      <c r="WSE983" s="336"/>
      <c r="WSF983" s="337"/>
      <c r="WSG983" s="336"/>
      <c r="WSH983" s="337"/>
      <c r="WSI983" s="336"/>
      <c r="WSJ983" s="337"/>
      <c r="WSK983" s="336"/>
      <c r="WSL983" s="337"/>
      <c r="WSM983" s="336"/>
      <c r="WSN983" s="337"/>
      <c r="WSO983" s="336"/>
      <c r="WSP983" s="337"/>
      <c r="WSQ983" s="336"/>
      <c r="WSR983" s="337"/>
      <c r="WSS983" s="336"/>
      <c r="WST983" s="337"/>
      <c r="WSU983" s="336"/>
      <c r="WSV983" s="337"/>
      <c r="WSW983" s="336"/>
      <c r="WSX983" s="337"/>
      <c r="WSY983" s="336"/>
      <c r="WSZ983" s="337"/>
      <c r="WTA983" s="336"/>
      <c r="WTB983" s="337"/>
      <c r="WTC983" s="336"/>
      <c r="WTD983" s="337"/>
      <c r="WTE983" s="336"/>
      <c r="WTF983" s="337"/>
      <c r="WTG983" s="336"/>
      <c r="WTH983" s="337"/>
      <c r="WTI983" s="336"/>
      <c r="WTJ983" s="337"/>
      <c r="WTK983" s="336"/>
      <c r="WTL983" s="337"/>
      <c r="WTM983" s="336"/>
      <c r="WTN983" s="337"/>
      <c r="WTO983" s="336"/>
      <c r="WTP983" s="337"/>
      <c r="WTQ983" s="336"/>
      <c r="WTR983" s="337"/>
      <c r="WTS983" s="336"/>
      <c r="WTT983" s="337"/>
      <c r="WTU983" s="336"/>
      <c r="WTV983" s="337"/>
      <c r="WTW983" s="336"/>
      <c r="WTX983" s="337"/>
      <c r="WTY983" s="336"/>
      <c r="WTZ983" s="337"/>
      <c r="WUA983" s="336"/>
      <c r="WUB983" s="337"/>
      <c r="WUC983" s="336"/>
      <c r="WUD983" s="337"/>
      <c r="WUE983" s="336"/>
      <c r="WUF983" s="337"/>
      <c r="WUG983" s="336"/>
      <c r="WUH983" s="337"/>
      <c r="WUI983" s="336"/>
      <c r="WUJ983" s="337"/>
      <c r="WUK983" s="336"/>
      <c r="WUL983" s="337"/>
      <c r="WUM983" s="336"/>
      <c r="WUN983" s="337"/>
      <c r="WUO983" s="336"/>
      <c r="WUP983" s="337"/>
      <c r="WUQ983" s="336"/>
      <c r="WUR983" s="337"/>
      <c r="WUS983" s="336"/>
      <c r="WUT983" s="337"/>
      <c r="WUU983" s="336"/>
      <c r="WUV983" s="337"/>
      <c r="WUW983" s="336"/>
      <c r="WUX983" s="337"/>
      <c r="WUY983" s="336"/>
      <c r="WUZ983" s="337"/>
      <c r="WVA983" s="336"/>
      <c r="WVB983" s="337"/>
      <c r="WVC983" s="336"/>
      <c r="WVD983" s="337"/>
      <c r="WVE983" s="336"/>
      <c r="WVF983" s="337"/>
      <c r="WVG983" s="336"/>
      <c r="WVH983" s="337"/>
      <c r="WVI983" s="336"/>
      <c r="WVJ983" s="337"/>
      <c r="WVK983" s="336"/>
      <c r="WVL983" s="337"/>
      <c r="WVM983" s="336"/>
      <c r="WVN983" s="337"/>
      <c r="WVO983" s="336"/>
      <c r="WVP983" s="337"/>
      <c r="WVQ983" s="336"/>
      <c r="WVR983" s="337"/>
      <c r="WVS983" s="336"/>
      <c r="WVT983" s="337"/>
      <c r="WVU983" s="336"/>
      <c r="WVV983" s="337"/>
      <c r="WVW983" s="336"/>
      <c r="WVX983" s="337"/>
      <c r="WVY983" s="336"/>
      <c r="WVZ983" s="337"/>
      <c r="WWA983" s="336"/>
      <c r="WWB983" s="337"/>
      <c r="WWC983" s="336"/>
      <c r="WWD983" s="337"/>
      <c r="WWE983" s="336"/>
      <c r="WWF983" s="337"/>
      <c r="WWG983" s="336"/>
      <c r="WWH983" s="337"/>
      <c r="WWI983" s="336"/>
      <c r="WWJ983" s="337"/>
      <c r="WWK983" s="336"/>
      <c r="WWL983" s="337"/>
      <c r="WWM983" s="336"/>
      <c r="WWN983" s="337"/>
      <c r="WWO983" s="336"/>
      <c r="WWP983" s="337"/>
      <c r="WWQ983" s="336"/>
      <c r="WWR983" s="337"/>
      <c r="WWS983" s="336"/>
      <c r="WWT983" s="337"/>
      <c r="WWU983" s="336"/>
      <c r="WWV983" s="337"/>
      <c r="WWW983" s="336"/>
      <c r="WWX983" s="337"/>
      <c r="WWY983" s="336"/>
      <c r="WWZ983" s="337"/>
      <c r="WXA983" s="336"/>
      <c r="WXB983" s="337"/>
      <c r="WXC983" s="336"/>
      <c r="WXD983" s="337"/>
      <c r="WXE983" s="336"/>
      <c r="WXF983" s="337"/>
      <c r="WXG983" s="336"/>
      <c r="WXH983" s="337"/>
      <c r="WXI983" s="336"/>
      <c r="WXJ983" s="337"/>
      <c r="WXK983" s="336"/>
      <c r="WXL983" s="337"/>
      <c r="WXM983" s="336"/>
      <c r="WXN983" s="337"/>
      <c r="WXO983" s="336"/>
      <c r="WXP983" s="337"/>
      <c r="WXQ983" s="336"/>
      <c r="WXR983" s="337"/>
      <c r="WXS983" s="336"/>
      <c r="WXT983" s="337"/>
      <c r="WXU983" s="336"/>
      <c r="WXV983" s="337"/>
      <c r="WXW983" s="336"/>
      <c r="WXX983" s="337"/>
      <c r="WXY983" s="336"/>
      <c r="WXZ983" s="337"/>
      <c r="WYA983" s="336"/>
      <c r="WYB983" s="337"/>
      <c r="WYC983" s="336"/>
      <c r="WYD983" s="337"/>
      <c r="WYE983" s="336"/>
      <c r="WYF983" s="337"/>
      <c r="WYG983" s="336"/>
      <c r="WYH983" s="337"/>
      <c r="WYI983" s="336"/>
      <c r="WYJ983" s="337"/>
      <c r="WYK983" s="336"/>
      <c r="WYL983" s="337"/>
      <c r="WYM983" s="336"/>
      <c r="WYN983" s="337"/>
      <c r="WYO983" s="336"/>
      <c r="WYP983" s="337"/>
      <c r="WYQ983" s="336"/>
      <c r="WYR983" s="337"/>
      <c r="WYS983" s="336"/>
      <c r="WYT983" s="337"/>
      <c r="WYU983" s="336"/>
      <c r="WYV983" s="337"/>
      <c r="WYW983" s="336"/>
      <c r="WYX983" s="337"/>
      <c r="WYY983" s="336"/>
      <c r="WYZ983" s="337"/>
      <c r="WZA983" s="336"/>
      <c r="WZB983" s="337"/>
      <c r="WZC983" s="336"/>
      <c r="WZD983" s="337"/>
      <c r="WZE983" s="336"/>
      <c r="WZF983" s="337"/>
      <c r="WZG983" s="336"/>
      <c r="WZH983" s="337"/>
      <c r="WZI983" s="336"/>
      <c r="WZJ983" s="337"/>
      <c r="WZK983" s="336"/>
      <c r="WZL983" s="337"/>
      <c r="WZM983" s="336"/>
      <c r="WZN983" s="337"/>
      <c r="WZO983" s="336"/>
      <c r="WZP983" s="337"/>
      <c r="WZQ983" s="336"/>
      <c r="WZR983" s="337"/>
      <c r="WZS983" s="336"/>
      <c r="WZT983" s="337"/>
      <c r="WZU983" s="336"/>
      <c r="WZV983" s="337"/>
      <c r="WZW983" s="336"/>
      <c r="WZX983" s="337"/>
      <c r="WZY983" s="336"/>
      <c r="WZZ983" s="337"/>
      <c r="XAA983" s="336"/>
      <c r="XAB983" s="337"/>
      <c r="XAC983" s="336"/>
      <c r="XAD983" s="337"/>
      <c r="XAE983" s="336"/>
      <c r="XAF983" s="337"/>
      <c r="XAG983" s="336"/>
      <c r="XAH983" s="337"/>
      <c r="XAI983" s="336"/>
      <c r="XAJ983" s="337"/>
      <c r="XAK983" s="336"/>
      <c r="XAL983" s="337"/>
      <c r="XAM983" s="336"/>
      <c r="XAN983" s="337"/>
      <c r="XAO983" s="336"/>
      <c r="XAP983" s="337"/>
      <c r="XAQ983" s="336"/>
      <c r="XAR983" s="337"/>
      <c r="XAS983" s="336"/>
      <c r="XAT983" s="337"/>
      <c r="XAU983" s="336"/>
      <c r="XAV983" s="337"/>
      <c r="XAW983" s="336"/>
      <c r="XAX983" s="337"/>
      <c r="XAY983" s="336"/>
      <c r="XAZ983" s="337"/>
      <c r="XBA983" s="336"/>
      <c r="XBB983" s="337"/>
      <c r="XBC983" s="336"/>
      <c r="XBD983" s="337"/>
      <c r="XBE983" s="336"/>
      <c r="XBF983" s="337"/>
      <c r="XBG983" s="336"/>
      <c r="XBH983" s="337"/>
      <c r="XBI983" s="336"/>
      <c r="XBJ983" s="337"/>
      <c r="XBK983" s="336"/>
      <c r="XBL983" s="337"/>
      <c r="XBM983" s="336"/>
      <c r="XBN983" s="337"/>
      <c r="XBO983" s="336"/>
      <c r="XBP983" s="337"/>
      <c r="XBQ983" s="336"/>
      <c r="XBR983" s="337"/>
      <c r="XBS983" s="336"/>
      <c r="XBT983" s="337"/>
      <c r="XBU983" s="336"/>
      <c r="XBV983" s="337"/>
      <c r="XBW983" s="336"/>
      <c r="XBX983" s="337"/>
      <c r="XBY983" s="336"/>
      <c r="XBZ983" s="337"/>
      <c r="XCA983" s="336"/>
      <c r="XCB983" s="337"/>
      <c r="XCC983" s="336"/>
      <c r="XCD983" s="337"/>
      <c r="XCE983" s="336"/>
      <c r="XCF983" s="337"/>
      <c r="XCG983" s="336"/>
      <c r="XCH983" s="337"/>
      <c r="XCI983" s="336"/>
      <c r="XCJ983" s="337"/>
      <c r="XCK983" s="336"/>
      <c r="XCL983" s="337"/>
      <c r="XCM983" s="336"/>
      <c r="XCN983" s="337"/>
      <c r="XCO983" s="336"/>
      <c r="XCP983" s="337"/>
      <c r="XCQ983" s="336"/>
      <c r="XCR983" s="337"/>
      <c r="XCS983" s="336"/>
      <c r="XCT983" s="337"/>
      <c r="XCU983" s="336"/>
      <c r="XCV983" s="337"/>
      <c r="XCW983" s="336"/>
      <c r="XCX983" s="337"/>
      <c r="XCY983" s="336"/>
      <c r="XCZ983" s="337"/>
      <c r="XDA983" s="336"/>
      <c r="XDB983" s="337"/>
      <c r="XDC983" s="336"/>
      <c r="XDD983" s="337"/>
      <c r="XDE983" s="336"/>
      <c r="XDF983" s="337"/>
      <c r="XDG983" s="336"/>
      <c r="XDH983" s="337"/>
      <c r="XDI983" s="336"/>
      <c r="XDJ983" s="337"/>
      <c r="XDK983" s="336"/>
      <c r="XDL983" s="337"/>
      <c r="XDM983" s="336"/>
      <c r="XDN983" s="337"/>
      <c r="XDO983" s="336"/>
      <c r="XDP983" s="337"/>
      <c r="XDQ983" s="336"/>
      <c r="XDR983" s="337"/>
      <c r="XDS983" s="336"/>
      <c r="XDT983" s="337"/>
      <c r="XDU983" s="336"/>
      <c r="XDV983" s="337"/>
      <c r="XDW983" s="336"/>
      <c r="XDX983" s="337"/>
      <c r="XDY983" s="336"/>
      <c r="XDZ983" s="337"/>
      <c r="XEA983" s="336"/>
      <c r="XEB983" s="337"/>
      <c r="XEC983" s="336"/>
      <c r="XED983" s="337"/>
      <c r="XEE983" s="336"/>
      <c r="XEF983" s="337"/>
      <c r="XEG983" s="336"/>
      <c r="XEH983" s="337"/>
      <c r="XEI983" s="336"/>
      <c r="XEJ983" s="337"/>
      <c r="XEK983" s="336"/>
      <c r="XEL983" s="337"/>
      <c r="XEM983" s="336"/>
      <c r="XEN983" s="337"/>
      <c r="XEO983" s="336"/>
      <c r="XEP983" s="337"/>
      <c r="XEQ983" s="336"/>
      <c r="XER983" s="337"/>
      <c r="XES983" s="336"/>
      <c r="XET983" s="337"/>
      <c r="XEU983" s="336"/>
      <c r="XEV983" s="337"/>
      <c r="XEW983" s="336"/>
      <c r="XEX983" s="337"/>
      <c r="XEY983" s="336"/>
      <c r="XEZ983" s="337"/>
      <c r="XFA983" s="336"/>
      <c r="XFB983" s="337"/>
      <c r="XFC983" s="336"/>
      <c r="XFD983" s="337"/>
    </row>
    <row r="984" spans="1:16384" s="1" customFormat="1" ht="63.95" hidden="1">
      <c r="B984" s="48" t="s">
        <v>2101</v>
      </c>
      <c r="C984" s="115"/>
      <c r="D984" s="116" t="s">
        <v>2102</v>
      </c>
      <c r="E984" s="171" t="s">
        <v>46</v>
      </c>
      <c r="J984" s="119">
        <v>45763</v>
      </c>
      <c r="K984" s="329">
        <v>3069551</v>
      </c>
      <c r="N984" s="182" t="s">
        <v>1913</v>
      </c>
      <c r="O984" s="163" t="s">
        <v>2103</v>
      </c>
      <c r="P984" s="198" t="s">
        <v>49</v>
      </c>
      <c r="Q984" s="336"/>
      <c r="R984" s="337"/>
      <c r="S984" s="336"/>
      <c r="T984" s="337"/>
      <c r="U984" s="336"/>
      <c r="V984" s="337"/>
      <c r="W984" s="336"/>
      <c r="X984" s="337"/>
      <c r="Y984" s="336"/>
      <c r="Z984" s="337"/>
      <c r="AA984" s="336"/>
      <c r="AB984" s="337"/>
      <c r="AC984" s="336"/>
      <c r="AD984" s="337"/>
      <c r="AE984" s="336"/>
      <c r="AF984" s="337"/>
      <c r="AG984" s="336"/>
      <c r="AH984" s="337"/>
      <c r="AI984" s="336"/>
      <c r="AJ984" s="337"/>
      <c r="AK984" s="336"/>
      <c r="AL984" s="337"/>
      <c r="AM984" s="336"/>
      <c r="AN984" s="337"/>
      <c r="AO984" s="336"/>
      <c r="AP984" s="337"/>
      <c r="AQ984" s="336"/>
      <c r="AR984" s="337"/>
      <c r="AS984" s="336"/>
      <c r="AT984" s="337"/>
      <c r="AU984" s="336"/>
      <c r="AV984" s="337"/>
      <c r="AW984" s="336"/>
      <c r="AX984" s="337"/>
      <c r="AY984" s="336"/>
      <c r="AZ984" s="337"/>
      <c r="BA984" s="336"/>
      <c r="BB984" s="337"/>
      <c r="BC984" s="336"/>
      <c r="BD984" s="337"/>
      <c r="BE984" s="336"/>
      <c r="BF984" s="337"/>
      <c r="BG984" s="336"/>
      <c r="BH984" s="337"/>
      <c r="BI984" s="336"/>
      <c r="BJ984" s="337"/>
      <c r="BK984" s="336"/>
      <c r="BL984" s="337"/>
      <c r="BM984" s="336"/>
      <c r="BN984" s="337"/>
      <c r="BO984" s="336"/>
      <c r="BP984" s="337"/>
      <c r="BQ984" s="336"/>
      <c r="BR984" s="337"/>
      <c r="BS984" s="336"/>
      <c r="BT984" s="337"/>
      <c r="BU984" s="336"/>
      <c r="BV984" s="337"/>
      <c r="BW984" s="336"/>
      <c r="BX984" s="337"/>
      <c r="BY984" s="336"/>
      <c r="BZ984" s="337"/>
      <c r="CA984" s="336"/>
      <c r="CB984" s="337"/>
      <c r="CC984" s="336"/>
      <c r="CD984" s="337"/>
      <c r="CE984" s="336"/>
      <c r="CF984" s="337"/>
      <c r="CG984" s="336"/>
      <c r="CH984" s="337"/>
      <c r="CI984" s="336"/>
      <c r="CJ984" s="337"/>
      <c r="CK984" s="336"/>
      <c r="CL984" s="337"/>
      <c r="CM984" s="336"/>
      <c r="CN984" s="337"/>
      <c r="CO984" s="336"/>
      <c r="CP984" s="337"/>
      <c r="CQ984" s="336"/>
      <c r="CR984" s="337"/>
      <c r="CS984" s="336"/>
      <c r="CT984" s="337"/>
      <c r="CU984" s="336"/>
      <c r="CV984" s="337"/>
      <c r="CW984" s="336"/>
      <c r="CX984" s="337"/>
      <c r="CY984" s="336"/>
      <c r="CZ984" s="337"/>
      <c r="DA984" s="336"/>
      <c r="DB984" s="337"/>
      <c r="DC984" s="336"/>
      <c r="DD984" s="337"/>
      <c r="DE984" s="336"/>
      <c r="DF984" s="337"/>
      <c r="DG984" s="336"/>
      <c r="DH984" s="337"/>
      <c r="DI984" s="336"/>
      <c r="DJ984" s="337"/>
      <c r="DK984" s="336"/>
      <c r="DL984" s="337"/>
      <c r="DM984" s="336"/>
      <c r="DN984" s="337"/>
      <c r="DO984" s="336"/>
      <c r="DP984" s="337"/>
      <c r="DQ984" s="336"/>
      <c r="DR984" s="337"/>
      <c r="DS984" s="336"/>
      <c r="DT984" s="337"/>
      <c r="DU984" s="336"/>
      <c r="DV984" s="337"/>
      <c r="DW984" s="336"/>
      <c r="DX984" s="337"/>
      <c r="DY984" s="336"/>
      <c r="DZ984" s="337"/>
      <c r="EA984" s="336"/>
      <c r="EB984" s="337"/>
      <c r="EC984" s="336"/>
      <c r="ED984" s="337"/>
      <c r="EE984" s="336"/>
      <c r="EF984" s="337"/>
      <c r="EG984" s="336"/>
      <c r="EH984" s="337"/>
      <c r="EI984" s="336"/>
      <c r="EJ984" s="337"/>
      <c r="EK984" s="336"/>
      <c r="EL984" s="337"/>
      <c r="EM984" s="336"/>
      <c r="EN984" s="337"/>
      <c r="EO984" s="336"/>
      <c r="EP984" s="337"/>
      <c r="EQ984" s="336"/>
      <c r="ER984" s="337"/>
      <c r="ES984" s="336"/>
      <c r="ET984" s="337"/>
      <c r="EU984" s="336"/>
      <c r="EV984" s="337"/>
      <c r="EW984" s="336"/>
      <c r="EX984" s="337"/>
      <c r="EY984" s="336"/>
      <c r="EZ984" s="337"/>
      <c r="FA984" s="336"/>
      <c r="FB984" s="337"/>
      <c r="FC984" s="336"/>
      <c r="FD984" s="337"/>
      <c r="FE984" s="336"/>
      <c r="FF984" s="337"/>
      <c r="FG984" s="336"/>
      <c r="FH984" s="337"/>
      <c r="FI984" s="336"/>
      <c r="FJ984" s="337"/>
      <c r="FK984" s="336"/>
      <c r="FL984" s="337"/>
      <c r="FM984" s="336"/>
      <c r="FN984" s="337"/>
      <c r="FO984" s="336"/>
      <c r="FP984" s="337"/>
      <c r="FQ984" s="336"/>
      <c r="FR984" s="337"/>
      <c r="FS984" s="336"/>
      <c r="FT984" s="337"/>
      <c r="FU984" s="336"/>
      <c r="FV984" s="337"/>
      <c r="FW984" s="336"/>
      <c r="FX984" s="337"/>
      <c r="FY984" s="336"/>
      <c r="FZ984" s="337"/>
      <c r="GA984" s="336"/>
      <c r="GB984" s="337"/>
      <c r="GC984" s="336"/>
      <c r="GD984" s="337"/>
      <c r="GE984" s="336"/>
      <c r="GF984" s="337"/>
      <c r="GG984" s="336"/>
      <c r="GH984" s="337"/>
      <c r="GI984" s="336"/>
      <c r="GJ984" s="337"/>
      <c r="GK984" s="336"/>
      <c r="GL984" s="337"/>
      <c r="GM984" s="336"/>
      <c r="GN984" s="337"/>
      <c r="GO984" s="336"/>
      <c r="GP984" s="337"/>
      <c r="GQ984" s="336"/>
      <c r="GR984" s="337"/>
      <c r="GS984" s="336"/>
      <c r="GT984" s="337"/>
      <c r="GU984" s="336"/>
      <c r="GV984" s="337"/>
      <c r="GW984" s="336"/>
      <c r="GX984" s="337"/>
      <c r="GY984" s="336"/>
      <c r="GZ984" s="337"/>
      <c r="HA984" s="336"/>
      <c r="HB984" s="337"/>
      <c r="HC984" s="336"/>
      <c r="HD984" s="337"/>
      <c r="HE984" s="336"/>
      <c r="HF984" s="337"/>
      <c r="HG984" s="336"/>
      <c r="HH984" s="337"/>
      <c r="HI984" s="336"/>
      <c r="HJ984" s="337"/>
      <c r="HK984" s="336"/>
      <c r="HL984" s="337"/>
      <c r="HM984" s="336"/>
      <c r="HN984" s="337"/>
      <c r="HO984" s="336"/>
      <c r="HP984" s="337"/>
      <c r="HQ984" s="336"/>
      <c r="HR984" s="337"/>
      <c r="HS984" s="336"/>
      <c r="HT984" s="337"/>
      <c r="HU984" s="336"/>
      <c r="HV984" s="337"/>
      <c r="HW984" s="336"/>
      <c r="HX984" s="337"/>
      <c r="HY984" s="336"/>
      <c r="HZ984" s="337"/>
      <c r="IA984" s="336"/>
      <c r="IB984" s="337"/>
      <c r="IC984" s="336"/>
      <c r="ID984" s="337"/>
      <c r="IE984" s="336"/>
      <c r="IF984" s="337"/>
      <c r="IG984" s="336"/>
      <c r="IH984" s="337"/>
      <c r="II984" s="336"/>
      <c r="IJ984" s="337"/>
      <c r="IK984" s="336"/>
      <c r="IL984" s="337"/>
      <c r="IM984" s="336"/>
      <c r="IN984" s="337"/>
      <c r="IO984" s="336"/>
      <c r="IP984" s="337"/>
      <c r="IQ984" s="336"/>
      <c r="IR984" s="337"/>
      <c r="IS984" s="336"/>
      <c r="IT984" s="337"/>
      <c r="IU984" s="336"/>
      <c r="IV984" s="337"/>
      <c r="IW984" s="336"/>
      <c r="IX984" s="337"/>
      <c r="IY984" s="336"/>
      <c r="IZ984" s="337"/>
      <c r="JA984" s="336"/>
      <c r="JB984" s="337"/>
      <c r="JC984" s="336"/>
      <c r="JD984" s="337"/>
      <c r="JE984" s="336"/>
      <c r="JF984" s="337"/>
      <c r="JG984" s="336"/>
      <c r="JH984" s="337"/>
      <c r="JI984" s="336"/>
      <c r="JJ984" s="337"/>
      <c r="JK984" s="336"/>
      <c r="JL984" s="337"/>
      <c r="JM984" s="336"/>
      <c r="JN984" s="337"/>
      <c r="JO984" s="336"/>
      <c r="JP984" s="337"/>
      <c r="JQ984" s="336"/>
      <c r="JR984" s="337"/>
      <c r="JS984" s="336"/>
      <c r="JT984" s="337"/>
      <c r="JU984" s="336"/>
      <c r="JV984" s="337"/>
      <c r="JW984" s="336"/>
      <c r="JX984" s="337"/>
      <c r="JY984" s="336"/>
      <c r="JZ984" s="337"/>
      <c r="KA984" s="336"/>
      <c r="KB984" s="337"/>
      <c r="KC984" s="336"/>
      <c r="KD984" s="337"/>
      <c r="KE984" s="336"/>
      <c r="KF984" s="337"/>
      <c r="KG984" s="336"/>
      <c r="KH984" s="337"/>
      <c r="KI984" s="336"/>
      <c r="KJ984" s="337"/>
      <c r="KK984" s="336"/>
      <c r="KL984" s="337"/>
      <c r="KM984" s="336"/>
      <c r="KN984" s="337"/>
      <c r="KO984" s="336"/>
      <c r="KP984" s="337"/>
      <c r="KQ984" s="336"/>
      <c r="KR984" s="337"/>
      <c r="KS984" s="336"/>
      <c r="KT984" s="337"/>
      <c r="KU984" s="336"/>
      <c r="KV984" s="337"/>
      <c r="KW984" s="336"/>
      <c r="KX984" s="337"/>
      <c r="KY984" s="336"/>
      <c r="KZ984" s="337"/>
      <c r="LA984" s="336"/>
      <c r="LB984" s="337"/>
      <c r="LC984" s="336"/>
      <c r="LD984" s="337"/>
      <c r="LE984" s="336"/>
      <c r="LF984" s="337"/>
      <c r="LG984" s="336"/>
      <c r="LH984" s="337"/>
      <c r="LI984" s="336"/>
      <c r="LJ984" s="337"/>
      <c r="LK984" s="336"/>
      <c r="LL984" s="337"/>
      <c r="LM984" s="336"/>
      <c r="LN984" s="337"/>
      <c r="LO984" s="336"/>
      <c r="LP984" s="337"/>
      <c r="LQ984" s="336"/>
      <c r="LR984" s="337"/>
      <c r="LS984" s="336"/>
      <c r="LT984" s="337"/>
      <c r="LU984" s="336"/>
      <c r="LV984" s="337"/>
      <c r="LW984" s="336"/>
      <c r="LX984" s="337"/>
      <c r="LY984" s="336"/>
      <c r="LZ984" s="337"/>
      <c r="MA984" s="336"/>
      <c r="MB984" s="337"/>
      <c r="MC984" s="336"/>
      <c r="MD984" s="337"/>
      <c r="ME984" s="336"/>
      <c r="MF984" s="337"/>
      <c r="MG984" s="336"/>
      <c r="MH984" s="337"/>
      <c r="MI984" s="336"/>
      <c r="MJ984" s="337"/>
      <c r="MK984" s="336"/>
      <c r="ML984" s="337"/>
      <c r="MM984" s="336"/>
      <c r="MN984" s="337"/>
      <c r="MO984" s="336"/>
      <c r="MP984" s="337"/>
      <c r="MQ984" s="336"/>
      <c r="MR984" s="337"/>
      <c r="MS984" s="336"/>
      <c r="MT984" s="337"/>
      <c r="MU984" s="336"/>
      <c r="MV984" s="337"/>
      <c r="MW984" s="336"/>
      <c r="MX984" s="337"/>
      <c r="MY984" s="336"/>
      <c r="MZ984" s="337"/>
      <c r="NA984" s="336"/>
      <c r="NB984" s="337"/>
      <c r="NC984" s="336"/>
      <c r="ND984" s="337"/>
      <c r="NE984" s="336"/>
      <c r="NF984" s="337"/>
      <c r="NG984" s="336"/>
      <c r="NH984" s="337"/>
      <c r="NI984" s="336"/>
      <c r="NJ984" s="337"/>
      <c r="NK984" s="336"/>
      <c r="NL984" s="337"/>
      <c r="NM984" s="336"/>
      <c r="NN984" s="337"/>
      <c r="NO984" s="336"/>
      <c r="NP984" s="337"/>
      <c r="NQ984" s="336"/>
      <c r="NR984" s="337"/>
      <c r="NS984" s="336"/>
      <c r="NT984" s="337"/>
      <c r="NU984" s="336"/>
      <c r="NV984" s="337"/>
      <c r="NW984" s="336"/>
      <c r="NX984" s="337"/>
      <c r="NY984" s="336"/>
      <c r="NZ984" s="337"/>
      <c r="OA984" s="336"/>
      <c r="OB984" s="337"/>
      <c r="OC984" s="336"/>
      <c r="OD984" s="337"/>
      <c r="OE984" s="336"/>
      <c r="OF984" s="337"/>
      <c r="OG984" s="336"/>
      <c r="OH984" s="337"/>
      <c r="OI984" s="336"/>
      <c r="OJ984" s="337"/>
      <c r="OK984" s="336"/>
      <c r="OL984" s="337"/>
      <c r="OM984" s="336"/>
      <c r="ON984" s="337"/>
      <c r="OO984" s="336"/>
      <c r="OP984" s="337"/>
      <c r="OQ984" s="336"/>
      <c r="OR984" s="337"/>
      <c r="OS984" s="336"/>
      <c r="OT984" s="337"/>
      <c r="OU984" s="336"/>
      <c r="OV984" s="337"/>
      <c r="OW984" s="336"/>
      <c r="OX984" s="337"/>
      <c r="OY984" s="336"/>
      <c r="OZ984" s="337"/>
      <c r="PA984" s="336"/>
      <c r="PB984" s="337"/>
      <c r="PC984" s="336"/>
      <c r="PD984" s="337"/>
      <c r="PE984" s="336"/>
      <c r="PF984" s="337"/>
      <c r="PG984" s="336"/>
      <c r="PH984" s="337"/>
      <c r="PI984" s="336"/>
      <c r="PJ984" s="337"/>
      <c r="PK984" s="336"/>
      <c r="PL984" s="337"/>
      <c r="PM984" s="336"/>
      <c r="PN984" s="337"/>
      <c r="PO984" s="336"/>
      <c r="PP984" s="337"/>
      <c r="PQ984" s="336"/>
      <c r="PR984" s="337"/>
      <c r="PS984" s="336"/>
      <c r="PT984" s="337"/>
      <c r="PU984" s="336"/>
      <c r="PV984" s="337"/>
      <c r="PW984" s="336"/>
      <c r="PX984" s="337"/>
      <c r="PY984" s="336"/>
      <c r="PZ984" s="337"/>
      <c r="QA984" s="336"/>
      <c r="QB984" s="337"/>
      <c r="QC984" s="336"/>
      <c r="QD984" s="337"/>
      <c r="QE984" s="336"/>
      <c r="QF984" s="337"/>
      <c r="QG984" s="336"/>
      <c r="QH984" s="337"/>
      <c r="QI984" s="336"/>
      <c r="QJ984" s="337"/>
      <c r="QK984" s="336"/>
      <c r="QL984" s="337"/>
      <c r="QM984" s="336"/>
      <c r="QN984" s="337"/>
      <c r="QO984" s="336"/>
      <c r="QP984" s="337"/>
      <c r="QQ984" s="336"/>
      <c r="QR984" s="337"/>
      <c r="QS984" s="336"/>
      <c r="QT984" s="337"/>
      <c r="QU984" s="336"/>
      <c r="QV984" s="337"/>
      <c r="QW984" s="336"/>
      <c r="QX984" s="337"/>
      <c r="QY984" s="336"/>
      <c r="QZ984" s="337"/>
      <c r="RA984" s="336"/>
      <c r="RB984" s="337"/>
      <c r="RC984" s="336"/>
      <c r="RD984" s="337"/>
      <c r="RE984" s="336"/>
      <c r="RF984" s="337"/>
      <c r="RG984" s="336"/>
      <c r="RH984" s="337"/>
      <c r="RI984" s="336"/>
      <c r="RJ984" s="337"/>
      <c r="RK984" s="336"/>
      <c r="RL984" s="337"/>
      <c r="RM984" s="336"/>
      <c r="RN984" s="337"/>
      <c r="RO984" s="336"/>
      <c r="RP984" s="337"/>
      <c r="RQ984" s="336"/>
      <c r="RR984" s="337"/>
      <c r="RS984" s="336"/>
      <c r="RT984" s="337"/>
      <c r="RU984" s="336"/>
      <c r="RV984" s="337"/>
      <c r="RW984" s="336"/>
      <c r="RX984" s="337"/>
      <c r="RY984" s="336"/>
      <c r="RZ984" s="337"/>
      <c r="SA984" s="336"/>
      <c r="SB984" s="337"/>
      <c r="SC984" s="336"/>
      <c r="SD984" s="337"/>
      <c r="SE984" s="336"/>
      <c r="SF984" s="337"/>
      <c r="SG984" s="336"/>
      <c r="SH984" s="337"/>
      <c r="SI984" s="336"/>
      <c r="SJ984" s="337"/>
      <c r="SK984" s="336"/>
      <c r="SL984" s="337"/>
      <c r="SM984" s="336"/>
      <c r="SN984" s="337"/>
      <c r="SO984" s="336"/>
      <c r="SP984" s="337"/>
      <c r="SQ984" s="336"/>
      <c r="SR984" s="337"/>
      <c r="SS984" s="336"/>
      <c r="ST984" s="337"/>
      <c r="SU984" s="336"/>
      <c r="SV984" s="337"/>
      <c r="SW984" s="336"/>
      <c r="SX984" s="337"/>
      <c r="SY984" s="336"/>
      <c r="SZ984" s="337"/>
      <c r="TA984" s="336"/>
      <c r="TB984" s="337"/>
      <c r="TC984" s="336"/>
      <c r="TD984" s="337"/>
      <c r="TE984" s="336"/>
      <c r="TF984" s="337"/>
      <c r="TG984" s="336"/>
      <c r="TH984" s="337"/>
      <c r="TI984" s="336"/>
      <c r="TJ984" s="337"/>
      <c r="TK984" s="336"/>
      <c r="TL984" s="337"/>
      <c r="TM984" s="336"/>
      <c r="TN984" s="337"/>
      <c r="TO984" s="336"/>
      <c r="TP984" s="337"/>
      <c r="TQ984" s="336"/>
      <c r="TR984" s="337"/>
      <c r="TS984" s="336"/>
      <c r="TT984" s="337"/>
      <c r="TU984" s="336"/>
      <c r="TV984" s="337"/>
      <c r="TW984" s="336"/>
      <c r="TX984" s="337"/>
      <c r="TY984" s="336"/>
      <c r="TZ984" s="337"/>
      <c r="UA984" s="336"/>
      <c r="UB984" s="337"/>
      <c r="UC984" s="336"/>
      <c r="UD984" s="337"/>
      <c r="UE984" s="336"/>
      <c r="UF984" s="337"/>
      <c r="UG984" s="336"/>
      <c r="UH984" s="337"/>
      <c r="UI984" s="336"/>
      <c r="UJ984" s="337"/>
      <c r="UK984" s="336"/>
      <c r="UL984" s="337"/>
      <c r="UM984" s="336"/>
      <c r="UN984" s="337"/>
      <c r="UO984" s="336"/>
      <c r="UP984" s="337"/>
      <c r="UQ984" s="336"/>
      <c r="UR984" s="337"/>
      <c r="US984" s="336"/>
      <c r="UT984" s="337"/>
      <c r="UU984" s="336"/>
      <c r="UV984" s="337"/>
      <c r="UW984" s="336"/>
      <c r="UX984" s="337"/>
      <c r="UY984" s="336"/>
      <c r="UZ984" s="337"/>
      <c r="VA984" s="336"/>
      <c r="VB984" s="337"/>
      <c r="VC984" s="336"/>
      <c r="VD984" s="337"/>
      <c r="VE984" s="336"/>
      <c r="VF984" s="337"/>
      <c r="VG984" s="336"/>
      <c r="VH984" s="337"/>
      <c r="VI984" s="336"/>
      <c r="VJ984" s="337"/>
      <c r="VK984" s="336"/>
      <c r="VL984" s="337"/>
      <c r="VM984" s="336"/>
      <c r="VN984" s="337"/>
      <c r="VO984" s="336"/>
      <c r="VP984" s="337"/>
      <c r="VQ984" s="336"/>
      <c r="VR984" s="337"/>
      <c r="VS984" s="336"/>
      <c r="VT984" s="337"/>
      <c r="VU984" s="336"/>
      <c r="VV984" s="337"/>
      <c r="VW984" s="336"/>
      <c r="VX984" s="337"/>
      <c r="VY984" s="336"/>
      <c r="VZ984" s="337"/>
      <c r="WA984" s="336"/>
      <c r="WB984" s="337"/>
      <c r="WC984" s="336"/>
      <c r="WD984" s="337"/>
      <c r="WE984" s="336"/>
      <c r="WF984" s="337"/>
      <c r="WG984" s="336"/>
      <c r="WH984" s="337"/>
      <c r="WI984" s="336"/>
      <c r="WJ984" s="337"/>
      <c r="WK984" s="336"/>
      <c r="WL984" s="337"/>
      <c r="WM984" s="336"/>
      <c r="WN984" s="337"/>
      <c r="WO984" s="336"/>
      <c r="WP984" s="337"/>
      <c r="WQ984" s="336"/>
      <c r="WR984" s="337"/>
      <c r="WS984" s="336"/>
      <c r="WT984" s="337"/>
      <c r="WU984" s="336"/>
      <c r="WV984" s="337"/>
      <c r="WW984" s="336"/>
      <c r="WX984" s="337"/>
      <c r="WY984" s="336"/>
      <c r="WZ984" s="337"/>
      <c r="XA984" s="336"/>
      <c r="XB984" s="337"/>
      <c r="XC984" s="336"/>
      <c r="XD984" s="337"/>
      <c r="XE984" s="336"/>
      <c r="XF984" s="337"/>
      <c r="XG984" s="336"/>
      <c r="XH984" s="337"/>
      <c r="XI984" s="336"/>
      <c r="XJ984" s="337"/>
      <c r="XK984" s="336"/>
      <c r="XL984" s="337"/>
      <c r="XM984" s="336"/>
      <c r="XN984" s="337"/>
      <c r="XO984" s="336"/>
      <c r="XP984" s="337"/>
      <c r="XQ984" s="336"/>
      <c r="XR984" s="337"/>
      <c r="XS984" s="336"/>
      <c r="XT984" s="337"/>
      <c r="XU984" s="336"/>
      <c r="XV984" s="337"/>
      <c r="XW984" s="336"/>
      <c r="XX984" s="337"/>
      <c r="XY984" s="336"/>
      <c r="XZ984" s="337"/>
      <c r="YA984" s="336"/>
      <c r="YB984" s="337"/>
      <c r="YC984" s="336"/>
      <c r="YD984" s="337"/>
      <c r="YE984" s="336"/>
      <c r="YF984" s="337"/>
      <c r="YG984" s="336"/>
      <c r="YH984" s="337"/>
      <c r="YI984" s="336"/>
      <c r="YJ984" s="337"/>
      <c r="YK984" s="336"/>
      <c r="YL984" s="337"/>
      <c r="YM984" s="336"/>
      <c r="YN984" s="337"/>
      <c r="YO984" s="336"/>
      <c r="YP984" s="337"/>
      <c r="YQ984" s="336"/>
      <c r="YR984" s="337"/>
      <c r="YS984" s="336"/>
      <c r="YT984" s="337"/>
      <c r="YU984" s="336"/>
      <c r="YV984" s="337"/>
      <c r="YW984" s="336"/>
      <c r="YX984" s="337"/>
      <c r="YY984" s="336"/>
      <c r="YZ984" s="337"/>
      <c r="ZA984" s="336"/>
      <c r="ZB984" s="337"/>
      <c r="ZC984" s="336"/>
      <c r="ZD984" s="337"/>
      <c r="ZE984" s="336"/>
      <c r="ZF984" s="337"/>
      <c r="ZG984" s="336"/>
      <c r="ZH984" s="337"/>
      <c r="ZI984" s="336"/>
      <c r="ZJ984" s="337"/>
      <c r="ZK984" s="336"/>
      <c r="ZL984" s="337"/>
      <c r="ZM984" s="336"/>
      <c r="ZN984" s="337"/>
      <c r="ZO984" s="336"/>
      <c r="ZP984" s="337"/>
      <c r="ZQ984" s="336"/>
      <c r="ZR984" s="337"/>
      <c r="ZS984" s="336"/>
      <c r="ZT984" s="337"/>
      <c r="ZU984" s="336"/>
      <c r="ZV984" s="337"/>
      <c r="ZW984" s="336"/>
      <c r="ZX984" s="337"/>
      <c r="ZY984" s="336"/>
      <c r="ZZ984" s="337"/>
      <c r="AAA984" s="336"/>
      <c r="AAB984" s="337"/>
      <c r="AAC984" s="336"/>
      <c r="AAD984" s="337"/>
      <c r="AAE984" s="336"/>
      <c r="AAF984" s="337"/>
      <c r="AAG984" s="336"/>
      <c r="AAH984" s="337"/>
      <c r="AAI984" s="336"/>
      <c r="AAJ984" s="337"/>
      <c r="AAK984" s="336"/>
      <c r="AAL984" s="337"/>
      <c r="AAM984" s="336"/>
      <c r="AAN984" s="337"/>
      <c r="AAO984" s="336"/>
      <c r="AAP984" s="337"/>
      <c r="AAQ984" s="336"/>
      <c r="AAR984" s="337"/>
      <c r="AAS984" s="336"/>
      <c r="AAT984" s="337"/>
      <c r="AAU984" s="336"/>
      <c r="AAV984" s="337"/>
      <c r="AAW984" s="336"/>
      <c r="AAX984" s="337"/>
      <c r="AAY984" s="336"/>
      <c r="AAZ984" s="337"/>
      <c r="ABA984" s="336"/>
      <c r="ABB984" s="337"/>
      <c r="ABC984" s="336"/>
      <c r="ABD984" s="337"/>
      <c r="ABE984" s="336"/>
      <c r="ABF984" s="337"/>
      <c r="ABG984" s="336"/>
      <c r="ABH984" s="337"/>
      <c r="ABI984" s="336"/>
      <c r="ABJ984" s="337"/>
      <c r="ABK984" s="336"/>
      <c r="ABL984" s="337"/>
      <c r="ABM984" s="336"/>
      <c r="ABN984" s="337"/>
      <c r="ABO984" s="336"/>
      <c r="ABP984" s="337"/>
      <c r="ABQ984" s="336"/>
      <c r="ABR984" s="337"/>
      <c r="ABS984" s="336"/>
      <c r="ABT984" s="337"/>
      <c r="ABU984" s="336"/>
      <c r="ABV984" s="337"/>
      <c r="ABW984" s="336"/>
      <c r="ABX984" s="337"/>
      <c r="ABY984" s="336"/>
      <c r="ABZ984" s="337"/>
      <c r="ACA984" s="336"/>
      <c r="ACB984" s="337"/>
      <c r="ACC984" s="336"/>
      <c r="ACD984" s="337"/>
      <c r="ACE984" s="336"/>
      <c r="ACF984" s="337"/>
      <c r="ACG984" s="336"/>
      <c r="ACH984" s="337"/>
      <c r="ACI984" s="336"/>
      <c r="ACJ984" s="337"/>
      <c r="ACK984" s="336"/>
      <c r="ACL984" s="337"/>
      <c r="ACM984" s="336"/>
      <c r="ACN984" s="337"/>
      <c r="ACO984" s="336"/>
      <c r="ACP984" s="337"/>
      <c r="ACQ984" s="336"/>
      <c r="ACR984" s="337"/>
      <c r="ACS984" s="336"/>
      <c r="ACT984" s="337"/>
      <c r="ACU984" s="336"/>
      <c r="ACV984" s="337"/>
      <c r="ACW984" s="336"/>
      <c r="ACX984" s="337"/>
      <c r="ACY984" s="336"/>
      <c r="ACZ984" s="337"/>
      <c r="ADA984" s="336"/>
      <c r="ADB984" s="337"/>
      <c r="ADC984" s="336"/>
      <c r="ADD984" s="337"/>
      <c r="ADE984" s="336"/>
      <c r="ADF984" s="337"/>
      <c r="ADG984" s="336"/>
      <c r="ADH984" s="337"/>
      <c r="ADI984" s="336"/>
      <c r="ADJ984" s="337"/>
      <c r="ADK984" s="336"/>
      <c r="ADL984" s="337"/>
      <c r="ADM984" s="336"/>
      <c r="ADN984" s="337"/>
      <c r="ADO984" s="336"/>
      <c r="ADP984" s="337"/>
      <c r="ADQ984" s="336"/>
      <c r="ADR984" s="337"/>
      <c r="ADS984" s="336"/>
      <c r="ADT984" s="337"/>
      <c r="ADU984" s="336"/>
      <c r="ADV984" s="337"/>
      <c r="ADW984" s="336"/>
      <c r="ADX984" s="337"/>
      <c r="ADY984" s="336"/>
      <c r="ADZ984" s="337"/>
      <c r="AEA984" s="336"/>
      <c r="AEB984" s="337"/>
      <c r="AEC984" s="336"/>
      <c r="AED984" s="337"/>
      <c r="AEE984" s="336"/>
      <c r="AEF984" s="337"/>
      <c r="AEG984" s="336"/>
      <c r="AEH984" s="337"/>
      <c r="AEI984" s="336"/>
      <c r="AEJ984" s="337"/>
      <c r="AEK984" s="336"/>
      <c r="AEL984" s="337"/>
      <c r="AEM984" s="336"/>
      <c r="AEN984" s="337"/>
      <c r="AEO984" s="336"/>
      <c r="AEP984" s="337"/>
      <c r="AEQ984" s="336"/>
      <c r="AER984" s="337"/>
      <c r="AES984" s="336"/>
      <c r="AET984" s="337"/>
      <c r="AEU984" s="336"/>
      <c r="AEV984" s="337"/>
      <c r="AEW984" s="336"/>
      <c r="AEX984" s="337"/>
      <c r="AEY984" s="336"/>
      <c r="AEZ984" s="337"/>
      <c r="AFA984" s="336"/>
      <c r="AFB984" s="337"/>
      <c r="AFC984" s="336"/>
      <c r="AFD984" s="337"/>
      <c r="AFE984" s="336"/>
      <c r="AFF984" s="337"/>
      <c r="AFG984" s="336"/>
      <c r="AFH984" s="337"/>
      <c r="AFI984" s="336"/>
      <c r="AFJ984" s="337"/>
      <c r="AFK984" s="336"/>
      <c r="AFL984" s="337"/>
      <c r="AFM984" s="336"/>
      <c r="AFN984" s="337"/>
      <c r="AFO984" s="336"/>
      <c r="AFP984" s="337"/>
      <c r="AFQ984" s="336"/>
      <c r="AFR984" s="337"/>
      <c r="AFS984" s="336"/>
      <c r="AFT984" s="337"/>
      <c r="AFU984" s="336"/>
      <c r="AFV984" s="337"/>
      <c r="AFW984" s="336"/>
      <c r="AFX984" s="337"/>
      <c r="AFY984" s="336"/>
      <c r="AFZ984" s="337"/>
      <c r="AGA984" s="336"/>
      <c r="AGB984" s="337"/>
      <c r="AGC984" s="336"/>
      <c r="AGD984" s="337"/>
      <c r="AGE984" s="336"/>
      <c r="AGF984" s="337"/>
      <c r="AGG984" s="336"/>
      <c r="AGH984" s="337"/>
      <c r="AGI984" s="336"/>
      <c r="AGJ984" s="337"/>
      <c r="AGK984" s="336"/>
      <c r="AGL984" s="337"/>
      <c r="AGM984" s="336"/>
      <c r="AGN984" s="337"/>
      <c r="AGO984" s="336"/>
      <c r="AGP984" s="337"/>
      <c r="AGQ984" s="336"/>
      <c r="AGR984" s="337"/>
      <c r="AGS984" s="336"/>
      <c r="AGT984" s="337"/>
      <c r="AGU984" s="336"/>
      <c r="AGV984" s="337"/>
      <c r="AGW984" s="336"/>
      <c r="AGX984" s="337"/>
      <c r="AGY984" s="336"/>
      <c r="AGZ984" s="337"/>
      <c r="AHA984" s="336"/>
      <c r="AHB984" s="337"/>
      <c r="AHC984" s="336"/>
      <c r="AHD984" s="337"/>
      <c r="AHE984" s="336"/>
      <c r="AHF984" s="337"/>
      <c r="AHG984" s="336"/>
      <c r="AHH984" s="337"/>
      <c r="AHI984" s="336"/>
      <c r="AHJ984" s="337"/>
      <c r="AHK984" s="336"/>
      <c r="AHL984" s="337"/>
      <c r="AHM984" s="336"/>
      <c r="AHN984" s="337"/>
      <c r="AHO984" s="336"/>
      <c r="AHP984" s="337"/>
      <c r="AHQ984" s="336"/>
      <c r="AHR984" s="337"/>
      <c r="AHS984" s="336"/>
      <c r="AHT984" s="337"/>
      <c r="AHU984" s="336"/>
      <c r="AHV984" s="337"/>
      <c r="AHW984" s="336"/>
      <c r="AHX984" s="337"/>
      <c r="AHY984" s="336"/>
      <c r="AHZ984" s="337"/>
      <c r="AIA984" s="336"/>
      <c r="AIB984" s="337"/>
      <c r="AIC984" s="336"/>
      <c r="AID984" s="337"/>
      <c r="AIE984" s="336"/>
      <c r="AIF984" s="337"/>
      <c r="AIG984" s="336"/>
      <c r="AIH984" s="337"/>
      <c r="AII984" s="336"/>
      <c r="AIJ984" s="337"/>
      <c r="AIK984" s="336"/>
      <c r="AIL984" s="337"/>
      <c r="AIM984" s="336"/>
      <c r="AIN984" s="337"/>
      <c r="AIO984" s="336"/>
      <c r="AIP984" s="337"/>
      <c r="AIQ984" s="336"/>
      <c r="AIR984" s="337"/>
      <c r="AIS984" s="336"/>
      <c r="AIT984" s="337"/>
      <c r="AIU984" s="336"/>
      <c r="AIV984" s="337"/>
      <c r="AIW984" s="336"/>
      <c r="AIX984" s="337"/>
      <c r="AIY984" s="336"/>
      <c r="AIZ984" s="337"/>
      <c r="AJA984" s="336"/>
      <c r="AJB984" s="337"/>
      <c r="AJC984" s="336"/>
      <c r="AJD984" s="337"/>
      <c r="AJE984" s="336"/>
      <c r="AJF984" s="337"/>
      <c r="AJG984" s="336"/>
      <c r="AJH984" s="337"/>
      <c r="AJI984" s="336"/>
      <c r="AJJ984" s="337"/>
      <c r="AJK984" s="336"/>
      <c r="AJL984" s="337"/>
      <c r="AJM984" s="336"/>
      <c r="AJN984" s="337"/>
      <c r="AJO984" s="336"/>
      <c r="AJP984" s="337"/>
      <c r="AJQ984" s="336"/>
      <c r="AJR984" s="337"/>
      <c r="AJS984" s="336"/>
      <c r="AJT984" s="337"/>
      <c r="AJU984" s="336"/>
      <c r="AJV984" s="337"/>
      <c r="AJW984" s="336"/>
      <c r="AJX984" s="337"/>
      <c r="AJY984" s="336"/>
      <c r="AJZ984" s="337"/>
      <c r="AKA984" s="336"/>
      <c r="AKB984" s="337"/>
      <c r="AKC984" s="336"/>
      <c r="AKD984" s="337"/>
      <c r="AKE984" s="336"/>
      <c r="AKF984" s="337"/>
      <c r="AKG984" s="336"/>
      <c r="AKH984" s="337"/>
      <c r="AKI984" s="336"/>
      <c r="AKJ984" s="337"/>
      <c r="AKK984" s="336"/>
      <c r="AKL984" s="337"/>
      <c r="AKM984" s="336"/>
      <c r="AKN984" s="337"/>
      <c r="AKO984" s="336"/>
      <c r="AKP984" s="337"/>
      <c r="AKQ984" s="336"/>
      <c r="AKR984" s="337"/>
      <c r="AKS984" s="336"/>
      <c r="AKT984" s="337"/>
      <c r="AKU984" s="336"/>
      <c r="AKV984" s="337"/>
      <c r="AKW984" s="336"/>
      <c r="AKX984" s="337"/>
      <c r="AKY984" s="336"/>
      <c r="AKZ984" s="337"/>
      <c r="ALA984" s="336"/>
      <c r="ALB984" s="337"/>
      <c r="ALC984" s="336"/>
      <c r="ALD984" s="337"/>
      <c r="ALE984" s="336"/>
      <c r="ALF984" s="337"/>
      <c r="ALG984" s="336"/>
      <c r="ALH984" s="337"/>
      <c r="ALI984" s="336"/>
      <c r="ALJ984" s="337"/>
      <c r="ALK984" s="336"/>
      <c r="ALL984" s="337"/>
      <c r="ALM984" s="336"/>
      <c r="ALN984" s="337"/>
      <c r="ALO984" s="336"/>
      <c r="ALP984" s="337"/>
      <c r="ALQ984" s="336"/>
      <c r="ALR984" s="337"/>
      <c r="ALS984" s="336"/>
      <c r="ALT984" s="337"/>
      <c r="ALU984" s="336"/>
      <c r="ALV984" s="337"/>
      <c r="ALW984" s="336"/>
      <c r="ALX984" s="337"/>
      <c r="ALY984" s="336"/>
      <c r="ALZ984" s="337"/>
      <c r="AMA984" s="336"/>
      <c r="AMB984" s="337"/>
      <c r="AMC984" s="336"/>
      <c r="AMD984" s="337"/>
      <c r="AME984" s="336"/>
      <c r="AMF984" s="337"/>
      <c r="AMG984" s="336"/>
      <c r="AMH984" s="337"/>
      <c r="AMI984" s="336"/>
      <c r="AMJ984" s="337"/>
      <c r="AMK984" s="336"/>
      <c r="AML984" s="337"/>
      <c r="AMM984" s="336"/>
      <c r="AMN984" s="337"/>
      <c r="AMO984" s="336"/>
      <c r="AMP984" s="337"/>
      <c r="AMQ984" s="336"/>
      <c r="AMR984" s="337"/>
      <c r="AMS984" s="336"/>
      <c r="AMT984" s="337"/>
      <c r="AMU984" s="336"/>
      <c r="AMV984" s="337"/>
      <c r="AMW984" s="336"/>
      <c r="AMX984" s="337"/>
      <c r="AMY984" s="336"/>
      <c r="AMZ984" s="337"/>
      <c r="ANA984" s="336"/>
      <c r="ANB984" s="337"/>
      <c r="ANC984" s="336"/>
      <c r="AND984" s="337"/>
      <c r="ANE984" s="336"/>
      <c r="ANF984" s="337"/>
      <c r="ANG984" s="336"/>
      <c r="ANH984" s="337"/>
      <c r="ANI984" s="336"/>
      <c r="ANJ984" s="337"/>
      <c r="ANK984" s="336"/>
      <c r="ANL984" s="337"/>
      <c r="ANM984" s="336"/>
      <c r="ANN984" s="337"/>
      <c r="ANO984" s="336"/>
      <c r="ANP984" s="337"/>
      <c r="ANQ984" s="336"/>
      <c r="ANR984" s="337"/>
      <c r="ANS984" s="336"/>
      <c r="ANT984" s="337"/>
      <c r="ANU984" s="336"/>
      <c r="ANV984" s="337"/>
      <c r="ANW984" s="336"/>
      <c r="ANX984" s="337"/>
      <c r="ANY984" s="336"/>
      <c r="ANZ984" s="337"/>
      <c r="AOA984" s="336"/>
      <c r="AOB984" s="337"/>
      <c r="AOC984" s="336"/>
      <c r="AOD984" s="337"/>
      <c r="AOE984" s="336"/>
      <c r="AOF984" s="337"/>
      <c r="AOG984" s="336"/>
      <c r="AOH984" s="337"/>
      <c r="AOI984" s="336"/>
      <c r="AOJ984" s="337"/>
      <c r="AOK984" s="336"/>
      <c r="AOL984" s="337"/>
      <c r="AOM984" s="336"/>
      <c r="AON984" s="337"/>
      <c r="AOO984" s="336"/>
      <c r="AOP984" s="337"/>
      <c r="AOQ984" s="336"/>
      <c r="AOR984" s="337"/>
      <c r="AOS984" s="336"/>
      <c r="AOT984" s="337"/>
      <c r="AOU984" s="336"/>
      <c r="AOV984" s="337"/>
      <c r="AOW984" s="336"/>
      <c r="AOX984" s="337"/>
      <c r="AOY984" s="336"/>
      <c r="AOZ984" s="337"/>
      <c r="APA984" s="336"/>
      <c r="APB984" s="337"/>
      <c r="APC984" s="336"/>
      <c r="APD984" s="337"/>
      <c r="APE984" s="336"/>
      <c r="APF984" s="337"/>
      <c r="APG984" s="336"/>
      <c r="APH984" s="337"/>
      <c r="API984" s="336"/>
      <c r="APJ984" s="337"/>
      <c r="APK984" s="336"/>
      <c r="APL984" s="337"/>
      <c r="APM984" s="336"/>
      <c r="APN984" s="337"/>
      <c r="APO984" s="336"/>
      <c r="APP984" s="337"/>
      <c r="APQ984" s="336"/>
      <c r="APR984" s="337"/>
      <c r="APS984" s="336"/>
      <c r="APT984" s="337"/>
      <c r="APU984" s="336"/>
      <c r="APV984" s="337"/>
      <c r="APW984" s="336"/>
      <c r="APX984" s="337"/>
      <c r="APY984" s="336"/>
      <c r="APZ984" s="337"/>
      <c r="AQA984" s="336"/>
      <c r="AQB984" s="337"/>
      <c r="AQC984" s="336"/>
      <c r="AQD984" s="337"/>
      <c r="AQE984" s="336"/>
      <c r="AQF984" s="337"/>
      <c r="AQG984" s="336"/>
      <c r="AQH984" s="337"/>
      <c r="AQI984" s="336"/>
      <c r="AQJ984" s="337"/>
      <c r="AQK984" s="336"/>
      <c r="AQL984" s="337"/>
      <c r="AQM984" s="336"/>
      <c r="AQN984" s="337"/>
      <c r="AQO984" s="336"/>
      <c r="AQP984" s="337"/>
      <c r="AQQ984" s="336"/>
      <c r="AQR984" s="337"/>
      <c r="AQS984" s="336"/>
      <c r="AQT984" s="337"/>
      <c r="AQU984" s="336"/>
      <c r="AQV984" s="337"/>
      <c r="AQW984" s="336"/>
      <c r="AQX984" s="337"/>
      <c r="AQY984" s="336"/>
      <c r="AQZ984" s="337"/>
      <c r="ARA984" s="336"/>
      <c r="ARB984" s="337"/>
      <c r="ARC984" s="336"/>
      <c r="ARD984" s="337"/>
      <c r="ARE984" s="336"/>
      <c r="ARF984" s="337"/>
      <c r="ARG984" s="336"/>
      <c r="ARH984" s="337"/>
      <c r="ARI984" s="336"/>
      <c r="ARJ984" s="337"/>
      <c r="ARK984" s="336"/>
      <c r="ARL984" s="337"/>
      <c r="ARM984" s="336"/>
      <c r="ARN984" s="337"/>
      <c r="ARO984" s="336"/>
      <c r="ARP984" s="337"/>
      <c r="ARQ984" s="336"/>
      <c r="ARR984" s="337"/>
      <c r="ARS984" s="336"/>
      <c r="ART984" s="337"/>
      <c r="ARU984" s="336"/>
      <c r="ARV984" s="337"/>
      <c r="ARW984" s="336"/>
      <c r="ARX984" s="337"/>
      <c r="ARY984" s="336"/>
      <c r="ARZ984" s="337"/>
      <c r="ASA984" s="336"/>
      <c r="ASB984" s="337"/>
      <c r="ASC984" s="336"/>
      <c r="ASD984" s="337"/>
      <c r="ASE984" s="336"/>
      <c r="ASF984" s="337"/>
      <c r="ASG984" s="336"/>
      <c r="ASH984" s="337"/>
      <c r="ASI984" s="336"/>
      <c r="ASJ984" s="337"/>
      <c r="ASK984" s="336"/>
      <c r="ASL984" s="337"/>
      <c r="ASM984" s="336"/>
      <c r="ASN984" s="337"/>
      <c r="ASO984" s="336"/>
      <c r="ASP984" s="337"/>
      <c r="ASQ984" s="336"/>
      <c r="ASR984" s="337"/>
      <c r="ASS984" s="336"/>
      <c r="AST984" s="337"/>
      <c r="ASU984" s="336"/>
      <c r="ASV984" s="337"/>
      <c r="ASW984" s="336"/>
      <c r="ASX984" s="337"/>
      <c r="ASY984" s="336"/>
      <c r="ASZ984" s="337"/>
      <c r="ATA984" s="336"/>
      <c r="ATB984" s="337"/>
      <c r="ATC984" s="336"/>
      <c r="ATD984" s="337"/>
      <c r="ATE984" s="336"/>
      <c r="ATF984" s="337"/>
      <c r="ATG984" s="336"/>
      <c r="ATH984" s="337"/>
      <c r="ATI984" s="336"/>
      <c r="ATJ984" s="337"/>
      <c r="ATK984" s="336"/>
      <c r="ATL984" s="337"/>
      <c r="ATM984" s="336"/>
      <c r="ATN984" s="337"/>
      <c r="ATO984" s="336"/>
      <c r="ATP984" s="337"/>
      <c r="ATQ984" s="336"/>
      <c r="ATR984" s="337"/>
      <c r="ATS984" s="336"/>
      <c r="ATT984" s="337"/>
      <c r="ATU984" s="336"/>
      <c r="ATV984" s="337"/>
      <c r="ATW984" s="336"/>
      <c r="ATX984" s="337"/>
      <c r="ATY984" s="336"/>
      <c r="ATZ984" s="337"/>
      <c r="AUA984" s="336"/>
      <c r="AUB984" s="337"/>
      <c r="AUC984" s="336"/>
      <c r="AUD984" s="337"/>
      <c r="AUE984" s="336"/>
      <c r="AUF984" s="337"/>
      <c r="AUG984" s="336"/>
      <c r="AUH984" s="337"/>
      <c r="AUI984" s="336"/>
      <c r="AUJ984" s="337"/>
      <c r="AUK984" s="336"/>
      <c r="AUL984" s="337"/>
      <c r="AUM984" s="336"/>
      <c r="AUN984" s="337"/>
      <c r="AUO984" s="336"/>
      <c r="AUP984" s="337"/>
      <c r="AUQ984" s="336"/>
      <c r="AUR984" s="337"/>
      <c r="AUS984" s="336"/>
      <c r="AUT984" s="337"/>
      <c r="AUU984" s="336"/>
      <c r="AUV984" s="337"/>
      <c r="AUW984" s="336"/>
      <c r="AUX984" s="337"/>
      <c r="AUY984" s="336"/>
      <c r="AUZ984" s="337"/>
      <c r="AVA984" s="336"/>
      <c r="AVB984" s="337"/>
      <c r="AVC984" s="336"/>
      <c r="AVD984" s="337"/>
      <c r="AVE984" s="336"/>
      <c r="AVF984" s="337"/>
      <c r="AVG984" s="336"/>
      <c r="AVH984" s="337"/>
      <c r="AVI984" s="336"/>
      <c r="AVJ984" s="337"/>
      <c r="AVK984" s="336"/>
      <c r="AVL984" s="337"/>
      <c r="AVM984" s="336"/>
      <c r="AVN984" s="337"/>
      <c r="AVO984" s="336"/>
      <c r="AVP984" s="337"/>
      <c r="AVQ984" s="336"/>
      <c r="AVR984" s="337"/>
      <c r="AVS984" s="336"/>
      <c r="AVT984" s="337"/>
      <c r="AVU984" s="336"/>
      <c r="AVV984" s="337"/>
      <c r="AVW984" s="336"/>
      <c r="AVX984" s="337"/>
      <c r="AVY984" s="336"/>
      <c r="AVZ984" s="337"/>
      <c r="AWA984" s="336"/>
      <c r="AWB984" s="337"/>
      <c r="AWC984" s="336"/>
      <c r="AWD984" s="337"/>
      <c r="AWE984" s="336"/>
      <c r="AWF984" s="337"/>
      <c r="AWG984" s="336"/>
      <c r="AWH984" s="337"/>
      <c r="AWI984" s="336"/>
      <c r="AWJ984" s="337"/>
      <c r="AWK984" s="336"/>
      <c r="AWL984" s="337"/>
      <c r="AWM984" s="336"/>
      <c r="AWN984" s="337"/>
      <c r="AWO984" s="336"/>
      <c r="AWP984" s="337"/>
      <c r="AWQ984" s="336"/>
      <c r="AWR984" s="337"/>
      <c r="AWS984" s="336"/>
      <c r="AWT984" s="337"/>
      <c r="AWU984" s="336"/>
      <c r="AWV984" s="337"/>
      <c r="AWW984" s="336"/>
      <c r="AWX984" s="337"/>
      <c r="AWY984" s="336"/>
      <c r="AWZ984" s="337"/>
      <c r="AXA984" s="336"/>
      <c r="AXB984" s="337"/>
      <c r="AXC984" s="336"/>
      <c r="AXD984" s="337"/>
      <c r="AXE984" s="336"/>
      <c r="AXF984" s="337"/>
      <c r="AXG984" s="336"/>
      <c r="AXH984" s="337"/>
      <c r="AXI984" s="336"/>
      <c r="AXJ984" s="337"/>
      <c r="AXK984" s="336"/>
      <c r="AXL984" s="337"/>
      <c r="AXM984" s="336"/>
      <c r="AXN984" s="337"/>
      <c r="AXO984" s="336"/>
      <c r="AXP984" s="337"/>
      <c r="AXQ984" s="336"/>
      <c r="AXR984" s="337"/>
      <c r="AXS984" s="336"/>
      <c r="AXT984" s="337"/>
      <c r="AXU984" s="336"/>
      <c r="AXV984" s="337"/>
      <c r="AXW984" s="336"/>
      <c r="AXX984" s="337"/>
      <c r="AXY984" s="336"/>
      <c r="AXZ984" s="337"/>
      <c r="AYA984" s="336"/>
      <c r="AYB984" s="337"/>
      <c r="AYC984" s="336"/>
      <c r="AYD984" s="337"/>
      <c r="AYE984" s="336"/>
      <c r="AYF984" s="337"/>
      <c r="AYG984" s="336"/>
      <c r="AYH984" s="337"/>
      <c r="AYI984" s="336"/>
      <c r="AYJ984" s="337"/>
      <c r="AYK984" s="336"/>
      <c r="AYL984" s="337"/>
      <c r="AYM984" s="336"/>
      <c r="AYN984" s="337"/>
      <c r="AYO984" s="336"/>
      <c r="AYP984" s="337"/>
      <c r="AYQ984" s="336"/>
      <c r="AYR984" s="337"/>
      <c r="AYS984" s="336"/>
      <c r="AYT984" s="337"/>
      <c r="AYU984" s="336"/>
      <c r="AYV984" s="337"/>
      <c r="AYW984" s="336"/>
      <c r="AYX984" s="337"/>
      <c r="AYY984" s="336"/>
      <c r="AYZ984" s="337"/>
      <c r="AZA984" s="336"/>
      <c r="AZB984" s="337"/>
      <c r="AZC984" s="336"/>
      <c r="AZD984" s="337"/>
      <c r="AZE984" s="336"/>
      <c r="AZF984" s="337"/>
      <c r="AZG984" s="336"/>
      <c r="AZH984" s="337"/>
      <c r="AZI984" s="336"/>
      <c r="AZJ984" s="337"/>
      <c r="AZK984" s="336"/>
      <c r="AZL984" s="337"/>
      <c r="AZM984" s="336"/>
      <c r="AZN984" s="337"/>
      <c r="AZO984" s="336"/>
      <c r="AZP984" s="337"/>
      <c r="AZQ984" s="336"/>
      <c r="AZR984" s="337"/>
      <c r="AZS984" s="336"/>
      <c r="AZT984" s="337"/>
      <c r="AZU984" s="336"/>
      <c r="AZV984" s="337"/>
      <c r="AZW984" s="336"/>
      <c r="AZX984" s="337"/>
      <c r="AZY984" s="336"/>
      <c r="AZZ984" s="337"/>
      <c r="BAA984" s="336"/>
      <c r="BAB984" s="337"/>
      <c r="BAC984" s="336"/>
      <c r="BAD984" s="337"/>
      <c r="BAE984" s="336"/>
      <c r="BAF984" s="337"/>
      <c r="BAG984" s="336"/>
      <c r="BAH984" s="337"/>
      <c r="BAI984" s="336"/>
      <c r="BAJ984" s="337"/>
      <c r="BAK984" s="336"/>
      <c r="BAL984" s="337"/>
      <c r="BAM984" s="336"/>
      <c r="BAN984" s="337"/>
      <c r="BAO984" s="336"/>
      <c r="BAP984" s="337"/>
      <c r="BAQ984" s="336"/>
      <c r="BAR984" s="337"/>
      <c r="BAS984" s="336"/>
      <c r="BAT984" s="337"/>
      <c r="BAU984" s="336"/>
      <c r="BAV984" s="337"/>
      <c r="BAW984" s="336"/>
      <c r="BAX984" s="337"/>
      <c r="BAY984" s="336"/>
      <c r="BAZ984" s="337"/>
      <c r="BBA984" s="336"/>
      <c r="BBB984" s="337"/>
      <c r="BBC984" s="336"/>
      <c r="BBD984" s="337"/>
      <c r="BBE984" s="336"/>
      <c r="BBF984" s="337"/>
      <c r="BBG984" s="336"/>
      <c r="BBH984" s="337"/>
      <c r="BBI984" s="336"/>
      <c r="BBJ984" s="337"/>
      <c r="BBK984" s="336"/>
      <c r="BBL984" s="337"/>
      <c r="BBM984" s="336"/>
      <c r="BBN984" s="337"/>
      <c r="BBO984" s="336"/>
      <c r="BBP984" s="337"/>
      <c r="BBQ984" s="336"/>
      <c r="BBR984" s="337"/>
      <c r="BBS984" s="336"/>
      <c r="BBT984" s="337"/>
      <c r="BBU984" s="336"/>
      <c r="BBV984" s="337"/>
      <c r="BBW984" s="336"/>
      <c r="BBX984" s="337"/>
      <c r="BBY984" s="336"/>
      <c r="BBZ984" s="337"/>
      <c r="BCA984" s="336"/>
      <c r="BCB984" s="337"/>
      <c r="BCC984" s="336"/>
      <c r="BCD984" s="337"/>
      <c r="BCE984" s="336"/>
      <c r="BCF984" s="337"/>
      <c r="BCG984" s="336"/>
      <c r="BCH984" s="337"/>
      <c r="BCI984" s="336"/>
      <c r="BCJ984" s="337"/>
      <c r="BCK984" s="336"/>
      <c r="BCL984" s="337"/>
      <c r="BCM984" s="336"/>
      <c r="BCN984" s="337"/>
      <c r="BCO984" s="336"/>
      <c r="BCP984" s="337"/>
      <c r="BCQ984" s="336"/>
      <c r="BCR984" s="337"/>
      <c r="BCS984" s="336"/>
      <c r="BCT984" s="337"/>
      <c r="BCU984" s="336"/>
      <c r="BCV984" s="337"/>
      <c r="BCW984" s="336"/>
      <c r="BCX984" s="337"/>
      <c r="BCY984" s="336"/>
      <c r="BCZ984" s="337"/>
      <c r="BDA984" s="336"/>
      <c r="BDB984" s="337"/>
      <c r="BDC984" s="336"/>
      <c r="BDD984" s="337"/>
      <c r="BDE984" s="336"/>
      <c r="BDF984" s="337"/>
      <c r="BDG984" s="336"/>
      <c r="BDH984" s="337"/>
      <c r="BDI984" s="336"/>
      <c r="BDJ984" s="337"/>
      <c r="BDK984" s="336"/>
      <c r="BDL984" s="337"/>
      <c r="BDM984" s="336"/>
      <c r="BDN984" s="337"/>
      <c r="BDO984" s="336"/>
      <c r="BDP984" s="337"/>
      <c r="BDQ984" s="336"/>
      <c r="BDR984" s="337"/>
      <c r="BDS984" s="336"/>
      <c r="BDT984" s="337"/>
      <c r="BDU984" s="336"/>
      <c r="BDV984" s="337"/>
      <c r="BDW984" s="336"/>
      <c r="BDX984" s="337"/>
      <c r="BDY984" s="336"/>
      <c r="BDZ984" s="337"/>
      <c r="BEA984" s="336"/>
      <c r="BEB984" s="337"/>
      <c r="BEC984" s="336"/>
      <c r="BED984" s="337"/>
      <c r="BEE984" s="336"/>
      <c r="BEF984" s="337"/>
      <c r="BEG984" s="336"/>
      <c r="BEH984" s="337"/>
      <c r="BEI984" s="336"/>
      <c r="BEJ984" s="337"/>
      <c r="BEK984" s="336"/>
      <c r="BEL984" s="337"/>
      <c r="BEM984" s="336"/>
      <c r="BEN984" s="337"/>
      <c r="BEO984" s="336"/>
      <c r="BEP984" s="337"/>
      <c r="BEQ984" s="336"/>
      <c r="BER984" s="337"/>
      <c r="BES984" s="336"/>
      <c r="BET984" s="337"/>
      <c r="BEU984" s="336"/>
      <c r="BEV984" s="337"/>
      <c r="BEW984" s="336"/>
      <c r="BEX984" s="337"/>
      <c r="BEY984" s="336"/>
      <c r="BEZ984" s="337"/>
      <c r="BFA984" s="336"/>
      <c r="BFB984" s="337"/>
      <c r="BFC984" s="336"/>
      <c r="BFD984" s="337"/>
      <c r="BFE984" s="336"/>
      <c r="BFF984" s="337"/>
      <c r="BFG984" s="336"/>
      <c r="BFH984" s="337"/>
      <c r="BFI984" s="336"/>
      <c r="BFJ984" s="337"/>
      <c r="BFK984" s="336"/>
      <c r="BFL984" s="337"/>
      <c r="BFM984" s="336"/>
      <c r="BFN984" s="337"/>
      <c r="BFO984" s="336"/>
      <c r="BFP984" s="337"/>
      <c r="BFQ984" s="336"/>
      <c r="BFR984" s="337"/>
      <c r="BFS984" s="336"/>
      <c r="BFT984" s="337"/>
      <c r="BFU984" s="336"/>
      <c r="BFV984" s="337"/>
      <c r="BFW984" s="336"/>
      <c r="BFX984" s="337"/>
      <c r="BFY984" s="336"/>
      <c r="BFZ984" s="337"/>
      <c r="BGA984" s="336"/>
      <c r="BGB984" s="337"/>
      <c r="BGC984" s="336"/>
      <c r="BGD984" s="337"/>
      <c r="BGE984" s="336"/>
      <c r="BGF984" s="337"/>
      <c r="BGG984" s="336"/>
      <c r="BGH984" s="337"/>
      <c r="BGI984" s="336"/>
      <c r="BGJ984" s="337"/>
      <c r="BGK984" s="336"/>
      <c r="BGL984" s="337"/>
      <c r="BGM984" s="336"/>
      <c r="BGN984" s="337"/>
      <c r="BGO984" s="336"/>
      <c r="BGP984" s="337"/>
      <c r="BGQ984" s="336"/>
      <c r="BGR984" s="337"/>
      <c r="BGS984" s="336"/>
      <c r="BGT984" s="337"/>
      <c r="BGU984" s="336"/>
      <c r="BGV984" s="337"/>
      <c r="BGW984" s="336"/>
      <c r="BGX984" s="337"/>
      <c r="BGY984" s="336"/>
      <c r="BGZ984" s="337"/>
      <c r="BHA984" s="336"/>
      <c r="BHB984" s="337"/>
      <c r="BHC984" s="336"/>
      <c r="BHD984" s="337"/>
      <c r="BHE984" s="336"/>
      <c r="BHF984" s="337"/>
      <c r="BHG984" s="336"/>
      <c r="BHH984" s="337"/>
      <c r="BHI984" s="336"/>
      <c r="BHJ984" s="337"/>
      <c r="BHK984" s="336"/>
      <c r="BHL984" s="337"/>
      <c r="BHM984" s="336"/>
      <c r="BHN984" s="337"/>
      <c r="BHO984" s="336"/>
      <c r="BHP984" s="337"/>
      <c r="BHQ984" s="336"/>
      <c r="BHR984" s="337"/>
      <c r="BHS984" s="336"/>
      <c r="BHT984" s="337"/>
      <c r="BHU984" s="336"/>
      <c r="BHV984" s="337"/>
      <c r="BHW984" s="336"/>
      <c r="BHX984" s="337"/>
      <c r="BHY984" s="336"/>
      <c r="BHZ984" s="337"/>
      <c r="BIA984" s="336"/>
      <c r="BIB984" s="337"/>
      <c r="BIC984" s="336"/>
      <c r="BID984" s="337"/>
      <c r="BIE984" s="336"/>
      <c r="BIF984" s="337"/>
      <c r="BIG984" s="336"/>
      <c r="BIH984" s="337"/>
      <c r="BII984" s="336"/>
      <c r="BIJ984" s="337"/>
      <c r="BIK984" s="336"/>
      <c r="BIL984" s="337"/>
      <c r="BIM984" s="336"/>
      <c r="BIN984" s="337"/>
      <c r="BIO984" s="336"/>
      <c r="BIP984" s="337"/>
      <c r="BIQ984" s="336"/>
      <c r="BIR984" s="337"/>
      <c r="BIS984" s="336"/>
      <c r="BIT984" s="337"/>
      <c r="BIU984" s="336"/>
      <c r="BIV984" s="337"/>
      <c r="BIW984" s="336"/>
      <c r="BIX984" s="337"/>
      <c r="BIY984" s="336"/>
      <c r="BIZ984" s="337"/>
      <c r="BJA984" s="336"/>
      <c r="BJB984" s="337"/>
      <c r="BJC984" s="336"/>
      <c r="BJD984" s="337"/>
      <c r="BJE984" s="336"/>
      <c r="BJF984" s="337"/>
      <c r="BJG984" s="336"/>
      <c r="BJH984" s="337"/>
      <c r="BJI984" s="336"/>
      <c r="BJJ984" s="337"/>
      <c r="BJK984" s="336"/>
      <c r="BJL984" s="337"/>
      <c r="BJM984" s="336"/>
      <c r="BJN984" s="337"/>
      <c r="BJO984" s="336"/>
      <c r="BJP984" s="337"/>
      <c r="BJQ984" s="336"/>
      <c r="BJR984" s="337"/>
      <c r="BJS984" s="336"/>
      <c r="BJT984" s="337"/>
      <c r="BJU984" s="336"/>
      <c r="BJV984" s="337"/>
      <c r="BJW984" s="336"/>
      <c r="BJX984" s="337"/>
      <c r="BJY984" s="336"/>
      <c r="BJZ984" s="337"/>
      <c r="BKA984" s="336"/>
      <c r="BKB984" s="337"/>
      <c r="BKC984" s="336"/>
      <c r="BKD984" s="337"/>
      <c r="BKE984" s="336"/>
      <c r="BKF984" s="337"/>
      <c r="BKG984" s="336"/>
      <c r="BKH984" s="337"/>
      <c r="BKI984" s="336"/>
      <c r="BKJ984" s="337"/>
      <c r="BKK984" s="336"/>
      <c r="BKL984" s="337"/>
      <c r="BKM984" s="336"/>
      <c r="BKN984" s="337"/>
      <c r="BKO984" s="336"/>
      <c r="BKP984" s="337"/>
      <c r="BKQ984" s="336"/>
      <c r="BKR984" s="337"/>
      <c r="BKS984" s="336"/>
      <c r="BKT984" s="337"/>
      <c r="BKU984" s="336"/>
      <c r="BKV984" s="337"/>
      <c r="BKW984" s="336"/>
      <c r="BKX984" s="337"/>
      <c r="BKY984" s="336"/>
      <c r="BKZ984" s="337"/>
      <c r="BLA984" s="336"/>
      <c r="BLB984" s="337"/>
      <c r="BLC984" s="336"/>
      <c r="BLD984" s="337"/>
      <c r="BLE984" s="336"/>
      <c r="BLF984" s="337"/>
      <c r="BLG984" s="336"/>
      <c r="BLH984" s="337"/>
      <c r="BLI984" s="336"/>
      <c r="BLJ984" s="337"/>
      <c r="BLK984" s="336"/>
      <c r="BLL984" s="337"/>
      <c r="BLM984" s="336"/>
      <c r="BLN984" s="337"/>
      <c r="BLO984" s="336"/>
      <c r="BLP984" s="337"/>
      <c r="BLQ984" s="336"/>
      <c r="BLR984" s="337"/>
      <c r="BLS984" s="336"/>
      <c r="BLT984" s="337"/>
      <c r="BLU984" s="336"/>
      <c r="BLV984" s="337"/>
      <c r="BLW984" s="336"/>
      <c r="BLX984" s="337"/>
      <c r="BLY984" s="336"/>
      <c r="BLZ984" s="337"/>
      <c r="BMA984" s="336"/>
      <c r="BMB984" s="337"/>
      <c r="BMC984" s="336"/>
      <c r="BMD984" s="337"/>
      <c r="BME984" s="336"/>
      <c r="BMF984" s="337"/>
      <c r="BMG984" s="336"/>
      <c r="BMH984" s="337"/>
      <c r="BMI984" s="336"/>
      <c r="BMJ984" s="337"/>
      <c r="BMK984" s="336"/>
      <c r="BML984" s="337"/>
      <c r="BMM984" s="336"/>
      <c r="BMN984" s="337"/>
      <c r="BMO984" s="336"/>
      <c r="BMP984" s="337"/>
      <c r="BMQ984" s="336"/>
      <c r="BMR984" s="337"/>
      <c r="BMS984" s="336"/>
      <c r="BMT984" s="337"/>
      <c r="BMU984" s="336"/>
      <c r="BMV984" s="337"/>
      <c r="BMW984" s="336"/>
      <c r="BMX984" s="337"/>
      <c r="BMY984" s="336"/>
      <c r="BMZ984" s="337"/>
      <c r="BNA984" s="336"/>
      <c r="BNB984" s="337"/>
      <c r="BNC984" s="336"/>
      <c r="BND984" s="337"/>
      <c r="BNE984" s="336"/>
      <c r="BNF984" s="337"/>
      <c r="BNG984" s="336"/>
      <c r="BNH984" s="337"/>
      <c r="BNI984" s="336"/>
      <c r="BNJ984" s="337"/>
      <c r="BNK984" s="336"/>
      <c r="BNL984" s="337"/>
      <c r="BNM984" s="336"/>
      <c r="BNN984" s="337"/>
      <c r="BNO984" s="336"/>
      <c r="BNP984" s="337"/>
      <c r="BNQ984" s="336"/>
      <c r="BNR984" s="337"/>
      <c r="BNS984" s="336"/>
      <c r="BNT984" s="337"/>
      <c r="BNU984" s="336"/>
      <c r="BNV984" s="337"/>
      <c r="BNW984" s="336"/>
      <c r="BNX984" s="337"/>
      <c r="BNY984" s="336"/>
      <c r="BNZ984" s="337"/>
      <c r="BOA984" s="336"/>
      <c r="BOB984" s="337"/>
      <c r="BOC984" s="336"/>
      <c r="BOD984" s="337"/>
      <c r="BOE984" s="336"/>
      <c r="BOF984" s="337"/>
      <c r="BOG984" s="336"/>
      <c r="BOH984" s="337"/>
      <c r="BOI984" s="336"/>
      <c r="BOJ984" s="337"/>
      <c r="BOK984" s="336"/>
      <c r="BOL984" s="337"/>
      <c r="BOM984" s="336"/>
      <c r="BON984" s="337"/>
      <c r="BOO984" s="336"/>
      <c r="BOP984" s="337"/>
      <c r="BOQ984" s="336"/>
      <c r="BOR984" s="337"/>
      <c r="BOS984" s="336"/>
      <c r="BOT984" s="337"/>
      <c r="BOU984" s="336"/>
      <c r="BOV984" s="337"/>
      <c r="BOW984" s="336"/>
      <c r="BOX984" s="337"/>
      <c r="BOY984" s="336"/>
      <c r="BOZ984" s="337"/>
      <c r="BPA984" s="336"/>
      <c r="BPB984" s="337"/>
      <c r="BPC984" s="336"/>
      <c r="BPD984" s="337"/>
      <c r="BPE984" s="336"/>
      <c r="BPF984" s="337"/>
      <c r="BPG984" s="336"/>
      <c r="BPH984" s="337"/>
      <c r="BPI984" s="336"/>
      <c r="BPJ984" s="337"/>
      <c r="BPK984" s="336"/>
      <c r="BPL984" s="337"/>
      <c r="BPM984" s="336"/>
      <c r="BPN984" s="337"/>
      <c r="BPO984" s="336"/>
      <c r="BPP984" s="337"/>
      <c r="BPQ984" s="336"/>
      <c r="BPR984" s="337"/>
      <c r="BPS984" s="336"/>
      <c r="BPT984" s="337"/>
      <c r="BPU984" s="336"/>
      <c r="BPV984" s="337"/>
      <c r="BPW984" s="336"/>
      <c r="BPX984" s="337"/>
      <c r="BPY984" s="336"/>
      <c r="BPZ984" s="337"/>
      <c r="BQA984" s="336"/>
      <c r="BQB984" s="337"/>
      <c r="BQC984" s="336"/>
      <c r="BQD984" s="337"/>
      <c r="BQE984" s="336"/>
      <c r="BQF984" s="337"/>
      <c r="BQG984" s="336"/>
      <c r="BQH984" s="337"/>
      <c r="BQI984" s="336"/>
      <c r="BQJ984" s="337"/>
      <c r="BQK984" s="336"/>
      <c r="BQL984" s="337"/>
      <c r="BQM984" s="336"/>
      <c r="BQN984" s="337"/>
      <c r="BQO984" s="336"/>
      <c r="BQP984" s="337"/>
      <c r="BQQ984" s="336"/>
      <c r="BQR984" s="337"/>
      <c r="BQS984" s="336"/>
      <c r="BQT984" s="337"/>
      <c r="BQU984" s="336"/>
      <c r="BQV984" s="337"/>
      <c r="BQW984" s="336"/>
      <c r="BQX984" s="337"/>
      <c r="BQY984" s="336"/>
      <c r="BQZ984" s="337"/>
      <c r="BRA984" s="336"/>
      <c r="BRB984" s="337"/>
      <c r="BRC984" s="336"/>
      <c r="BRD984" s="337"/>
      <c r="BRE984" s="336"/>
      <c r="BRF984" s="337"/>
      <c r="BRG984" s="336"/>
      <c r="BRH984" s="337"/>
      <c r="BRI984" s="336"/>
      <c r="BRJ984" s="337"/>
      <c r="BRK984" s="336"/>
      <c r="BRL984" s="337"/>
      <c r="BRM984" s="336"/>
      <c r="BRN984" s="337"/>
      <c r="BRO984" s="336"/>
      <c r="BRP984" s="337"/>
      <c r="BRQ984" s="336"/>
      <c r="BRR984" s="337"/>
      <c r="BRS984" s="336"/>
      <c r="BRT984" s="337"/>
      <c r="BRU984" s="336"/>
      <c r="BRV984" s="337"/>
      <c r="BRW984" s="336"/>
      <c r="BRX984" s="337"/>
      <c r="BRY984" s="336"/>
      <c r="BRZ984" s="337"/>
      <c r="BSA984" s="336"/>
      <c r="BSB984" s="337"/>
      <c r="BSC984" s="336"/>
      <c r="BSD984" s="337"/>
      <c r="BSE984" s="336"/>
      <c r="BSF984" s="337"/>
      <c r="BSG984" s="336"/>
      <c r="BSH984" s="337"/>
      <c r="BSI984" s="336"/>
      <c r="BSJ984" s="337"/>
      <c r="BSK984" s="336"/>
      <c r="BSL984" s="337"/>
      <c r="BSM984" s="336"/>
      <c r="BSN984" s="337"/>
      <c r="BSO984" s="336"/>
      <c r="BSP984" s="337"/>
      <c r="BSQ984" s="336"/>
      <c r="BSR984" s="337"/>
      <c r="BSS984" s="336"/>
      <c r="BST984" s="337"/>
      <c r="BSU984" s="336"/>
      <c r="BSV984" s="337"/>
      <c r="BSW984" s="336"/>
      <c r="BSX984" s="337"/>
      <c r="BSY984" s="336"/>
      <c r="BSZ984" s="337"/>
      <c r="BTA984" s="336"/>
      <c r="BTB984" s="337"/>
      <c r="BTC984" s="336"/>
      <c r="BTD984" s="337"/>
      <c r="BTE984" s="336"/>
      <c r="BTF984" s="337"/>
      <c r="BTG984" s="336"/>
      <c r="BTH984" s="337"/>
      <c r="BTI984" s="336"/>
      <c r="BTJ984" s="337"/>
      <c r="BTK984" s="336"/>
      <c r="BTL984" s="337"/>
      <c r="BTM984" s="336"/>
      <c r="BTN984" s="337"/>
      <c r="BTO984" s="336"/>
      <c r="BTP984" s="337"/>
      <c r="BTQ984" s="336"/>
      <c r="BTR984" s="337"/>
      <c r="BTS984" s="336"/>
      <c r="BTT984" s="337"/>
      <c r="BTU984" s="336"/>
      <c r="BTV984" s="337"/>
      <c r="BTW984" s="336"/>
      <c r="BTX984" s="337"/>
      <c r="BTY984" s="336"/>
      <c r="BTZ984" s="337"/>
      <c r="BUA984" s="336"/>
      <c r="BUB984" s="337"/>
      <c r="BUC984" s="336"/>
      <c r="BUD984" s="337"/>
      <c r="BUE984" s="336"/>
      <c r="BUF984" s="337"/>
      <c r="BUG984" s="336"/>
      <c r="BUH984" s="337"/>
      <c r="BUI984" s="336"/>
      <c r="BUJ984" s="337"/>
      <c r="BUK984" s="336"/>
      <c r="BUL984" s="337"/>
      <c r="BUM984" s="336"/>
      <c r="BUN984" s="337"/>
      <c r="BUO984" s="336"/>
      <c r="BUP984" s="337"/>
      <c r="BUQ984" s="336"/>
      <c r="BUR984" s="337"/>
      <c r="BUS984" s="336"/>
      <c r="BUT984" s="337"/>
      <c r="BUU984" s="336"/>
      <c r="BUV984" s="337"/>
      <c r="BUW984" s="336"/>
      <c r="BUX984" s="337"/>
      <c r="BUY984" s="336"/>
      <c r="BUZ984" s="337"/>
      <c r="BVA984" s="336"/>
      <c r="BVB984" s="337"/>
      <c r="BVC984" s="336"/>
      <c r="BVD984" s="337"/>
      <c r="BVE984" s="336"/>
      <c r="BVF984" s="337"/>
      <c r="BVG984" s="336"/>
      <c r="BVH984" s="337"/>
      <c r="BVI984" s="336"/>
      <c r="BVJ984" s="337"/>
      <c r="BVK984" s="336"/>
      <c r="BVL984" s="337"/>
      <c r="BVM984" s="336"/>
      <c r="BVN984" s="337"/>
      <c r="BVO984" s="336"/>
      <c r="BVP984" s="337"/>
      <c r="BVQ984" s="336"/>
      <c r="BVR984" s="337"/>
      <c r="BVS984" s="336"/>
      <c r="BVT984" s="337"/>
      <c r="BVU984" s="336"/>
      <c r="BVV984" s="337"/>
      <c r="BVW984" s="336"/>
      <c r="BVX984" s="337"/>
      <c r="BVY984" s="336"/>
      <c r="BVZ984" s="337"/>
      <c r="BWA984" s="336"/>
      <c r="BWB984" s="337"/>
      <c r="BWC984" s="336"/>
      <c r="BWD984" s="337"/>
      <c r="BWE984" s="336"/>
      <c r="BWF984" s="337"/>
      <c r="BWG984" s="336"/>
      <c r="BWH984" s="337"/>
      <c r="BWI984" s="336"/>
      <c r="BWJ984" s="337"/>
      <c r="BWK984" s="336"/>
      <c r="BWL984" s="337"/>
      <c r="BWM984" s="336"/>
      <c r="BWN984" s="337"/>
      <c r="BWO984" s="336"/>
      <c r="BWP984" s="337"/>
      <c r="BWQ984" s="336"/>
      <c r="BWR984" s="337"/>
      <c r="BWS984" s="336"/>
      <c r="BWT984" s="337"/>
      <c r="BWU984" s="336"/>
      <c r="BWV984" s="337"/>
      <c r="BWW984" s="336"/>
      <c r="BWX984" s="337"/>
      <c r="BWY984" s="336"/>
      <c r="BWZ984" s="337"/>
      <c r="BXA984" s="336"/>
      <c r="BXB984" s="337"/>
      <c r="BXC984" s="336"/>
      <c r="BXD984" s="337"/>
      <c r="BXE984" s="336"/>
      <c r="BXF984" s="337"/>
      <c r="BXG984" s="336"/>
      <c r="BXH984" s="337"/>
      <c r="BXI984" s="336"/>
      <c r="BXJ984" s="337"/>
      <c r="BXK984" s="336"/>
      <c r="BXL984" s="337"/>
      <c r="BXM984" s="336"/>
      <c r="BXN984" s="337"/>
      <c r="BXO984" s="336"/>
      <c r="BXP984" s="337"/>
      <c r="BXQ984" s="336"/>
      <c r="BXR984" s="337"/>
      <c r="BXS984" s="336"/>
      <c r="BXT984" s="337"/>
      <c r="BXU984" s="336"/>
      <c r="BXV984" s="337"/>
      <c r="BXW984" s="336"/>
      <c r="BXX984" s="337"/>
      <c r="BXY984" s="336"/>
      <c r="BXZ984" s="337"/>
      <c r="BYA984" s="336"/>
      <c r="BYB984" s="337"/>
      <c r="BYC984" s="336"/>
      <c r="BYD984" s="337"/>
      <c r="BYE984" s="336"/>
      <c r="BYF984" s="337"/>
      <c r="BYG984" s="336"/>
      <c r="BYH984" s="337"/>
      <c r="BYI984" s="336"/>
      <c r="BYJ984" s="337"/>
      <c r="BYK984" s="336"/>
      <c r="BYL984" s="337"/>
      <c r="BYM984" s="336"/>
      <c r="BYN984" s="337"/>
      <c r="BYO984" s="336"/>
      <c r="BYP984" s="337"/>
      <c r="BYQ984" s="336"/>
      <c r="BYR984" s="337"/>
      <c r="BYS984" s="336"/>
      <c r="BYT984" s="337"/>
      <c r="BYU984" s="336"/>
      <c r="BYV984" s="337"/>
      <c r="BYW984" s="336"/>
      <c r="BYX984" s="337"/>
      <c r="BYY984" s="336"/>
      <c r="BYZ984" s="337"/>
      <c r="BZA984" s="336"/>
      <c r="BZB984" s="337"/>
      <c r="BZC984" s="336"/>
      <c r="BZD984" s="337"/>
      <c r="BZE984" s="336"/>
      <c r="BZF984" s="337"/>
      <c r="BZG984" s="336"/>
      <c r="BZH984" s="337"/>
      <c r="BZI984" s="336"/>
      <c r="BZJ984" s="337"/>
      <c r="BZK984" s="336"/>
      <c r="BZL984" s="337"/>
      <c r="BZM984" s="336"/>
      <c r="BZN984" s="337"/>
      <c r="BZO984" s="336"/>
      <c r="BZP984" s="337"/>
      <c r="BZQ984" s="336"/>
      <c r="BZR984" s="337"/>
      <c r="BZS984" s="336"/>
      <c r="BZT984" s="337"/>
      <c r="BZU984" s="336"/>
      <c r="BZV984" s="337"/>
      <c r="BZW984" s="336"/>
      <c r="BZX984" s="337"/>
      <c r="BZY984" s="336"/>
      <c r="BZZ984" s="337"/>
      <c r="CAA984" s="336"/>
      <c r="CAB984" s="337"/>
      <c r="CAC984" s="336"/>
      <c r="CAD984" s="337"/>
      <c r="CAE984" s="336"/>
      <c r="CAF984" s="337"/>
      <c r="CAG984" s="336"/>
      <c r="CAH984" s="337"/>
      <c r="CAI984" s="336"/>
      <c r="CAJ984" s="337"/>
      <c r="CAK984" s="336"/>
      <c r="CAL984" s="337"/>
      <c r="CAM984" s="336"/>
      <c r="CAN984" s="337"/>
      <c r="CAO984" s="336"/>
      <c r="CAP984" s="337"/>
      <c r="CAQ984" s="336"/>
      <c r="CAR984" s="337"/>
      <c r="CAS984" s="336"/>
      <c r="CAT984" s="337"/>
      <c r="CAU984" s="336"/>
      <c r="CAV984" s="337"/>
      <c r="CAW984" s="336"/>
      <c r="CAX984" s="337"/>
      <c r="CAY984" s="336"/>
      <c r="CAZ984" s="337"/>
      <c r="CBA984" s="336"/>
      <c r="CBB984" s="337"/>
      <c r="CBC984" s="336"/>
      <c r="CBD984" s="337"/>
      <c r="CBE984" s="336"/>
      <c r="CBF984" s="337"/>
      <c r="CBG984" s="336"/>
      <c r="CBH984" s="337"/>
      <c r="CBI984" s="336"/>
      <c r="CBJ984" s="337"/>
      <c r="CBK984" s="336"/>
      <c r="CBL984" s="337"/>
      <c r="CBM984" s="336"/>
      <c r="CBN984" s="337"/>
      <c r="CBO984" s="336"/>
      <c r="CBP984" s="337"/>
      <c r="CBQ984" s="336"/>
      <c r="CBR984" s="337"/>
      <c r="CBS984" s="336"/>
      <c r="CBT984" s="337"/>
      <c r="CBU984" s="336"/>
      <c r="CBV984" s="337"/>
      <c r="CBW984" s="336"/>
      <c r="CBX984" s="337"/>
      <c r="CBY984" s="336"/>
      <c r="CBZ984" s="337"/>
      <c r="CCA984" s="336"/>
      <c r="CCB984" s="337"/>
      <c r="CCC984" s="336"/>
      <c r="CCD984" s="337"/>
      <c r="CCE984" s="336"/>
      <c r="CCF984" s="337"/>
      <c r="CCG984" s="336"/>
      <c r="CCH984" s="337"/>
      <c r="CCI984" s="336"/>
      <c r="CCJ984" s="337"/>
      <c r="CCK984" s="336"/>
      <c r="CCL984" s="337"/>
      <c r="CCM984" s="336"/>
      <c r="CCN984" s="337"/>
      <c r="CCO984" s="336"/>
      <c r="CCP984" s="337"/>
      <c r="CCQ984" s="336"/>
      <c r="CCR984" s="337"/>
      <c r="CCS984" s="336"/>
      <c r="CCT984" s="337"/>
      <c r="CCU984" s="336"/>
      <c r="CCV984" s="337"/>
      <c r="CCW984" s="336"/>
      <c r="CCX984" s="337"/>
      <c r="CCY984" s="336"/>
      <c r="CCZ984" s="337"/>
      <c r="CDA984" s="336"/>
      <c r="CDB984" s="337"/>
      <c r="CDC984" s="336"/>
      <c r="CDD984" s="337"/>
      <c r="CDE984" s="336"/>
      <c r="CDF984" s="337"/>
      <c r="CDG984" s="336"/>
      <c r="CDH984" s="337"/>
      <c r="CDI984" s="336"/>
      <c r="CDJ984" s="337"/>
      <c r="CDK984" s="336"/>
      <c r="CDL984" s="337"/>
      <c r="CDM984" s="336"/>
      <c r="CDN984" s="337"/>
      <c r="CDO984" s="336"/>
      <c r="CDP984" s="337"/>
      <c r="CDQ984" s="336"/>
      <c r="CDR984" s="337"/>
      <c r="CDS984" s="336"/>
      <c r="CDT984" s="337"/>
      <c r="CDU984" s="336"/>
      <c r="CDV984" s="337"/>
      <c r="CDW984" s="336"/>
      <c r="CDX984" s="337"/>
      <c r="CDY984" s="336"/>
      <c r="CDZ984" s="337"/>
      <c r="CEA984" s="336"/>
      <c r="CEB984" s="337"/>
      <c r="CEC984" s="336"/>
      <c r="CED984" s="337"/>
      <c r="CEE984" s="336"/>
      <c r="CEF984" s="337"/>
      <c r="CEG984" s="336"/>
      <c r="CEH984" s="337"/>
      <c r="CEI984" s="336"/>
      <c r="CEJ984" s="337"/>
      <c r="CEK984" s="336"/>
      <c r="CEL984" s="337"/>
      <c r="CEM984" s="336"/>
      <c r="CEN984" s="337"/>
      <c r="CEO984" s="336"/>
      <c r="CEP984" s="337"/>
      <c r="CEQ984" s="336"/>
      <c r="CER984" s="337"/>
      <c r="CES984" s="336"/>
      <c r="CET984" s="337"/>
      <c r="CEU984" s="336"/>
      <c r="CEV984" s="337"/>
      <c r="CEW984" s="336"/>
      <c r="CEX984" s="337"/>
      <c r="CEY984" s="336"/>
      <c r="CEZ984" s="337"/>
      <c r="CFA984" s="336"/>
      <c r="CFB984" s="337"/>
      <c r="CFC984" s="336"/>
      <c r="CFD984" s="337"/>
      <c r="CFE984" s="336"/>
      <c r="CFF984" s="337"/>
      <c r="CFG984" s="336"/>
      <c r="CFH984" s="337"/>
      <c r="CFI984" s="336"/>
      <c r="CFJ984" s="337"/>
      <c r="CFK984" s="336"/>
      <c r="CFL984" s="337"/>
      <c r="CFM984" s="336"/>
      <c r="CFN984" s="337"/>
      <c r="CFO984" s="336"/>
      <c r="CFP984" s="337"/>
      <c r="CFQ984" s="336"/>
      <c r="CFR984" s="337"/>
      <c r="CFS984" s="336"/>
      <c r="CFT984" s="337"/>
      <c r="CFU984" s="336"/>
      <c r="CFV984" s="337"/>
      <c r="CFW984" s="336"/>
      <c r="CFX984" s="337"/>
      <c r="CFY984" s="336"/>
      <c r="CFZ984" s="337"/>
      <c r="CGA984" s="336"/>
      <c r="CGB984" s="337"/>
      <c r="CGC984" s="336"/>
      <c r="CGD984" s="337"/>
      <c r="CGE984" s="336"/>
      <c r="CGF984" s="337"/>
      <c r="CGG984" s="336"/>
      <c r="CGH984" s="337"/>
      <c r="CGI984" s="336"/>
      <c r="CGJ984" s="337"/>
      <c r="CGK984" s="336"/>
      <c r="CGL984" s="337"/>
      <c r="CGM984" s="336"/>
      <c r="CGN984" s="337"/>
      <c r="CGO984" s="336"/>
      <c r="CGP984" s="337"/>
      <c r="CGQ984" s="336"/>
      <c r="CGR984" s="337"/>
      <c r="CGS984" s="336"/>
      <c r="CGT984" s="337"/>
      <c r="CGU984" s="336"/>
      <c r="CGV984" s="337"/>
      <c r="CGW984" s="336"/>
      <c r="CGX984" s="337"/>
      <c r="CGY984" s="336"/>
      <c r="CGZ984" s="337"/>
      <c r="CHA984" s="336"/>
      <c r="CHB984" s="337"/>
      <c r="CHC984" s="336"/>
      <c r="CHD984" s="337"/>
      <c r="CHE984" s="336"/>
      <c r="CHF984" s="337"/>
      <c r="CHG984" s="336"/>
      <c r="CHH984" s="337"/>
      <c r="CHI984" s="336"/>
      <c r="CHJ984" s="337"/>
      <c r="CHK984" s="336"/>
      <c r="CHL984" s="337"/>
      <c r="CHM984" s="336"/>
      <c r="CHN984" s="337"/>
      <c r="CHO984" s="336"/>
      <c r="CHP984" s="337"/>
      <c r="CHQ984" s="336"/>
      <c r="CHR984" s="337"/>
      <c r="CHS984" s="336"/>
      <c r="CHT984" s="337"/>
      <c r="CHU984" s="336"/>
      <c r="CHV984" s="337"/>
      <c r="CHW984" s="336"/>
      <c r="CHX984" s="337"/>
      <c r="CHY984" s="336"/>
      <c r="CHZ984" s="337"/>
      <c r="CIA984" s="336"/>
      <c r="CIB984" s="337"/>
      <c r="CIC984" s="336"/>
      <c r="CID984" s="337"/>
      <c r="CIE984" s="336"/>
      <c r="CIF984" s="337"/>
      <c r="CIG984" s="336"/>
      <c r="CIH984" s="337"/>
      <c r="CII984" s="336"/>
      <c r="CIJ984" s="337"/>
      <c r="CIK984" s="336"/>
      <c r="CIL984" s="337"/>
      <c r="CIM984" s="336"/>
      <c r="CIN984" s="337"/>
      <c r="CIO984" s="336"/>
      <c r="CIP984" s="337"/>
      <c r="CIQ984" s="336"/>
      <c r="CIR984" s="337"/>
      <c r="CIS984" s="336"/>
      <c r="CIT984" s="337"/>
      <c r="CIU984" s="336"/>
      <c r="CIV984" s="337"/>
      <c r="CIW984" s="336"/>
      <c r="CIX984" s="337"/>
      <c r="CIY984" s="336"/>
      <c r="CIZ984" s="337"/>
      <c r="CJA984" s="336"/>
      <c r="CJB984" s="337"/>
      <c r="CJC984" s="336"/>
      <c r="CJD984" s="337"/>
      <c r="CJE984" s="336"/>
      <c r="CJF984" s="337"/>
      <c r="CJG984" s="336"/>
      <c r="CJH984" s="337"/>
      <c r="CJI984" s="336"/>
      <c r="CJJ984" s="337"/>
      <c r="CJK984" s="336"/>
      <c r="CJL984" s="337"/>
      <c r="CJM984" s="336"/>
      <c r="CJN984" s="337"/>
      <c r="CJO984" s="336"/>
      <c r="CJP984" s="337"/>
      <c r="CJQ984" s="336"/>
      <c r="CJR984" s="337"/>
      <c r="CJS984" s="336"/>
      <c r="CJT984" s="337"/>
      <c r="CJU984" s="336"/>
      <c r="CJV984" s="337"/>
      <c r="CJW984" s="336"/>
      <c r="CJX984" s="337"/>
      <c r="CJY984" s="336"/>
      <c r="CJZ984" s="337"/>
      <c r="CKA984" s="336"/>
      <c r="CKB984" s="337"/>
      <c r="CKC984" s="336"/>
      <c r="CKD984" s="337"/>
      <c r="CKE984" s="336"/>
      <c r="CKF984" s="337"/>
      <c r="CKG984" s="336"/>
      <c r="CKH984" s="337"/>
      <c r="CKI984" s="336"/>
      <c r="CKJ984" s="337"/>
      <c r="CKK984" s="336"/>
      <c r="CKL984" s="337"/>
      <c r="CKM984" s="336"/>
      <c r="CKN984" s="337"/>
      <c r="CKO984" s="336"/>
      <c r="CKP984" s="337"/>
      <c r="CKQ984" s="336"/>
      <c r="CKR984" s="337"/>
      <c r="CKS984" s="336"/>
      <c r="CKT984" s="337"/>
      <c r="CKU984" s="336"/>
      <c r="CKV984" s="337"/>
      <c r="CKW984" s="336"/>
      <c r="CKX984" s="337"/>
      <c r="CKY984" s="336"/>
      <c r="CKZ984" s="337"/>
      <c r="CLA984" s="336"/>
      <c r="CLB984" s="337"/>
      <c r="CLC984" s="336"/>
      <c r="CLD984" s="337"/>
      <c r="CLE984" s="336"/>
      <c r="CLF984" s="337"/>
      <c r="CLG984" s="336"/>
      <c r="CLH984" s="337"/>
      <c r="CLI984" s="336"/>
      <c r="CLJ984" s="337"/>
      <c r="CLK984" s="336"/>
      <c r="CLL984" s="337"/>
      <c r="CLM984" s="336"/>
      <c r="CLN984" s="337"/>
      <c r="CLO984" s="336"/>
      <c r="CLP984" s="337"/>
      <c r="CLQ984" s="336"/>
      <c r="CLR984" s="337"/>
      <c r="CLS984" s="336"/>
      <c r="CLT984" s="337"/>
      <c r="CLU984" s="336"/>
      <c r="CLV984" s="337"/>
      <c r="CLW984" s="336"/>
      <c r="CLX984" s="337"/>
      <c r="CLY984" s="336"/>
      <c r="CLZ984" s="337"/>
      <c r="CMA984" s="336"/>
      <c r="CMB984" s="337"/>
      <c r="CMC984" s="336"/>
      <c r="CMD984" s="337"/>
      <c r="CME984" s="336"/>
      <c r="CMF984" s="337"/>
      <c r="CMG984" s="336"/>
      <c r="CMH984" s="337"/>
      <c r="CMI984" s="336"/>
      <c r="CMJ984" s="337"/>
      <c r="CMK984" s="336"/>
      <c r="CML984" s="337"/>
      <c r="CMM984" s="336"/>
      <c r="CMN984" s="337"/>
      <c r="CMO984" s="336"/>
      <c r="CMP984" s="337"/>
      <c r="CMQ984" s="336"/>
      <c r="CMR984" s="337"/>
      <c r="CMS984" s="336"/>
      <c r="CMT984" s="337"/>
      <c r="CMU984" s="336"/>
      <c r="CMV984" s="337"/>
      <c r="CMW984" s="336"/>
      <c r="CMX984" s="337"/>
      <c r="CMY984" s="336"/>
      <c r="CMZ984" s="337"/>
      <c r="CNA984" s="336"/>
      <c r="CNB984" s="337"/>
      <c r="CNC984" s="336"/>
      <c r="CND984" s="337"/>
      <c r="CNE984" s="336"/>
      <c r="CNF984" s="337"/>
      <c r="CNG984" s="336"/>
      <c r="CNH984" s="337"/>
      <c r="CNI984" s="336"/>
      <c r="CNJ984" s="337"/>
      <c r="CNK984" s="336"/>
      <c r="CNL984" s="337"/>
      <c r="CNM984" s="336"/>
      <c r="CNN984" s="337"/>
      <c r="CNO984" s="336"/>
      <c r="CNP984" s="337"/>
      <c r="CNQ984" s="336"/>
      <c r="CNR984" s="337"/>
      <c r="CNS984" s="336"/>
      <c r="CNT984" s="337"/>
      <c r="CNU984" s="336"/>
      <c r="CNV984" s="337"/>
      <c r="CNW984" s="336"/>
      <c r="CNX984" s="337"/>
      <c r="CNY984" s="336"/>
      <c r="CNZ984" s="337"/>
      <c r="COA984" s="336"/>
      <c r="COB984" s="337"/>
      <c r="COC984" s="336"/>
      <c r="COD984" s="337"/>
      <c r="COE984" s="336"/>
      <c r="COF984" s="337"/>
      <c r="COG984" s="336"/>
      <c r="COH984" s="337"/>
      <c r="COI984" s="336"/>
      <c r="COJ984" s="337"/>
      <c r="COK984" s="336"/>
      <c r="COL984" s="337"/>
      <c r="COM984" s="336"/>
      <c r="CON984" s="337"/>
      <c r="COO984" s="336"/>
      <c r="COP984" s="337"/>
      <c r="COQ984" s="336"/>
      <c r="COR984" s="337"/>
      <c r="COS984" s="336"/>
      <c r="COT984" s="337"/>
      <c r="COU984" s="336"/>
      <c r="COV984" s="337"/>
      <c r="COW984" s="336"/>
      <c r="COX984" s="337"/>
      <c r="COY984" s="336"/>
      <c r="COZ984" s="337"/>
      <c r="CPA984" s="336"/>
      <c r="CPB984" s="337"/>
      <c r="CPC984" s="336"/>
      <c r="CPD984" s="337"/>
      <c r="CPE984" s="336"/>
      <c r="CPF984" s="337"/>
      <c r="CPG984" s="336"/>
      <c r="CPH984" s="337"/>
      <c r="CPI984" s="336"/>
      <c r="CPJ984" s="337"/>
      <c r="CPK984" s="336"/>
      <c r="CPL984" s="337"/>
      <c r="CPM984" s="336"/>
      <c r="CPN984" s="337"/>
      <c r="CPO984" s="336"/>
      <c r="CPP984" s="337"/>
      <c r="CPQ984" s="336"/>
      <c r="CPR984" s="337"/>
      <c r="CPS984" s="336"/>
      <c r="CPT984" s="337"/>
      <c r="CPU984" s="336"/>
      <c r="CPV984" s="337"/>
      <c r="CPW984" s="336"/>
      <c r="CPX984" s="337"/>
      <c r="CPY984" s="336"/>
      <c r="CPZ984" s="337"/>
      <c r="CQA984" s="336"/>
      <c r="CQB984" s="337"/>
      <c r="CQC984" s="336"/>
      <c r="CQD984" s="337"/>
      <c r="CQE984" s="336"/>
      <c r="CQF984" s="337"/>
      <c r="CQG984" s="336"/>
      <c r="CQH984" s="337"/>
      <c r="CQI984" s="336"/>
      <c r="CQJ984" s="337"/>
      <c r="CQK984" s="336"/>
      <c r="CQL984" s="337"/>
      <c r="CQM984" s="336"/>
      <c r="CQN984" s="337"/>
      <c r="CQO984" s="336"/>
      <c r="CQP984" s="337"/>
      <c r="CQQ984" s="336"/>
      <c r="CQR984" s="337"/>
      <c r="CQS984" s="336"/>
      <c r="CQT984" s="337"/>
      <c r="CQU984" s="336"/>
      <c r="CQV984" s="337"/>
      <c r="CQW984" s="336"/>
      <c r="CQX984" s="337"/>
      <c r="CQY984" s="336"/>
      <c r="CQZ984" s="337"/>
      <c r="CRA984" s="336"/>
      <c r="CRB984" s="337"/>
      <c r="CRC984" s="336"/>
      <c r="CRD984" s="337"/>
      <c r="CRE984" s="336"/>
      <c r="CRF984" s="337"/>
      <c r="CRG984" s="336"/>
      <c r="CRH984" s="337"/>
      <c r="CRI984" s="336"/>
      <c r="CRJ984" s="337"/>
      <c r="CRK984" s="336"/>
      <c r="CRL984" s="337"/>
      <c r="CRM984" s="336"/>
      <c r="CRN984" s="337"/>
      <c r="CRO984" s="336"/>
      <c r="CRP984" s="337"/>
      <c r="CRQ984" s="336"/>
      <c r="CRR984" s="337"/>
      <c r="CRS984" s="336"/>
      <c r="CRT984" s="337"/>
      <c r="CRU984" s="336"/>
      <c r="CRV984" s="337"/>
      <c r="CRW984" s="336"/>
      <c r="CRX984" s="337"/>
      <c r="CRY984" s="336"/>
      <c r="CRZ984" s="337"/>
      <c r="CSA984" s="336"/>
      <c r="CSB984" s="337"/>
      <c r="CSC984" s="336"/>
      <c r="CSD984" s="337"/>
      <c r="CSE984" s="336"/>
      <c r="CSF984" s="337"/>
      <c r="CSG984" s="336"/>
      <c r="CSH984" s="337"/>
      <c r="CSI984" s="336"/>
      <c r="CSJ984" s="337"/>
      <c r="CSK984" s="336"/>
      <c r="CSL984" s="337"/>
      <c r="CSM984" s="336"/>
      <c r="CSN984" s="337"/>
      <c r="CSO984" s="336"/>
      <c r="CSP984" s="337"/>
      <c r="CSQ984" s="336"/>
      <c r="CSR984" s="337"/>
      <c r="CSS984" s="336"/>
      <c r="CST984" s="337"/>
      <c r="CSU984" s="336"/>
      <c r="CSV984" s="337"/>
      <c r="CSW984" s="336"/>
      <c r="CSX984" s="337"/>
      <c r="CSY984" s="336"/>
      <c r="CSZ984" s="337"/>
      <c r="CTA984" s="336"/>
      <c r="CTB984" s="337"/>
      <c r="CTC984" s="336"/>
      <c r="CTD984" s="337"/>
      <c r="CTE984" s="336"/>
      <c r="CTF984" s="337"/>
      <c r="CTG984" s="336"/>
      <c r="CTH984" s="337"/>
      <c r="CTI984" s="336"/>
      <c r="CTJ984" s="337"/>
      <c r="CTK984" s="336"/>
      <c r="CTL984" s="337"/>
      <c r="CTM984" s="336"/>
      <c r="CTN984" s="337"/>
      <c r="CTO984" s="336"/>
      <c r="CTP984" s="337"/>
      <c r="CTQ984" s="336"/>
      <c r="CTR984" s="337"/>
      <c r="CTS984" s="336"/>
      <c r="CTT984" s="337"/>
      <c r="CTU984" s="336"/>
      <c r="CTV984" s="337"/>
      <c r="CTW984" s="336"/>
      <c r="CTX984" s="337"/>
      <c r="CTY984" s="336"/>
      <c r="CTZ984" s="337"/>
      <c r="CUA984" s="336"/>
      <c r="CUB984" s="337"/>
      <c r="CUC984" s="336"/>
      <c r="CUD984" s="337"/>
      <c r="CUE984" s="336"/>
      <c r="CUF984" s="337"/>
      <c r="CUG984" s="336"/>
      <c r="CUH984" s="337"/>
      <c r="CUI984" s="336"/>
      <c r="CUJ984" s="337"/>
      <c r="CUK984" s="336"/>
      <c r="CUL984" s="337"/>
      <c r="CUM984" s="336"/>
      <c r="CUN984" s="337"/>
      <c r="CUO984" s="336"/>
      <c r="CUP984" s="337"/>
      <c r="CUQ984" s="336"/>
      <c r="CUR984" s="337"/>
      <c r="CUS984" s="336"/>
      <c r="CUT984" s="337"/>
      <c r="CUU984" s="336"/>
      <c r="CUV984" s="337"/>
      <c r="CUW984" s="336"/>
      <c r="CUX984" s="337"/>
      <c r="CUY984" s="336"/>
      <c r="CUZ984" s="337"/>
      <c r="CVA984" s="336"/>
      <c r="CVB984" s="337"/>
      <c r="CVC984" s="336"/>
      <c r="CVD984" s="337"/>
      <c r="CVE984" s="336"/>
      <c r="CVF984" s="337"/>
      <c r="CVG984" s="336"/>
      <c r="CVH984" s="337"/>
      <c r="CVI984" s="336"/>
      <c r="CVJ984" s="337"/>
      <c r="CVK984" s="336"/>
      <c r="CVL984" s="337"/>
      <c r="CVM984" s="336"/>
      <c r="CVN984" s="337"/>
      <c r="CVO984" s="336"/>
      <c r="CVP984" s="337"/>
      <c r="CVQ984" s="336"/>
      <c r="CVR984" s="337"/>
      <c r="CVS984" s="336"/>
      <c r="CVT984" s="337"/>
      <c r="CVU984" s="336"/>
      <c r="CVV984" s="337"/>
      <c r="CVW984" s="336"/>
      <c r="CVX984" s="337"/>
      <c r="CVY984" s="336"/>
      <c r="CVZ984" s="337"/>
      <c r="CWA984" s="336"/>
      <c r="CWB984" s="337"/>
      <c r="CWC984" s="336"/>
      <c r="CWD984" s="337"/>
      <c r="CWE984" s="336"/>
      <c r="CWF984" s="337"/>
      <c r="CWG984" s="336"/>
      <c r="CWH984" s="337"/>
      <c r="CWI984" s="336"/>
      <c r="CWJ984" s="337"/>
      <c r="CWK984" s="336"/>
      <c r="CWL984" s="337"/>
      <c r="CWM984" s="336"/>
      <c r="CWN984" s="337"/>
      <c r="CWO984" s="336"/>
      <c r="CWP984" s="337"/>
      <c r="CWQ984" s="336"/>
      <c r="CWR984" s="337"/>
      <c r="CWS984" s="336"/>
      <c r="CWT984" s="337"/>
      <c r="CWU984" s="336"/>
      <c r="CWV984" s="337"/>
      <c r="CWW984" s="336"/>
      <c r="CWX984" s="337"/>
      <c r="CWY984" s="336"/>
      <c r="CWZ984" s="337"/>
      <c r="CXA984" s="336"/>
      <c r="CXB984" s="337"/>
      <c r="CXC984" s="336"/>
      <c r="CXD984" s="337"/>
      <c r="CXE984" s="336"/>
      <c r="CXF984" s="337"/>
      <c r="CXG984" s="336"/>
      <c r="CXH984" s="337"/>
      <c r="CXI984" s="336"/>
      <c r="CXJ984" s="337"/>
      <c r="CXK984" s="336"/>
      <c r="CXL984" s="337"/>
      <c r="CXM984" s="336"/>
      <c r="CXN984" s="337"/>
      <c r="CXO984" s="336"/>
      <c r="CXP984" s="337"/>
      <c r="CXQ984" s="336"/>
      <c r="CXR984" s="337"/>
      <c r="CXS984" s="336"/>
      <c r="CXT984" s="337"/>
      <c r="CXU984" s="336"/>
      <c r="CXV984" s="337"/>
      <c r="CXW984" s="336"/>
      <c r="CXX984" s="337"/>
      <c r="CXY984" s="336"/>
      <c r="CXZ984" s="337"/>
      <c r="CYA984" s="336"/>
      <c r="CYB984" s="337"/>
      <c r="CYC984" s="336"/>
      <c r="CYD984" s="337"/>
      <c r="CYE984" s="336"/>
      <c r="CYF984" s="337"/>
      <c r="CYG984" s="336"/>
      <c r="CYH984" s="337"/>
      <c r="CYI984" s="336"/>
      <c r="CYJ984" s="337"/>
      <c r="CYK984" s="336"/>
      <c r="CYL984" s="337"/>
      <c r="CYM984" s="336"/>
      <c r="CYN984" s="337"/>
      <c r="CYO984" s="336"/>
      <c r="CYP984" s="337"/>
      <c r="CYQ984" s="336"/>
      <c r="CYR984" s="337"/>
      <c r="CYS984" s="336"/>
      <c r="CYT984" s="337"/>
      <c r="CYU984" s="336"/>
      <c r="CYV984" s="337"/>
      <c r="CYW984" s="336"/>
      <c r="CYX984" s="337"/>
      <c r="CYY984" s="336"/>
      <c r="CYZ984" s="337"/>
      <c r="CZA984" s="336"/>
      <c r="CZB984" s="337"/>
      <c r="CZC984" s="336"/>
      <c r="CZD984" s="337"/>
      <c r="CZE984" s="336"/>
      <c r="CZF984" s="337"/>
      <c r="CZG984" s="336"/>
      <c r="CZH984" s="337"/>
      <c r="CZI984" s="336"/>
      <c r="CZJ984" s="337"/>
      <c r="CZK984" s="336"/>
      <c r="CZL984" s="337"/>
      <c r="CZM984" s="336"/>
      <c r="CZN984" s="337"/>
      <c r="CZO984" s="336"/>
      <c r="CZP984" s="337"/>
      <c r="CZQ984" s="336"/>
      <c r="CZR984" s="337"/>
      <c r="CZS984" s="336"/>
      <c r="CZT984" s="337"/>
      <c r="CZU984" s="336"/>
      <c r="CZV984" s="337"/>
      <c r="CZW984" s="336"/>
      <c r="CZX984" s="337"/>
      <c r="CZY984" s="336"/>
      <c r="CZZ984" s="337"/>
      <c r="DAA984" s="336"/>
      <c r="DAB984" s="337"/>
      <c r="DAC984" s="336"/>
      <c r="DAD984" s="337"/>
      <c r="DAE984" s="336"/>
      <c r="DAF984" s="337"/>
      <c r="DAG984" s="336"/>
      <c r="DAH984" s="337"/>
      <c r="DAI984" s="336"/>
      <c r="DAJ984" s="337"/>
      <c r="DAK984" s="336"/>
      <c r="DAL984" s="337"/>
      <c r="DAM984" s="336"/>
      <c r="DAN984" s="337"/>
      <c r="DAO984" s="336"/>
      <c r="DAP984" s="337"/>
      <c r="DAQ984" s="336"/>
      <c r="DAR984" s="337"/>
      <c r="DAS984" s="336"/>
      <c r="DAT984" s="337"/>
      <c r="DAU984" s="336"/>
      <c r="DAV984" s="337"/>
      <c r="DAW984" s="336"/>
      <c r="DAX984" s="337"/>
      <c r="DAY984" s="336"/>
      <c r="DAZ984" s="337"/>
      <c r="DBA984" s="336"/>
      <c r="DBB984" s="337"/>
      <c r="DBC984" s="336"/>
      <c r="DBD984" s="337"/>
      <c r="DBE984" s="336"/>
      <c r="DBF984" s="337"/>
      <c r="DBG984" s="336"/>
      <c r="DBH984" s="337"/>
      <c r="DBI984" s="336"/>
      <c r="DBJ984" s="337"/>
      <c r="DBK984" s="336"/>
      <c r="DBL984" s="337"/>
      <c r="DBM984" s="336"/>
      <c r="DBN984" s="337"/>
      <c r="DBO984" s="336"/>
      <c r="DBP984" s="337"/>
      <c r="DBQ984" s="336"/>
      <c r="DBR984" s="337"/>
      <c r="DBS984" s="336"/>
      <c r="DBT984" s="337"/>
      <c r="DBU984" s="336"/>
      <c r="DBV984" s="337"/>
      <c r="DBW984" s="336"/>
      <c r="DBX984" s="337"/>
      <c r="DBY984" s="336"/>
      <c r="DBZ984" s="337"/>
      <c r="DCA984" s="336"/>
      <c r="DCB984" s="337"/>
      <c r="DCC984" s="336"/>
      <c r="DCD984" s="337"/>
      <c r="DCE984" s="336"/>
      <c r="DCF984" s="337"/>
      <c r="DCG984" s="336"/>
      <c r="DCH984" s="337"/>
      <c r="DCI984" s="336"/>
      <c r="DCJ984" s="337"/>
      <c r="DCK984" s="336"/>
      <c r="DCL984" s="337"/>
      <c r="DCM984" s="336"/>
      <c r="DCN984" s="337"/>
      <c r="DCO984" s="336"/>
      <c r="DCP984" s="337"/>
      <c r="DCQ984" s="336"/>
      <c r="DCR984" s="337"/>
      <c r="DCS984" s="336"/>
      <c r="DCT984" s="337"/>
      <c r="DCU984" s="336"/>
      <c r="DCV984" s="337"/>
      <c r="DCW984" s="336"/>
      <c r="DCX984" s="337"/>
      <c r="DCY984" s="336"/>
      <c r="DCZ984" s="337"/>
      <c r="DDA984" s="336"/>
      <c r="DDB984" s="337"/>
      <c r="DDC984" s="336"/>
      <c r="DDD984" s="337"/>
      <c r="DDE984" s="336"/>
      <c r="DDF984" s="337"/>
      <c r="DDG984" s="336"/>
      <c r="DDH984" s="337"/>
      <c r="DDI984" s="336"/>
      <c r="DDJ984" s="337"/>
      <c r="DDK984" s="336"/>
      <c r="DDL984" s="337"/>
      <c r="DDM984" s="336"/>
      <c r="DDN984" s="337"/>
      <c r="DDO984" s="336"/>
      <c r="DDP984" s="337"/>
      <c r="DDQ984" s="336"/>
      <c r="DDR984" s="337"/>
      <c r="DDS984" s="336"/>
      <c r="DDT984" s="337"/>
      <c r="DDU984" s="336"/>
      <c r="DDV984" s="337"/>
      <c r="DDW984" s="336"/>
      <c r="DDX984" s="337"/>
      <c r="DDY984" s="336"/>
      <c r="DDZ984" s="337"/>
      <c r="DEA984" s="336"/>
      <c r="DEB984" s="337"/>
      <c r="DEC984" s="336"/>
      <c r="DED984" s="337"/>
      <c r="DEE984" s="336"/>
      <c r="DEF984" s="337"/>
      <c r="DEG984" s="336"/>
      <c r="DEH984" s="337"/>
      <c r="DEI984" s="336"/>
      <c r="DEJ984" s="337"/>
      <c r="DEK984" s="336"/>
      <c r="DEL984" s="337"/>
      <c r="DEM984" s="336"/>
      <c r="DEN984" s="337"/>
      <c r="DEO984" s="336"/>
      <c r="DEP984" s="337"/>
      <c r="DEQ984" s="336"/>
      <c r="DER984" s="337"/>
      <c r="DES984" s="336"/>
      <c r="DET984" s="337"/>
      <c r="DEU984" s="336"/>
      <c r="DEV984" s="337"/>
      <c r="DEW984" s="336"/>
      <c r="DEX984" s="337"/>
      <c r="DEY984" s="336"/>
      <c r="DEZ984" s="337"/>
      <c r="DFA984" s="336"/>
      <c r="DFB984" s="337"/>
      <c r="DFC984" s="336"/>
      <c r="DFD984" s="337"/>
      <c r="DFE984" s="336"/>
      <c r="DFF984" s="337"/>
      <c r="DFG984" s="336"/>
      <c r="DFH984" s="337"/>
      <c r="DFI984" s="336"/>
      <c r="DFJ984" s="337"/>
      <c r="DFK984" s="336"/>
      <c r="DFL984" s="337"/>
      <c r="DFM984" s="336"/>
      <c r="DFN984" s="337"/>
      <c r="DFO984" s="336"/>
      <c r="DFP984" s="337"/>
      <c r="DFQ984" s="336"/>
      <c r="DFR984" s="337"/>
      <c r="DFS984" s="336"/>
      <c r="DFT984" s="337"/>
      <c r="DFU984" s="336"/>
      <c r="DFV984" s="337"/>
      <c r="DFW984" s="336"/>
      <c r="DFX984" s="337"/>
      <c r="DFY984" s="336"/>
      <c r="DFZ984" s="337"/>
      <c r="DGA984" s="336"/>
      <c r="DGB984" s="337"/>
      <c r="DGC984" s="336"/>
      <c r="DGD984" s="337"/>
      <c r="DGE984" s="336"/>
      <c r="DGF984" s="337"/>
      <c r="DGG984" s="336"/>
      <c r="DGH984" s="337"/>
      <c r="DGI984" s="336"/>
      <c r="DGJ984" s="337"/>
      <c r="DGK984" s="336"/>
      <c r="DGL984" s="337"/>
      <c r="DGM984" s="336"/>
      <c r="DGN984" s="337"/>
      <c r="DGO984" s="336"/>
      <c r="DGP984" s="337"/>
      <c r="DGQ984" s="336"/>
      <c r="DGR984" s="337"/>
      <c r="DGS984" s="336"/>
      <c r="DGT984" s="337"/>
      <c r="DGU984" s="336"/>
      <c r="DGV984" s="337"/>
      <c r="DGW984" s="336"/>
      <c r="DGX984" s="337"/>
      <c r="DGY984" s="336"/>
      <c r="DGZ984" s="337"/>
      <c r="DHA984" s="336"/>
      <c r="DHB984" s="337"/>
      <c r="DHC984" s="336"/>
      <c r="DHD984" s="337"/>
      <c r="DHE984" s="336"/>
      <c r="DHF984" s="337"/>
      <c r="DHG984" s="336"/>
      <c r="DHH984" s="337"/>
      <c r="DHI984" s="336"/>
      <c r="DHJ984" s="337"/>
      <c r="DHK984" s="336"/>
      <c r="DHL984" s="337"/>
      <c r="DHM984" s="336"/>
      <c r="DHN984" s="337"/>
      <c r="DHO984" s="336"/>
      <c r="DHP984" s="337"/>
      <c r="DHQ984" s="336"/>
      <c r="DHR984" s="337"/>
      <c r="DHS984" s="336"/>
      <c r="DHT984" s="337"/>
      <c r="DHU984" s="336"/>
      <c r="DHV984" s="337"/>
      <c r="DHW984" s="336"/>
      <c r="DHX984" s="337"/>
      <c r="DHY984" s="336"/>
      <c r="DHZ984" s="337"/>
      <c r="DIA984" s="336"/>
      <c r="DIB984" s="337"/>
      <c r="DIC984" s="336"/>
      <c r="DID984" s="337"/>
      <c r="DIE984" s="336"/>
      <c r="DIF984" s="337"/>
      <c r="DIG984" s="336"/>
      <c r="DIH984" s="337"/>
      <c r="DII984" s="336"/>
      <c r="DIJ984" s="337"/>
      <c r="DIK984" s="336"/>
      <c r="DIL984" s="337"/>
      <c r="DIM984" s="336"/>
      <c r="DIN984" s="337"/>
      <c r="DIO984" s="336"/>
      <c r="DIP984" s="337"/>
      <c r="DIQ984" s="336"/>
      <c r="DIR984" s="337"/>
      <c r="DIS984" s="336"/>
      <c r="DIT984" s="337"/>
      <c r="DIU984" s="336"/>
      <c r="DIV984" s="337"/>
      <c r="DIW984" s="336"/>
      <c r="DIX984" s="337"/>
      <c r="DIY984" s="336"/>
      <c r="DIZ984" s="337"/>
      <c r="DJA984" s="336"/>
      <c r="DJB984" s="337"/>
      <c r="DJC984" s="336"/>
      <c r="DJD984" s="337"/>
      <c r="DJE984" s="336"/>
      <c r="DJF984" s="337"/>
      <c r="DJG984" s="336"/>
      <c r="DJH984" s="337"/>
      <c r="DJI984" s="336"/>
      <c r="DJJ984" s="337"/>
      <c r="DJK984" s="336"/>
      <c r="DJL984" s="337"/>
      <c r="DJM984" s="336"/>
      <c r="DJN984" s="337"/>
      <c r="DJO984" s="336"/>
      <c r="DJP984" s="337"/>
      <c r="DJQ984" s="336"/>
      <c r="DJR984" s="337"/>
      <c r="DJS984" s="336"/>
      <c r="DJT984" s="337"/>
      <c r="DJU984" s="336"/>
      <c r="DJV984" s="337"/>
      <c r="DJW984" s="336"/>
      <c r="DJX984" s="337"/>
      <c r="DJY984" s="336"/>
      <c r="DJZ984" s="337"/>
      <c r="DKA984" s="336"/>
      <c r="DKB984" s="337"/>
      <c r="DKC984" s="336"/>
      <c r="DKD984" s="337"/>
      <c r="DKE984" s="336"/>
      <c r="DKF984" s="337"/>
      <c r="DKG984" s="336"/>
      <c r="DKH984" s="337"/>
      <c r="DKI984" s="336"/>
      <c r="DKJ984" s="337"/>
      <c r="DKK984" s="336"/>
      <c r="DKL984" s="337"/>
      <c r="DKM984" s="336"/>
      <c r="DKN984" s="337"/>
      <c r="DKO984" s="336"/>
      <c r="DKP984" s="337"/>
      <c r="DKQ984" s="336"/>
      <c r="DKR984" s="337"/>
      <c r="DKS984" s="336"/>
      <c r="DKT984" s="337"/>
      <c r="DKU984" s="336"/>
      <c r="DKV984" s="337"/>
      <c r="DKW984" s="336"/>
      <c r="DKX984" s="337"/>
      <c r="DKY984" s="336"/>
      <c r="DKZ984" s="337"/>
      <c r="DLA984" s="336"/>
      <c r="DLB984" s="337"/>
      <c r="DLC984" s="336"/>
      <c r="DLD984" s="337"/>
      <c r="DLE984" s="336"/>
      <c r="DLF984" s="337"/>
      <c r="DLG984" s="336"/>
      <c r="DLH984" s="337"/>
      <c r="DLI984" s="336"/>
      <c r="DLJ984" s="337"/>
      <c r="DLK984" s="336"/>
      <c r="DLL984" s="337"/>
      <c r="DLM984" s="336"/>
      <c r="DLN984" s="337"/>
      <c r="DLO984" s="336"/>
      <c r="DLP984" s="337"/>
      <c r="DLQ984" s="336"/>
      <c r="DLR984" s="337"/>
      <c r="DLS984" s="336"/>
      <c r="DLT984" s="337"/>
      <c r="DLU984" s="336"/>
      <c r="DLV984" s="337"/>
      <c r="DLW984" s="336"/>
      <c r="DLX984" s="337"/>
      <c r="DLY984" s="336"/>
      <c r="DLZ984" s="337"/>
      <c r="DMA984" s="336"/>
      <c r="DMB984" s="337"/>
      <c r="DMC984" s="336"/>
      <c r="DMD984" s="337"/>
      <c r="DME984" s="336"/>
      <c r="DMF984" s="337"/>
      <c r="DMG984" s="336"/>
      <c r="DMH984" s="337"/>
      <c r="DMI984" s="336"/>
      <c r="DMJ984" s="337"/>
      <c r="DMK984" s="336"/>
      <c r="DML984" s="337"/>
      <c r="DMM984" s="336"/>
      <c r="DMN984" s="337"/>
      <c r="DMO984" s="336"/>
      <c r="DMP984" s="337"/>
      <c r="DMQ984" s="336"/>
      <c r="DMR984" s="337"/>
      <c r="DMS984" s="336"/>
      <c r="DMT984" s="337"/>
      <c r="DMU984" s="336"/>
      <c r="DMV984" s="337"/>
      <c r="DMW984" s="336"/>
      <c r="DMX984" s="337"/>
      <c r="DMY984" s="336"/>
      <c r="DMZ984" s="337"/>
      <c r="DNA984" s="336"/>
      <c r="DNB984" s="337"/>
      <c r="DNC984" s="336"/>
      <c r="DND984" s="337"/>
      <c r="DNE984" s="336"/>
      <c r="DNF984" s="337"/>
      <c r="DNG984" s="336"/>
      <c r="DNH984" s="337"/>
      <c r="DNI984" s="336"/>
      <c r="DNJ984" s="337"/>
      <c r="DNK984" s="336"/>
      <c r="DNL984" s="337"/>
      <c r="DNM984" s="336"/>
      <c r="DNN984" s="337"/>
      <c r="DNO984" s="336"/>
      <c r="DNP984" s="337"/>
      <c r="DNQ984" s="336"/>
      <c r="DNR984" s="337"/>
      <c r="DNS984" s="336"/>
      <c r="DNT984" s="337"/>
      <c r="DNU984" s="336"/>
      <c r="DNV984" s="337"/>
      <c r="DNW984" s="336"/>
      <c r="DNX984" s="337"/>
      <c r="DNY984" s="336"/>
      <c r="DNZ984" s="337"/>
      <c r="DOA984" s="336"/>
      <c r="DOB984" s="337"/>
      <c r="DOC984" s="336"/>
      <c r="DOD984" s="337"/>
      <c r="DOE984" s="336"/>
      <c r="DOF984" s="337"/>
      <c r="DOG984" s="336"/>
      <c r="DOH984" s="337"/>
      <c r="DOI984" s="336"/>
      <c r="DOJ984" s="337"/>
      <c r="DOK984" s="336"/>
      <c r="DOL984" s="337"/>
      <c r="DOM984" s="336"/>
      <c r="DON984" s="337"/>
      <c r="DOO984" s="336"/>
      <c r="DOP984" s="337"/>
      <c r="DOQ984" s="336"/>
      <c r="DOR984" s="337"/>
      <c r="DOS984" s="336"/>
      <c r="DOT984" s="337"/>
      <c r="DOU984" s="336"/>
      <c r="DOV984" s="337"/>
      <c r="DOW984" s="336"/>
      <c r="DOX984" s="337"/>
      <c r="DOY984" s="336"/>
      <c r="DOZ984" s="337"/>
      <c r="DPA984" s="336"/>
      <c r="DPB984" s="337"/>
      <c r="DPC984" s="336"/>
      <c r="DPD984" s="337"/>
      <c r="DPE984" s="336"/>
      <c r="DPF984" s="337"/>
      <c r="DPG984" s="336"/>
      <c r="DPH984" s="337"/>
      <c r="DPI984" s="336"/>
      <c r="DPJ984" s="337"/>
      <c r="DPK984" s="336"/>
      <c r="DPL984" s="337"/>
      <c r="DPM984" s="336"/>
      <c r="DPN984" s="337"/>
      <c r="DPO984" s="336"/>
      <c r="DPP984" s="337"/>
      <c r="DPQ984" s="336"/>
      <c r="DPR984" s="337"/>
      <c r="DPS984" s="336"/>
      <c r="DPT984" s="337"/>
      <c r="DPU984" s="336"/>
      <c r="DPV984" s="337"/>
      <c r="DPW984" s="336"/>
      <c r="DPX984" s="337"/>
      <c r="DPY984" s="336"/>
      <c r="DPZ984" s="337"/>
      <c r="DQA984" s="336"/>
      <c r="DQB984" s="337"/>
      <c r="DQC984" s="336"/>
      <c r="DQD984" s="337"/>
      <c r="DQE984" s="336"/>
      <c r="DQF984" s="337"/>
      <c r="DQG984" s="336"/>
      <c r="DQH984" s="337"/>
      <c r="DQI984" s="336"/>
      <c r="DQJ984" s="337"/>
      <c r="DQK984" s="336"/>
      <c r="DQL984" s="337"/>
      <c r="DQM984" s="336"/>
      <c r="DQN984" s="337"/>
      <c r="DQO984" s="336"/>
      <c r="DQP984" s="337"/>
      <c r="DQQ984" s="336"/>
      <c r="DQR984" s="337"/>
      <c r="DQS984" s="336"/>
      <c r="DQT984" s="337"/>
      <c r="DQU984" s="336"/>
      <c r="DQV984" s="337"/>
      <c r="DQW984" s="336"/>
      <c r="DQX984" s="337"/>
      <c r="DQY984" s="336"/>
      <c r="DQZ984" s="337"/>
      <c r="DRA984" s="336"/>
      <c r="DRB984" s="337"/>
      <c r="DRC984" s="336"/>
      <c r="DRD984" s="337"/>
      <c r="DRE984" s="336"/>
      <c r="DRF984" s="337"/>
      <c r="DRG984" s="336"/>
      <c r="DRH984" s="337"/>
      <c r="DRI984" s="336"/>
      <c r="DRJ984" s="337"/>
      <c r="DRK984" s="336"/>
      <c r="DRL984" s="337"/>
      <c r="DRM984" s="336"/>
      <c r="DRN984" s="337"/>
      <c r="DRO984" s="336"/>
      <c r="DRP984" s="337"/>
      <c r="DRQ984" s="336"/>
      <c r="DRR984" s="337"/>
      <c r="DRS984" s="336"/>
      <c r="DRT984" s="337"/>
      <c r="DRU984" s="336"/>
      <c r="DRV984" s="337"/>
      <c r="DRW984" s="336"/>
      <c r="DRX984" s="337"/>
      <c r="DRY984" s="336"/>
      <c r="DRZ984" s="337"/>
      <c r="DSA984" s="336"/>
      <c r="DSB984" s="337"/>
      <c r="DSC984" s="336"/>
      <c r="DSD984" s="337"/>
      <c r="DSE984" s="336"/>
      <c r="DSF984" s="337"/>
      <c r="DSG984" s="336"/>
      <c r="DSH984" s="337"/>
      <c r="DSI984" s="336"/>
      <c r="DSJ984" s="337"/>
      <c r="DSK984" s="336"/>
      <c r="DSL984" s="337"/>
      <c r="DSM984" s="336"/>
      <c r="DSN984" s="337"/>
      <c r="DSO984" s="336"/>
      <c r="DSP984" s="337"/>
      <c r="DSQ984" s="336"/>
      <c r="DSR984" s="337"/>
      <c r="DSS984" s="336"/>
      <c r="DST984" s="337"/>
      <c r="DSU984" s="336"/>
      <c r="DSV984" s="337"/>
      <c r="DSW984" s="336"/>
      <c r="DSX984" s="337"/>
      <c r="DSY984" s="336"/>
      <c r="DSZ984" s="337"/>
      <c r="DTA984" s="336"/>
      <c r="DTB984" s="337"/>
      <c r="DTC984" s="336"/>
      <c r="DTD984" s="337"/>
      <c r="DTE984" s="336"/>
      <c r="DTF984" s="337"/>
      <c r="DTG984" s="336"/>
      <c r="DTH984" s="337"/>
      <c r="DTI984" s="336"/>
      <c r="DTJ984" s="337"/>
      <c r="DTK984" s="336"/>
      <c r="DTL984" s="337"/>
      <c r="DTM984" s="336"/>
      <c r="DTN984" s="337"/>
      <c r="DTO984" s="336"/>
      <c r="DTP984" s="337"/>
      <c r="DTQ984" s="336"/>
      <c r="DTR984" s="337"/>
      <c r="DTS984" s="336"/>
      <c r="DTT984" s="337"/>
      <c r="DTU984" s="336"/>
      <c r="DTV984" s="337"/>
      <c r="DTW984" s="336"/>
      <c r="DTX984" s="337"/>
      <c r="DTY984" s="336"/>
      <c r="DTZ984" s="337"/>
      <c r="DUA984" s="336"/>
      <c r="DUB984" s="337"/>
      <c r="DUC984" s="336"/>
      <c r="DUD984" s="337"/>
      <c r="DUE984" s="336"/>
      <c r="DUF984" s="337"/>
      <c r="DUG984" s="336"/>
      <c r="DUH984" s="337"/>
      <c r="DUI984" s="336"/>
      <c r="DUJ984" s="337"/>
      <c r="DUK984" s="336"/>
      <c r="DUL984" s="337"/>
      <c r="DUM984" s="336"/>
      <c r="DUN984" s="337"/>
      <c r="DUO984" s="336"/>
      <c r="DUP984" s="337"/>
      <c r="DUQ984" s="336"/>
      <c r="DUR984" s="337"/>
      <c r="DUS984" s="336"/>
      <c r="DUT984" s="337"/>
      <c r="DUU984" s="336"/>
      <c r="DUV984" s="337"/>
      <c r="DUW984" s="336"/>
      <c r="DUX984" s="337"/>
      <c r="DUY984" s="336"/>
      <c r="DUZ984" s="337"/>
      <c r="DVA984" s="336"/>
      <c r="DVB984" s="337"/>
      <c r="DVC984" s="336"/>
      <c r="DVD984" s="337"/>
      <c r="DVE984" s="336"/>
      <c r="DVF984" s="337"/>
      <c r="DVG984" s="336"/>
      <c r="DVH984" s="337"/>
      <c r="DVI984" s="336"/>
      <c r="DVJ984" s="337"/>
      <c r="DVK984" s="336"/>
      <c r="DVL984" s="337"/>
      <c r="DVM984" s="336"/>
      <c r="DVN984" s="337"/>
      <c r="DVO984" s="336"/>
      <c r="DVP984" s="337"/>
      <c r="DVQ984" s="336"/>
      <c r="DVR984" s="337"/>
      <c r="DVS984" s="336"/>
      <c r="DVT984" s="337"/>
      <c r="DVU984" s="336"/>
      <c r="DVV984" s="337"/>
      <c r="DVW984" s="336"/>
      <c r="DVX984" s="337"/>
      <c r="DVY984" s="336"/>
      <c r="DVZ984" s="337"/>
      <c r="DWA984" s="336"/>
      <c r="DWB984" s="337"/>
      <c r="DWC984" s="336"/>
      <c r="DWD984" s="337"/>
      <c r="DWE984" s="336"/>
      <c r="DWF984" s="337"/>
      <c r="DWG984" s="336"/>
      <c r="DWH984" s="337"/>
      <c r="DWI984" s="336"/>
      <c r="DWJ984" s="337"/>
      <c r="DWK984" s="336"/>
      <c r="DWL984" s="337"/>
      <c r="DWM984" s="336"/>
      <c r="DWN984" s="337"/>
      <c r="DWO984" s="336"/>
      <c r="DWP984" s="337"/>
      <c r="DWQ984" s="336"/>
      <c r="DWR984" s="337"/>
      <c r="DWS984" s="336"/>
      <c r="DWT984" s="337"/>
      <c r="DWU984" s="336"/>
      <c r="DWV984" s="337"/>
      <c r="DWW984" s="336"/>
      <c r="DWX984" s="337"/>
      <c r="DWY984" s="336"/>
      <c r="DWZ984" s="337"/>
      <c r="DXA984" s="336"/>
      <c r="DXB984" s="337"/>
      <c r="DXC984" s="336"/>
      <c r="DXD984" s="337"/>
      <c r="DXE984" s="336"/>
      <c r="DXF984" s="337"/>
      <c r="DXG984" s="336"/>
      <c r="DXH984" s="337"/>
      <c r="DXI984" s="336"/>
      <c r="DXJ984" s="337"/>
      <c r="DXK984" s="336"/>
      <c r="DXL984" s="337"/>
      <c r="DXM984" s="336"/>
      <c r="DXN984" s="337"/>
      <c r="DXO984" s="336"/>
      <c r="DXP984" s="337"/>
      <c r="DXQ984" s="336"/>
      <c r="DXR984" s="337"/>
      <c r="DXS984" s="336"/>
      <c r="DXT984" s="337"/>
      <c r="DXU984" s="336"/>
      <c r="DXV984" s="337"/>
      <c r="DXW984" s="336"/>
      <c r="DXX984" s="337"/>
      <c r="DXY984" s="336"/>
      <c r="DXZ984" s="337"/>
      <c r="DYA984" s="336"/>
      <c r="DYB984" s="337"/>
      <c r="DYC984" s="336"/>
      <c r="DYD984" s="337"/>
      <c r="DYE984" s="336"/>
      <c r="DYF984" s="337"/>
      <c r="DYG984" s="336"/>
      <c r="DYH984" s="337"/>
      <c r="DYI984" s="336"/>
      <c r="DYJ984" s="337"/>
      <c r="DYK984" s="336"/>
      <c r="DYL984" s="337"/>
      <c r="DYM984" s="336"/>
      <c r="DYN984" s="337"/>
      <c r="DYO984" s="336"/>
      <c r="DYP984" s="337"/>
      <c r="DYQ984" s="336"/>
      <c r="DYR984" s="337"/>
      <c r="DYS984" s="336"/>
      <c r="DYT984" s="337"/>
      <c r="DYU984" s="336"/>
      <c r="DYV984" s="337"/>
      <c r="DYW984" s="336"/>
      <c r="DYX984" s="337"/>
      <c r="DYY984" s="336"/>
      <c r="DYZ984" s="337"/>
      <c r="DZA984" s="336"/>
      <c r="DZB984" s="337"/>
      <c r="DZC984" s="336"/>
      <c r="DZD984" s="337"/>
      <c r="DZE984" s="336"/>
      <c r="DZF984" s="337"/>
      <c r="DZG984" s="336"/>
      <c r="DZH984" s="337"/>
      <c r="DZI984" s="336"/>
      <c r="DZJ984" s="337"/>
      <c r="DZK984" s="336"/>
      <c r="DZL984" s="337"/>
      <c r="DZM984" s="336"/>
      <c r="DZN984" s="337"/>
      <c r="DZO984" s="336"/>
      <c r="DZP984" s="337"/>
      <c r="DZQ984" s="336"/>
      <c r="DZR984" s="337"/>
      <c r="DZS984" s="336"/>
      <c r="DZT984" s="337"/>
      <c r="DZU984" s="336"/>
      <c r="DZV984" s="337"/>
      <c r="DZW984" s="336"/>
      <c r="DZX984" s="337"/>
      <c r="DZY984" s="336"/>
      <c r="DZZ984" s="337"/>
      <c r="EAA984" s="336"/>
      <c r="EAB984" s="337"/>
      <c r="EAC984" s="336"/>
      <c r="EAD984" s="337"/>
      <c r="EAE984" s="336"/>
      <c r="EAF984" s="337"/>
      <c r="EAG984" s="336"/>
      <c r="EAH984" s="337"/>
      <c r="EAI984" s="336"/>
      <c r="EAJ984" s="337"/>
      <c r="EAK984" s="336"/>
      <c r="EAL984" s="337"/>
      <c r="EAM984" s="336"/>
      <c r="EAN984" s="337"/>
      <c r="EAO984" s="336"/>
      <c r="EAP984" s="337"/>
      <c r="EAQ984" s="336"/>
      <c r="EAR984" s="337"/>
      <c r="EAS984" s="336"/>
      <c r="EAT984" s="337"/>
      <c r="EAU984" s="336"/>
      <c r="EAV984" s="337"/>
      <c r="EAW984" s="336"/>
      <c r="EAX984" s="337"/>
      <c r="EAY984" s="336"/>
      <c r="EAZ984" s="337"/>
      <c r="EBA984" s="336"/>
      <c r="EBB984" s="337"/>
      <c r="EBC984" s="336"/>
      <c r="EBD984" s="337"/>
      <c r="EBE984" s="336"/>
      <c r="EBF984" s="337"/>
      <c r="EBG984" s="336"/>
      <c r="EBH984" s="337"/>
      <c r="EBI984" s="336"/>
      <c r="EBJ984" s="337"/>
      <c r="EBK984" s="336"/>
      <c r="EBL984" s="337"/>
      <c r="EBM984" s="336"/>
      <c r="EBN984" s="337"/>
      <c r="EBO984" s="336"/>
      <c r="EBP984" s="337"/>
      <c r="EBQ984" s="336"/>
      <c r="EBR984" s="337"/>
      <c r="EBS984" s="336"/>
      <c r="EBT984" s="337"/>
      <c r="EBU984" s="336"/>
      <c r="EBV984" s="337"/>
      <c r="EBW984" s="336"/>
      <c r="EBX984" s="337"/>
      <c r="EBY984" s="336"/>
      <c r="EBZ984" s="337"/>
      <c r="ECA984" s="336"/>
      <c r="ECB984" s="337"/>
      <c r="ECC984" s="336"/>
      <c r="ECD984" s="337"/>
      <c r="ECE984" s="336"/>
      <c r="ECF984" s="337"/>
      <c r="ECG984" s="336"/>
      <c r="ECH984" s="337"/>
      <c r="ECI984" s="336"/>
      <c r="ECJ984" s="337"/>
      <c r="ECK984" s="336"/>
      <c r="ECL984" s="337"/>
      <c r="ECM984" s="336"/>
      <c r="ECN984" s="337"/>
      <c r="ECO984" s="336"/>
      <c r="ECP984" s="337"/>
      <c r="ECQ984" s="336"/>
      <c r="ECR984" s="337"/>
      <c r="ECS984" s="336"/>
      <c r="ECT984" s="337"/>
      <c r="ECU984" s="336"/>
      <c r="ECV984" s="337"/>
      <c r="ECW984" s="336"/>
      <c r="ECX984" s="337"/>
      <c r="ECY984" s="336"/>
      <c r="ECZ984" s="337"/>
      <c r="EDA984" s="336"/>
      <c r="EDB984" s="337"/>
      <c r="EDC984" s="336"/>
      <c r="EDD984" s="337"/>
      <c r="EDE984" s="336"/>
      <c r="EDF984" s="337"/>
      <c r="EDG984" s="336"/>
      <c r="EDH984" s="337"/>
      <c r="EDI984" s="336"/>
      <c r="EDJ984" s="337"/>
      <c r="EDK984" s="336"/>
      <c r="EDL984" s="337"/>
      <c r="EDM984" s="336"/>
      <c r="EDN984" s="337"/>
      <c r="EDO984" s="336"/>
      <c r="EDP984" s="337"/>
      <c r="EDQ984" s="336"/>
      <c r="EDR984" s="337"/>
      <c r="EDS984" s="336"/>
      <c r="EDT984" s="337"/>
      <c r="EDU984" s="336"/>
      <c r="EDV984" s="337"/>
      <c r="EDW984" s="336"/>
      <c r="EDX984" s="337"/>
      <c r="EDY984" s="336"/>
      <c r="EDZ984" s="337"/>
      <c r="EEA984" s="336"/>
      <c r="EEB984" s="337"/>
      <c r="EEC984" s="336"/>
      <c r="EED984" s="337"/>
      <c r="EEE984" s="336"/>
      <c r="EEF984" s="337"/>
      <c r="EEG984" s="336"/>
      <c r="EEH984" s="337"/>
      <c r="EEI984" s="336"/>
      <c r="EEJ984" s="337"/>
      <c r="EEK984" s="336"/>
      <c r="EEL984" s="337"/>
      <c r="EEM984" s="336"/>
      <c r="EEN984" s="337"/>
      <c r="EEO984" s="336"/>
      <c r="EEP984" s="337"/>
      <c r="EEQ984" s="336"/>
      <c r="EER984" s="337"/>
      <c r="EES984" s="336"/>
      <c r="EET984" s="337"/>
      <c r="EEU984" s="336"/>
      <c r="EEV984" s="337"/>
      <c r="EEW984" s="336"/>
      <c r="EEX984" s="337"/>
      <c r="EEY984" s="336"/>
      <c r="EEZ984" s="337"/>
      <c r="EFA984" s="336"/>
      <c r="EFB984" s="337"/>
      <c r="EFC984" s="336"/>
      <c r="EFD984" s="337"/>
      <c r="EFE984" s="336"/>
      <c r="EFF984" s="337"/>
      <c r="EFG984" s="336"/>
      <c r="EFH984" s="337"/>
      <c r="EFI984" s="336"/>
      <c r="EFJ984" s="337"/>
      <c r="EFK984" s="336"/>
      <c r="EFL984" s="337"/>
      <c r="EFM984" s="336"/>
      <c r="EFN984" s="337"/>
      <c r="EFO984" s="336"/>
      <c r="EFP984" s="337"/>
      <c r="EFQ984" s="336"/>
      <c r="EFR984" s="337"/>
      <c r="EFS984" s="336"/>
      <c r="EFT984" s="337"/>
      <c r="EFU984" s="336"/>
      <c r="EFV984" s="337"/>
      <c r="EFW984" s="336"/>
      <c r="EFX984" s="337"/>
      <c r="EFY984" s="336"/>
      <c r="EFZ984" s="337"/>
      <c r="EGA984" s="336"/>
      <c r="EGB984" s="337"/>
      <c r="EGC984" s="336"/>
      <c r="EGD984" s="337"/>
      <c r="EGE984" s="336"/>
      <c r="EGF984" s="337"/>
      <c r="EGG984" s="336"/>
      <c r="EGH984" s="337"/>
      <c r="EGI984" s="336"/>
      <c r="EGJ984" s="337"/>
      <c r="EGK984" s="336"/>
      <c r="EGL984" s="337"/>
      <c r="EGM984" s="336"/>
      <c r="EGN984" s="337"/>
      <c r="EGO984" s="336"/>
      <c r="EGP984" s="337"/>
      <c r="EGQ984" s="336"/>
      <c r="EGR984" s="337"/>
      <c r="EGS984" s="336"/>
      <c r="EGT984" s="337"/>
      <c r="EGU984" s="336"/>
      <c r="EGV984" s="337"/>
      <c r="EGW984" s="336"/>
      <c r="EGX984" s="337"/>
      <c r="EGY984" s="336"/>
      <c r="EGZ984" s="337"/>
      <c r="EHA984" s="336"/>
      <c r="EHB984" s="337"/>
      <c r="EHC984" s="336"/>
      <c r="EHD984" s="337"/>
      <c r="EHE984" s="336"/>
      <c r="EHF984" s="337"/>
      <c r="EHG984" s="336"/>
      <c r="EHH984" s="337"/>
      <c r="EHI984" s="336"/>
      <c r="EHJ984" s="337"/>
      <c r="EHK984" s="336"/>
      <c r="EHL984" s="337"/>
      <c r="EHM984" s="336"/>
      <c r="EHN984" s="337"/>
      <c r="EHO984" s="336"/>
      <c r="EHP984" s="337"/>
      <c r="EHQ984" s="336"/>
      <c r="EHR984" s="337"/>
      <c r="EHS984" s="336"/>
      <c r="EHT984" s="337"/>
      <c r="EHU984" s="336"/>
      <c r="EHV984" s="337"/>
      <c r="EHW984" s="336"/>
      <c r="EHX984" s="337"/>
      <c r="EHY984" s="336"/>
      <c r="EHZ984" s="337"/>
      <c r="EIA984" s="336"/>
      <c r="EIB984" s="337"/>
      <c r="EIC984" s="336"/>
      <c r="EID984" s="337"/>
      <c r="EIE984" s="336"/>
      <c r="EIF984" s="337"/>
      <c r="EIG984" s="336"/>
      <c r="EIH984" s="337"/>
      <c r="EII984" s="336"/>
      <c r="EIJ984" s="337"/>
      <c r="EIK984" s="336"/>
      <c r="EIL984" s="337"/>
      <c r="EIM984" s="336"/>
      <c r="EIN984" s="337"/>
      <c r="EIO984" s="336"/>
      <c r="EIP984" s="337"/>
      <c r="EIQ984" s="336"/>
      <c r="EIR984" s="337"/>
      <c r="EIS984" s="336"/>
      <c r="EIT984" s="337"/>
      <c r="EIU984" s="336"/>
      <c r="EIV984" s="337"/>
      <c r="EIW984" s="336"/>
      <c r="EIX984" s="337"/>
      <c r="EIY984" s="336"/>
      <c r="EIZ984" s="337"/>
      <c r="EJA984" s="336"/>
      <c r="EJB984" s="337"/>
      <c r="EJC984" s="336"/>
      <c r="EJD984" s="337"/>
      <c r="EJE984" s="336"/>
      <c r="EJF984" s="337"/>
      <c r="EJG984" s="336"/>
      <c r="EJH984" s="337"/>
      <c r="EJI984" s="336"/>
      <c r="EJJ984" s="337"/>
      <c r="EJK984" s="336"/>
      <c r="EJL984" s="337"/>
      <c r="EJM984" s="336"/>
      <c r="EJN984" s="337"/>
      <c r="EJO984" s="336"/>
      <c r="EJP984" s="337"/>
      <c r="EJQ984" s="336"/>
      <c r="EJR984" s="337"/>
      <c r="EJS984" s="336"/>
      <c r="EJT984" s="337"/>
      <c r="EJU984" s="336"/>
      <c r="EJV984" s="337"/>
      <c r="EJW984" s="336"/>
      <c r="EJX984" s="337"/>
      <c r="EJY984" s="336"/>
      <c r="EJZ984" s="337"/>
      <c r="EKA984" s="336"/>
      <c r="EKB984" s="337"/>
      <c r="EKC984" s="336"/>
      <c r="EKD984" s="337"/>
      <c r="EKE984" s="336"/>
      <c r="EKF984" s="337"/>
      <c r="EKG984" s="336"/>
      <c r="EKH984" s="337"/>
      <c r="EKI984" s="336"/>
      <c r="EKJ984" s="337"/>
      <c r="EKK984" s="336"/>
      <c r="EKL984" s="337"/>
      <c r="EKM984" s="336"/>
      <c r="EKN984" s="337"/>
      <c r="EKO984" s="336"/>
      <c r="EKP984" s="337"/>
      <c r="EKQ984" s="336"/>
      <c r="EKR984" s="337"/>
      <c r="EKS984" s="336"/>
      <c r="EKT984" s="337"/>
      <c r="EKU984" s="336"/>
      <c r="EKV984" s="337"/>
      <c r="EKW984" s="336"/>
      <c r="EKX984" s="337"/>
      <c r="EKY984" s="336"/>
      <c r="EKZ984" s="337"/>
      <c r="ELA984" s="336"/>
      <c r="ELB984" s="337"/>
      <c r="ELC984" s="336"/>
      <c r="ELD984" s="337"/>
      <c r="ELE984" s="336"/>
      <c r="ELF984" s="337"/>
      <c r="ELG984" s="336"/>
      <c r="ELH984" s="337"/>
      <c r="ELI984" s="336"/>
      <c r="ELJ984" s="337"/>
      <c r="ELK984" s="336"/>
      <c r="ELL984" s="337"/>
      <c r="ELM984" s="336"/>
      <c r="ELN984" s="337"/>
      <c r="ELO984" s="336"/>
      <c r="ELP984" s="337"/>
      <c r="ELQ984" s="336"/>
      <c r="ELR984" s="337"/>
      <c r="ELS984" s="336"/>
      <c r="ELT984" s="337"/>
      <c r="ELU984" s="336"/>
      <c r="ELV984" s="337"/>
      <c r="ELW984" s="336"/>
      <c r="ELX984" s="337"/>
      <c r="ELY984" s="336"/>
      <c r="ELZ984" s="337"/>
      <c r="EMA984" s="336"/>
      <c r="EMB984" s="337"/>
      <c r="EMC984" s="336"/>
      <c r="EMD984" s="337"/>
      <c r="EME984" s="336"/>
      <c r="EMF984" s="337"/>
      <c r="EMG984" s="336"/>
      <c r="EMH984" s="337"/>
      <c r="EMI984" s="336"/>
      <c r="EMJ984" s="337"/>
      <c r="EMK984" s="336"/>
      <c r="EML984" s="337"/>
      <c r="EMM984" s="336"/>
      <c r="EMN984" s="337"/>
      <c r="EMO984" s="336"/>
      <c r="EMP984" s="337"/>
      <c r="EMQ984" s="336"/>
      <c r="EMR984" s="337"/>
      <c r="EMS984" s="336"/>
      <c r="EMT984" s="337"/>
      <c r="EMU984" s="336"/>
      <c r="EMV984" s="337"/>
      <c r="EMW984" s="336"/>
      <c r="EMX984" s="337"/>
      <c r="EMY984" s="336"/>
      <c r="EMZ984" s="337"/>
      <c r="ENA984" s="336"/>
      <c r="ENB984" s="337"/>
      <c r="ENC984" s="336"/>
      <c r="END984" s="337"/>
      <c r="ENE984" s="336"/>
      <c r="ENF984" s="337"/>
      <c r="ENG984" s="336"/>
      <c r="ENH984" s="337"/>
      <c r="ENI984" s="336"/>
      <c r="ENJ984" s="337"/>
      <c r="ENK984" s="336"/>
      <c r="ENL984" s="337"/>
      <c r="ENM984" s="336"/>
      <c r="ENN984" s="337"/>
      <c r="ENO984" s="336"/>
      <c r="ENP984" s="337"/>
      <c r="ENQ984" s="336"/>
      <c r="ENR984" s="337"/>
      <c r="ENS984" s="336"/>
      <c r="ENT984" s="337"/>
      <c r="ENU984" s="336"/>
      <c r="ENV984" s="337"/>
      <c r="ENW984" s="336"/>
      <c r="ENX984" s="337"/>
      <c r="ENY984" s="336"/>
      <c r="ENZ984" s="337"/>
      <c r="EOA984" s="336"/>
      <c r="EOB984" s="337"/>
      <c r="EOC984" s="336"/>
      <c r="EOD984" s="337"/>
      <c r="EOE984" s="336"/>
      <c r="EOF984" s="337"/>
      <c r="EOG984" s="336"/>
      <c r="EOH984" s="337"/>
      <c r="EOI984" s="336"/>
      <c r="EOJ984" s="337"/>
      <c r="EOK984" s="336"/>
      <c r="EOL984" s="337"/>
      <c r="EOM984" s="336"/>
      <c r="EON984" s="337"/>
      <c r="EOO984" s="336"/>
      <c r="EOP984" s="337"/>
      <c r="EOQ984" s="336"/>
      <c r="EOR984" s="337"/>
      <c r="EOS984" s="336"/>
      <c r="EOT984" s="337"/>
      <c r="EOU984" s="336"/>
      <c r="EOV984" s="337"/>
      <c r="EOW984" s="336"/>
      <c r="EOX984" s="337"/>
      <c r="EOY984" s="336"/>
      <c r="EOZ984" s="337"/>
      <c r="EPA984" s="336"/>
      <c r="EPB984" s="337"/>
      <c r="EPC984" s="336"/>
      <c r="EPD984" s="337"/>
      <c r="EPE984" s="336"/>
      <c r="EPF984" s="337"/>
      <c r="EPG984" s="336"/>
      <c r="EPH984" s="337"/>
      <c r="EPI984" s="336"/>
      <c r="EPJ984" s="337"/>
      <c r="EPK984" s="336"/>
      <c r="EPL984" s="337"/>
      <c r="EPM984" s="336"/>
      <c r="EPN984" s="337"/>
      <c r="EPO984" s="336"/>
      <c r="EPP984" s="337"/>
      <c r="EPQ984" s="336"/>
      <c r="EPR984" s="337"/>
      <c r="EPS984" s="336"/>
      <c r="EPT984" s="337"/>
      <c r="EPU984" s="336"/>
      <c r="EPV984" s="337"/>
      <c r="EPW984" s="336"/>
      <c r="EPX984" s="337"/>
      <c r="EPY984" s="336"/>
      <c r="EPZ984" s="337"/>
      <c r="EQA984" s="336"/>
      <c r="EQB984" s="337"/>
      <c r="EQC984" s="336"/>
      <c r="EQD984" s="337"/>
      <c r="EQE984" s="336"/>
      <c r="EQF984" s="337"/>
      <c r="EQG984" s="336"/>
      <c r="EQH984" s="337"/>
      <c r="EQI984" s="336"/>
      <c r="EQJ984" s="337"/>
      <c r="EQK984" s="336"/>
      <c r="EQL984" s="337"/>
      <c r="EQM984" s="336"/>
      <c r="EQN984" s="337"/>
      <c r="EQO984" s="336"/>
      <c r="EQP984" s="337"/>
      <c r="EQQ984" s="336"/>
      <c r="EQR984" s="337"/>
      <c r="EQS984" s="336"/>
      <c r="EQT984" s="337"/>
      <c r="EQU984" s="336"/>
      <c r="EQV984" s="337"/>
      <c r="EQW984" s="336"/>
      <c r="EQX984" s="337"/>
      <c r="EQY984" s="336"/>
      <c r="EQZ984" s="337"/>
      <c r="ERA984" s="336"/>
      <c r="ERB984" s="337"/>
      <c r="ERC984" s="336"/>
      <c r="ERD984" s="337"/>
      <c r="ERE984" s="336"/>
      <c r="ERF984" s="337"/>
      <c r="ERG984" s="336"/>
      <c r="ERH984" s="337"/>
      <c r="ERI984" s="336"/>
      <c r="ERJ984" s="337"/>
      <c r="ERK984" s="336"/>
      <c r="ERL984" s="337"/>
      <c r="ERM984" s="336"/>
      <c r="ERN984" s="337"/>
      <c r="ERO984" s="336"/>
      <c r="ERP984" s="337"/>
      <c r="ERQ984" s="336"/>
      <c r="ERR984" s="337"/>
      <c r="ERS984" s="336"/>
      <c r="ERT984" s="337"/>
      <c r="ERU984" s="336"/>
      <c r="ERV984" s="337"/>
      <c r="ERW984" s="336"/>
      <c r="ERX984" s="337"/>
      <c r="ERY984" s="336"/>
      <c r="ERZ984" s="337"/>
      <c r="ESA984" s="336"/>
      <c r="ESB984" s="337"/>
      <c r="ESC984" s="336"/>
      <c r="ESD984" s="337"/>
      <c r="ESE984" s="336"/>
      <c r="ESF984" s="337"/>
      <c r="ESG984" s="336"/>
      <c r="ESH984" s="337"/>
      <c r="ESI984" s="336"/>
      <c r="ESJ984" s="337"/>
      <c r="ESK984" s="336"/>
      <c r="ESL984" s="337"/>
      <c r="ESM984" s="336"/>
      <c r="ESN984" s="337"/>
      <c r="ESO984" s="336"/>
      <c r="ESP984" s="337"/>
      <c r="ESQ984" s="336"/>
      <c r="ESR984" s="337"/>
      <c r="ESS984" s="336"/>
      <c r="EST984" s="337"/>
      <c r="ESU984" s="336"/>
      <c r="ESV984" s="337"/>
      <c r="ESW984" s="336"/>
      <c r="ESX984" s="337"/>
      <c r="ESY984" s="336"/>
      <c r="ESZ984" s="337"/>
      <c r="ETA984" s="336"/>
      <c r="ETB984" s="337"/>
      <c r="ETC984" s="336"/>
      <c r="ETD984" s="337"/>
      <c r="ETE984" s="336"/>
      <c r="ETF984" s="337"/>
      <c r="ETG984" s="336"/>
      <c r="ETH984" s="337"/>
      <c r="ETI984" s="336"/>
      <c r="ETJ984" s="337"/>
      <c r="ETK984" s="336"/>
      <c r="ETL984" s="337"/>
      <c r="ETM984" s="336"/>
      <c r="ETN984" s="337"/>
      <c r="ETO984" s="336"/>
      <c r="ETP984" s="337"/>
      <c r="ETQ984" s="336"/>
      <c r="ETR984" s="337"/>
      <c r="ETS984" s="336"/>
      <c r="ETT984" s="337"/>
      <c r="ETU984" s="336"/>
      <c r="ETV984" s="337"/>
      <c r="ETW984" s="336"/>
      <c r="ETX984" s="337"/>
      <c r="ETY984" s="336"/>
      <c r="ETZ984" s="337"/>
      <c r="EUA984" s="336"/>
      <c r="EUB984" s="337"/>
      <c r="EUC984" s="336"/>
      <c r="EUD984" s="337"/>
      <c r="EUE984" s="336"/>
      <c r="EUF984" s="337"/>
      <c r="EUG984" s="336"/>
      <c r="EUH984" s="337"/>
      <c r="EUI984" s="336"/>
      <c r="EUJ984" s="337"/>
      <c r="EUK984" s="336"/>
      <c r="EUL984" s="337"/>
      <c r="EUM984" s="336"/>
      <c r="EUN984" s="337"/>
      <c r="EUO984" s="336"/>
      <c r="EUP984" s="337"/>
      <c r="EUQ984" s="336"/>
      <c r="EUR984" s="337"/>
      <c r="EUS984" s="336"/>
      <c r="EUT984" s="337"/>
      <c r="EUU984" s="336"/>
      <c r="EUV984" s="337"/>
      <c r="EUW984" s="336"/>
      <c r="EUX984" s="337"/>
      <c r="EUY984" s="336"/>
      <c r="EUZ984" s="337"/>
      <c r="EVA984" s="336"/>
      <c r="EVB984" s="337"/>
      <c r="EVC984" s="336"/>
      <c r="EVD984" s="337"/>
      <c r="EVE984" s="336"/>
      <c r="EVF984" s="337"/>
      <c r="EVG984" s="336"/>
      <c r="EVH984" s="337"/>
      <c r="EVI984" s="336"/>
      <c r="EVJ984" s="337"/>
      <c r="EVK984" s="336"/>
      <c r="EVL984" s="337"/>
      <c r="EVM984" s="336"/>
      <c r="EVN984" s="337"/>
      <c r="EVO984" s="336"/>
      <c r="EVP984" s="337"/>
      <c r="EVQ984" s="336"/>
      <c r="EVR984" s="337"/>
      <c r="EVS984" s="336"/>
      <c r="EVT984" s="337"/>
      <c r="EVU984" s="336"/>
      <c r="EVV984" s="337"/>
      <c r="EVW984" s="336"/>
      <c r="EVX984" s="337"/>
      <c r="EVY984" s="336"/>
      <c r="EVZ984" s="337"/>
      <c r="EWA984" s="336"/>
      <c r="EWB984" s="337"/>
      <c r="EWC984" s="336"/>
      <c r="EWD984" s="337"/>
      <c r="EWE984" s="336"/>
      <c r="EWF984" s="337"/>
      <c r="EWG984" s="336"/>
      <c r="EWH984" s="337"/>
      <c r="EWI984" s="336"/>
      <c r="EWJ984" s="337"/>
      <c r="EWK984" s="336"/>
      <c r="EWL984" s="337"/>
      <c r="EWM984" s="336"/>
      <c r="EWN984" s="337"/>
      <c r="EWO984" s="336"/>
      <c r="EWP984" s="337"/>
      <c r="EWQ984" s="336"/>
      <c r="EWR984" s="337"/>
      <c r="EWS984" s="336"/>
      <c r="EWT984" s="337"/>
      <c r="EWU984" s="336"/>
      <c r="EWV984" s="337"/>
      <c r="EWW984" s="336"/>
      <c r="EWX984" s="337"/>
      <c r="EWY984" s="336"/>
      <c r="EWZ984" s="337"/>
      <c r="EXA984" s="336"/>
      <c r="EXB984" s="337"/>
      <c r="EXC984" s="336"/>
      <c r="EXD984" s="337"/>
      <c r="EXE984" s="336"/>
      <c r="EXF984" s="337"/>
      <c r="EXG984" s="336"/>
      <c r="EXH984" s="337"/>
      <c r="EXI984" s="336"/>
      <c r="EXJ984" s="337"/>
      <c r="EXK984" s="336"/>
      <c r="EXL984" s="337"/>
      <c r="EXM984" s="336"/>
      <c r="EXN984" s="337"/>
      <c r="EXO984" s="336"/>
      <c r="EXP984" s="337"/>
      <c r="EXQ984" s="336"/>
      <c r="EXR984" s="337"/>
      <c r="EXS984" s="336"/>
      <c r="EXT984" s="337"/>
      <c r="EXU984" s="336"/>
      <c r="EXV984" s="337"/>
      <c r="EXW984" s="336"/>
      <c r="EXX984" s="337"/>
      <c r="EXY984" s="336"/>
      <c r="EXZ984" s="337"/>
      <c r="EYA984" s="336"/>
      <c r="EYB984" s="337"/>
      <c r="EYC984" s="336"/>
      <c r="EYD984" s="337"/>
      <c r="EYE984" s="336"/>
      <c r="EYF984" s="337"/>
      <c r="EYG984" s="336"/>
      <c r="EYH984" s="337"/>
      <c r="EYI984" s="336"/>
      <c r="EYJ984" s="337"/>
      <c r="EYK984" s="336"/>
      <c r="EYL984" s="337"/>
      <c r="EYM984" s="336"/>
      <c r="EYN984" s="337"/>
      <c r="EYO984" s="336"/>
      <c r="EYP984" s="337"/>
      <c r="EYQ984" s="336"/>
      <c r="EYR984" s="337"/>
      <c r="EYS984" s="336"/>
      <c r="EYT984" s="337"/>
      <c r="EYU984" s="336"/>
      <c r="EYV984" s="337"/>
      <c r="EYW984" s="336"/>
      <c r="EYX984" s="337"/>
      <c r="EYY984" s="336"/>
      <c r="EYZ984" s="337"/>
      <c r="EZA984" s="336"/>
      <c r="EZB984" s="337"/>
      <c r="EZC984" s="336"/>
      <c r="EZD984" s="337"/>
      <c r="EZE984" s="336"/>
      <c r="EZF984" s="337"/>
      <c r="EZG984" s="336"/>
      <c r="EZH984" s="337"/>
      <c r="EZI984" s="336"/>
      <c r="EZJ984" s="337"/>
      <c r="EZK984" s="336"/>
      <c r="EZL984" s="337"/>
      <c r="EZM984" s="336"/>
      <c r="EZN984" s="337"/>
      <c r="EZO984" s="336"/>
      <c r="EZP984" s="337"/>
      <c r="EZQ984" s="336"/>
      <c r="EZR984" s="337"/>
      <c r="EZS984" s="336"/>
      <c r="EZT984" s="337"/>
      <c r="EZU984" s="336"/>
      <c r="EZV984" s="337"/>
      <c r="EZW984" s="336"/>
      <c r="EZX984" s="337"/>
      <c r="EZY984" s="336"/>
      <c r="EZZ984" s="337"/>
      <c r="FAA984" s="336"/>
      <c r="FAB984" s="337"/>
      <c r="FAC984" s="336"/>
      <c r="FAD984" s="337"/>
      <c r="FAE984" s="336"/>
      <c r="FAF984" s="337"/>
      <c r="FAG984" s="336"/>
      <c r="FAH984" s="337"/>
      <c r="FAI984" s="336"/>
      <c r="FAJ984" s="337"/>
      <c r="FAK984" s="336"/>
      <c r="FAL984" s="337"/>
      <c r="FAM984" s="336"/>
      <c r="FAN984" s="337"/>
      <c r="FAO984" s="336"/>
      <c r="FAP984" s="337"/>
      <c r="FAQ984" s="336"/>
      <c r="FAR984" s="337"/>
      <c r="FAS984" s="336"/>
      <c r="FAT984" s="337"/>
      <c r="FAU984" s="336"/>
      <c r="FAV984" s="337"/>
      <c r="FAW984" s="336"/>
      <c r="FAX984" s="337"/>
      <c r="FAY984" s="336"/>
      <c r="FAZ984" s="337"/>
      <c r="FBA984" s="336"/>
      <c r="FBB984" s="337"/>
      <c r="FBC984" s="336"/>
      <c r="FBD984" s="337"/>
      <c r="FBE984" s="336"/>
      <c r="FBF984" s="337"/>
      <c r="FBG984" s="336"/>
      <c r="FBH984" s="337"/>
      <c r="FBI984" s="336"/>
      <c r="FBJ984" s="337"/>
      <c r="FBK984" s="336"/>
      <c r="FBL984" s="337"/>
      <c r="FBM984" s="336"/>
      <c r="FBN984" s="337"/>
      <c r="FBO984" s="336"/>
      <c r="FBP984" s="337"/>
      <c r="FBQ984" s="336"/>
      <c r="FBR984" s="337"/>
      <c r="FBS984" s="336"/>
      <c r="FBT984" s="337"/>
      <c r="FBU984" s="336"/>
      <c r="FBV984" s="337"/>
      <c r="FBW984" s="336"/>
      <c r="FBX984" s="337"/>
      <c r="FBY984" s="336"/>
      <c r="FBZ984" s="337"/>
      <c r="FCA984" s="336"/>
      <c r="FCB984" s="337"/>
      <c r="FCC984" s="336"/>
      <c r="FCD984" s="337"/>
      <c r="FCE984" s="336"/>
      <c r="FCF984" s="337"/>
      <c r="FCG984" s="336"/>
      <c r="FCH984" s="337"/>
      <c r="FCI984" s="336"/>
      <c r="FCJ984" s="337"/>
      <c r="FCK984" s="336"/>
      <c r="FCL984" s="337"/>
      <c r="FCM984" s="336"/>
      <c r="FCN984" s="337"/>
      <c r="FCO984" s="336"/>
      <c r="FCP984" s="337"/>
      <c r="FCQ984" s="336"/>
      <c r="FCR984" s="337"/>
      <c r="FCS984" s="336"/>
      <c r="FCT984" s="337"/>
      <c r="FCU984" s="336"/>
      <c r="FCV984" s="337"/>
      <c r="FCW984" s="336"/>
      <c r="FCX984" s="337"/>
      <c r="FCY984" s="336"/>
      <c r="FCZ984" s="337"/>
      <c r="FDA984" s="336"/>
      <c r="FDB984" s="337"/>
      <c r="FDC984" s="336"/>
      <c r="FDD984" s="337"/>
      <c r="FDE984" s="336"/>
      <c r="FDF984" s="337"/>
      <c r="FDG984" s="336"/>
      <c r="FDH984" s="337"/>
      <c r="FDI984" s="336"/>
      <c r="FDJ984" s="337"/>
      <c r="FDK984" s="336"/>
      <c r="FDL984" s="337"/>
      <c r="FDM984" s="336"/>
      <c r="FDN984" s="337"/>
      <c r="FDO984" s="336"/>
      <c r="FDP984" s="337"/>
      <c r="FDQ984" s="336"/>
      <c r="FDR984" s="337"/>
      <c r="FDS984" s="336"/>
      <c r="FDT984" s="337"/>
      <c r="FDU984" s="336"/>
      <c r="FDV984" s="337"/>
      <c r="FDW984" s="336"/>
      <c r="FDX984" s="337"/>
      <c r="FDY984" s="336"/>
      <c r="FDZ984" s="337"/>
      <c r="FEA984" s="336"/>
      <c r="FEB984" s="337"/>
      <c r="FEC984" s="336"/>
      <c r="FED984" s="337"/>
      <c r="FEE984" s="336"/>
      <c r="FEF984" s="337"/>
      <c r="FEG984" s="336"/>
      <c r="FEH984" s="337"/>
      <c r="FEI984" s="336"/>
      <c r="FEJ984" s="337"/>
      <c r="FEK984" s="336"/>
      <c r="FEL984" s="337"/>
      <c r="FEM984" s="336"/>
      <c r="FEN984" s="337"/>
      <c r="FEO984" s="336"/>
      <c r="FEP984" s="337"/>
      <c r="FEQ984" s="336"/>
      <c r="FER984" s="337"/>
      <c r="FES984" s="336"/>
      <c r="FET984" s="337"/>
      <c r="FEU984" s="336"/>
      <c r="FEV984" s="337"/>
      <c r="FEW984" s="336"/>
      <c r="FEX984" s="337"/>
      <c r="FEY984" s="336"/>
      <c r="FEZ984" s="337"/>
      <c r="FFA984" s="336"/>
      <c r="FFB984" s="337"/>
      <c r="FFC984" s="336"/>
      <c r="FFD984" s="337"/>
      <c r="FFE984" s="336"/>
      <c r="FFF984" s="337"/>
      <c r="FFG984" s="336"/>
      <c r="FFH984" s="337"/>
      <c r="FFI984" s="336"/>
      <c r="FFJ984" s="337"/>
      <c r="FFK984" s="336"/>
      <c r="FFL984" s="337"/>
      <c r="FFM984" s="336"/>
      <c r="FFN984" s="337"/>
      <c r="FFO984" s="336"/>
      <c r="FFP984" s="337"/>
      <c r="FFQ984" s="336"/>
      <c r="FFR984" s="337"/>
      <c r="FFS984" s="336"/>
      <c r="FFT984" s="337"/>
      <c r="FFU984" s="336"/>
      <c r="FFV984" s="337"/>
      <c r="FFW984" s="336"/>
      <c r="FFX984" s="337"/>
      <c r="FFY984" s="336"/>
      <c r="FFZ984" s="337"/>
      <c r="FGA984" s="336"/>
      <c r="FGB984" s="337"/>
      <c r="FGC984" s="336"/>
      <c r="FGD984" s="337"/>
      <c r="FGE984" s="336"/>
      <c r="FGF984" s="337"/>
      <c r="FGG984" s="336"/>
      <c r="FGH984" s="337"/>
      <c r="FGI984" s="336"/>
      <c r="FGJ984" s="337"/>
      <c r="FGK984" s="336"/>
      <c r="FGL984" s="337"/>
      <c r="FGM984" s="336"/>
      <c r="FGN984" s="337"/>
      <c r="FGO984" s="336"/>
      <c r="FGP984" s="337"/>
      <c r="FGQ984" s="336"/>
      <c r="FGR984" s="337"/>
      <c r="FGS984" s="336"/>
      <c r="FGT984" s="337"/>
      <c r="FGU984" s="336"/>
      <c r="FGV984" s="337"/>
      <c r="FGW984" s="336"/>
      <c r="FGX984" s="337"/>
      <c r="FGY984" s="336"/>
      <c r="FGZ984" s="337"/>
      <c r="FHA984" s="336"/>
      <c r="FHB984" s="337"/>
      <c r="FHC984" s="336"/>
      <c r="FHD984" s="337"/>
      <c r="FHE984" s="336"/>
      <c r="FHF984" s="337"/>
      <c r="FHG984" s="336"/>
      <c r="FHH984" s="337"/>
      <c r="FHI984" s="336"/>
      <c r="FHJ984" s="337"/>
      <c r="FHK984" s="336"/>
      <c r="FHL984" s="337"/>
      <c r="FHM984" s="336"/>
      <c r="FHN984" s="337"/>
      <c r="FHO984" s="336"/>
      <c r="FHP984" s="337"/>
      <c r="FHQ984" s="336"/>
      <c r="FHR984" s="337"/>
      <c r="FHS984" s="336"/>
      <c r="FHT984" s="337"/>
      <c r="FHU984" s="336"/>
      <c r="FHV984" s="337"/>
      <c r="FHW984" s="336"/>
      <c r="FHX984" s="337"/>
      <c r="FHY984" s="336"/>
      <c r="FHZ984" s="337"/>
      <c r="FIA984" s="336"/>
      <c r="FIB984" s="337"/>
      <c r="FIC984" s="336"/>
      <c r="FID984" s="337"/>
      <c r="FIE984" s="336"/>
      <c r="FIF984" s="337"/>
      <c r="FIG984" s="336"/>
      <c r="FIH984" s="337"/>
      <c r="FII984" s="336"/>
      <c r="FIJ984" s="337"/>
      <c r="FIK984" s="336"/>
      <c r="FIL984" s="337"/>
      <c r="FIM984" s="336"/>
      <c r="FIN984" s="337"/>
      <c r="FIO984" s="336"/>
      <c r="FIP984" s="337"/>
      <c r="FIQ984" s="336"/>
      <c r="FIR984" s="337"/>
      <c r="FIS984" s="336"/>
      <c r="FIT984" s="337"/>
      <c r="FIU984" s="336"/>
      <c r="FIV984" s="337"/>
      <c r="FIW984" s="336"/>
      <c r="FIX984" s="337"/>
      <c r="FIY984" s="336"/>
      <c r="FIZ984" s="337"/>
      <c r="FJA984" s="336"/>
      <c r="FJB984" s="337"/>
      <c r="FJC984" s="336"/>
      <c r="FJD984" s="337"/>
      <c r="FJE984" s="336"/>
      <c r="FJF984" s="337"/>
      <c r="FJG984" s="336"/>
      <c r="FJH984" s="337"/>
      <c r="FJI984" s="336"/>
      <c r="FJJ984" s="337"/>
      <c r="FJK984" s="336"/>
      <c r="FJL984" s="337"/>
      <c r="FJM984" s="336"/>
      <c r="FJN984" s="337"/>
      <c r="FJO984" s="336"/>
      <c r="FJP984" s="337"/>
      <c r="FJQ984" s="336"/>
      <c r="FJR984" s="337"/>
      <c r="FJS984" s="336"/>
      <c r="FJT984" s="337"/>
      <c r="FJU984" s="336"/>
      <c r="FJV984" s="337"/>
      <c r="FJW984" s="336"/>
      <c r="FJX984" s="337"/>
      <c r="FJY984" s="336"/>
      <c r="FJZ984" s="337"/>
      <c r="FKA984" s="336"/>
      <c r="FKB984" s="337"/>
      <c r="FKC984" s="336"/>
      <c r="FKD984" s="337"/>
      <c r="FKE984" s="336"/>
      <c r="FKF984" s="337"/>
      <c r="FKG984" s="336"/>
      <c r="FKH984" s="337"/>
      <c r="FKI984" s="336"/>
      <c r="FKJ984" s="337"/>
      <c r="FKK984" s="336"/>
      <c r="FKL984" s="337"/>
      <c r="FKM984" s="336"/>
      <c r="FKN984" s="337"/>
      <c r="FKO984" s="336"/>
      <c r="FKP984" s="337"/>
      <c r="FKQ984" s="336"/>
      <c r="FKR984" s="337"/>
      <c r="FKS984" s="336"/>
      <c r="FKT984" s="337"/>
      <c r="FKU984" s="336"/>
      <c r="FKV984" s="337"/>
      <c r="FKW984" s="336"/>
      <c r="FKX984" s="337"/>
      <c r="FKY984" s="336"/>
      <c r="FKZ984" s="337"/>
      <c r="FLA984" s="336"/>
      <c r="FLB984" s="337"/>
      <c r="FLC984" s="336"/>
      <c r="FLD984" s="337"/>
      <c r="FLE984" s="336"/>
      <c r="FLF984" s="337"/>
      <c r="FLG984" s="336"/>
      <c r="FLH984" s="337"/>
      <c r="FLI984" s="336"/>
      <c r="FLJ984" s="337"/>
      <c r="FLK984" s="336"/>
      <c r="FLL984" s="337"/>
      <c r="FLM984" s="336"/>
      <c r="FLN984" s="337"/>
      <c r="FLO984" s="336"/>
      <c r="FLP984" s="337"/>
      <c r="FLQ984" s="336"/>
      <c r="FLR984" s="337"/>
      <c r="FLS984" s="336"/>
      <c r="FLT984" s="337"/>
      <c r="FLU984" s="336"/>
      <c r="FLV984" s="337"/>
      <c r="FLW984" s="336"/>
      <c r="FLX984" s="337"/>
      <c r="FLY984" s="336"/>
      <c r="FLZ984" s="337"/>
      <c r="FMA984" s="336"/>
      <c r="FMB984" s="337"/>
      <c r="FMC984" s="336"/>
      <c r="FMD984" s="337"/>
      <c r="FME984" s="336"/>
      <c r="FMF984" s="337"/>
      <c r="FMG984" s="336"/>
      <c r="FMH984" s="337"/>
      <c r="FMI984" s="336"/>
      <c r="FMJ984" s="337"/>
      <c r="FMK984" s="336"/>
      <c r="FML984" s="337"/>
      <c r="FMM984" s="336"/>
      <c r="FMN984" s="337"/>
      <c r="FMO984" s="336"/>
      <c r="FMP984" s="337"/>
      <c r="FMQ984" s="336"/>
      <c r="FMR984" s="337"/>
      <c r="FMS984" s="336"/>
      <c r="FMT984" s="337"/>
      <c r="FMU984" s="336"/>
      <c r="FMV984" s="337"/>
      <c r="FMW984" s="336"/>
      <c r="FMX984" s="337"/>
      <c r="FMY984" s="336"/>
      <c r="FMZ984" s="337"/>
      <c r="FNA984" s="336"/>
      <c r="FNB984" s="337"/>
      <c r="FNC984" s="336"/>
      <c r="FND984" s="337"/>
      <c r="FNE984" s="336"/>
      <c r="FNF984" s="337"/>
      <c r="FNG984" s="336"/>
      <c r="FNH984" s="337"/>
      <c r="FNI984" s="336"/>
      <c r="FNJ984" s="337"/>
      <c r="FNK984" s="336"/>
      <c r="FNL984" s="337"/>
      <c r="FNM984" s="336"/>
      <c r="FNN984" s="337"/>
      <c r="FNO984" s="336"/>
      <c r="FNP984" s="337"/>
      <c r="FNQ984" s="336"/>
      <c r="FNR984" s="337"/>
      <c r="FNS984" s="336"/>
      <c r="FNT984" s="337"/>
      <c r="FNU984" s="336"/>
      <c r="FNV984" s="337"/>
      <c r="FNW984" s="336"/>
      <c r="FNX984" s="337"/>
      <c r="FNY984" s="336"/>
      <c r="FNZ984" s="337"/>
      <c r="FOA984" s="336"/>
      <c r="FOB984" s="337"/>
      <c r="FOC984" s="336"/>
      <c r="FOD984" s="337"/>
      <c r="FOE984" s="336"/>
      <c r="FOF984" s="337"/>
      <c r="FOG984" s="336"/>
      <c r="FOH984" s="337"/>
      <c r="FOI984" s="336"/>
      <c r="FOJ984" s="337"/>
      <c r="FOK984" s="336"/>
      <c r="FOL984" s="337"/>
      <c r="FOM984" s="336"/>
      <c r="FON984" s="337"/>
      <c r="FOO984" s="336"/>
      <c r="FOP984" s="337"/>
      <c r="FOQ984" s="336"/>
      <c r="FOR984" s="337"/>
      <c r="FOS984" s="336"/>
      <c r="FOT984" s="337"/>
      <c r="FOU984" s="336"/>
      <c r="FOV984" s="337"/>
      <c r="FOW984" s="336"/>
      <c r="FOX984" s="337"/>
      <c r="FOY984" s="336"/>
      <c r="FOZ984" s="337"/>
      <c r="FPA984" s="336"/>
      <c r="FPB984" s="337"/>
      <c r="FPC984" s="336"/>
      <c r="FPD984" s="337"/>
      <c r="FPE984" s="336"/>
      <c r="FPF984" s="337"/>
      <c r="FPG984" s="336"/>
      <c r="FPH984" s="337"/>
      <c r="FPI984" s="336"/>
      <c r="FPJ984" s="337"/>
      <c r="FPK984" s="336"/>
      <c r="FPL984" s="337"/>
      <c r="FPM984" s="336"/>
      <c r="FPN984" s="337"/>
      <c r="FPO984" s="336"/>
      <c r="FPP984" s="337"/>
      <c r="FPQ984" s="336"/>
      <c r="FPR984" s="337"/>
      <c r="FPS984" s="336"/>
      <c r="FPT984" s="337"/>
      <c r="FPU984" s="336"/>
      <c r="FPV984" s="337"/>
      <c r="FPW984" s="336"/>
      <c r="FPX984" s="337"/>
      <c r="FPY984" s="336"/>
      <c r="FPZ984" s="337"/>
      <c r="FQA984" s="336"/>
      <c r="FQB984" s="337"/>
      <c r="FQC984" s="336"/>
      <c r="FQD984" s="337"/>
      <c r="FQE984" s="336"/>
      <c r="FQF984" s="337"/>
      <c r="FQG984" s="336"/>
      <c r="FQH984" s="337"/>
      <c r="FQI984" s="336"/>
      <c r="FQJ984" s="337"/>
      <c r="FQK984" s="336"/>
      <c r="FQL984" s="337"/>
      <c r="FQM984" s="336"/>
      <c r="FQN984" s="337"/>
      <c r="FQO984" s="336"/>
      <c r="FQP984" s="337"/>
      <c r="FQQ984" s="336"/>
      <c r="FQR984" s="337"/>
      <c r="FQS984" s="336"/>
      <c r="FQT984" s="337"/>
      <c r="FQU984" s="336"/>
      <c r="FQV984" s="337"/>
      <c r="FQW984" s="336"/>
      <c r="FQX984" s="337"/>
      <c r="FQY984" s="336"/>
      <c r="FQZ984" s="337"/>
      <c r="FRA984" s="336"/>
      <c r="FRB984" s="337"/>
      <c r="FRC984" s="336"/>
      <c r="FRD984" s="337"/>
      <c r="FRE984" s="336"/>
      <c r="FRF984" s="337"/>
      <c r="FRG984" s="336"/>
      <c r="FRH984" s="337"/>
      <c r="FRI984" s="336"/>
      <c r="FRJ984" s="337"/>
      <c r="FRK984" s="336"/>
      <c r="FRL984" s="337"/>
      <c r="FRM984" s="336"/>
      <c r="FRN984" s="337"/>
      <c r="FRO984" s="336"/>
      <c r="FRP984" s="337"/>
      <c r="FRQ984" s="336"/>
      <c r="FRR984" s="337"/>
      <c r="FRS984" s="336"/>
      <c r="FRT984" s="337"/>
      <c r="FRU984" s="336"/>
      <c r="FRV984" s="337"/>
      <c r="FRW984" s="336"/>
      <c r="FRX984" s="337"/>
      <c r="FRY984" s="336"/>
      <c r="FRZ984" s="337"/>
      <c r="FSA984" s="336"/>
      <c r="FSB984" s="337"/>
      <c r="FSC984" s="336"/>
      <c r="FSD984" s="337"/>
      <c r="FSE984" s="336"/>
      <c r="FSF984" s="337"/>
      <c r="FSG984" s="336"/>
      <c r="FSH984" s="337"/>
      <c r="FSI984" s="336"/>
      <c r="FSJ984" s="337"/>
      <c r="FSK984" s="336"/>
      <c r="FSL984" s="337"/>
      <c r="FSM984" s="336"/>
      <c r="FSN984" s="337"/>
      <c r="FSO984" s="336"/>
      <c r="FSP984" s="337"/>
      <c r="FSQ984" s="336"/>
      <c r="FSR984" s="337"/>
      <c r="FSS984" s="336"/>
      <c r="FST984" s="337"/>
      <c r="FSU984" s="336"/>
      <c r="FSV984" s="337"/>
      <c r="FSW984" s="336"/>
      <c r="FSX984" s="337"/>
      <c r="FSY984" s="336"/>
      <c r="FSZ984" s="337"/>
      <c r="FTA984" s="336"/>
      <c r="FTB984" s="337"/>
      <c r="FTC984" s="336"/>
      <c r="FTD984" s="337"/>
      <c r="FTE984" s="336"/>
      <c r="FTF984" s="337"/>
      <c r="FTG984" s="336"/>
      <c r="FTH984" s="337"/>
      <c r="FTI984" s="336"/>
      <c r="FTJ984" s="337"/>
      <c r="FTK984" s="336"/>
      <c r="FTL984" s="337"/>
      <c r="FTM984" s="336"/>
      <c r="FTN984" s="337"/>
      <c r="FTO984" s="336"/>
      <c r="FTP984" s="337"/>
      <c r="FTQ984" s="336"/>
      <c r="FTR984" s="337"/>
      <c r="FTS984" s="336"/>
      <c r="FTT984" s="337"/>
      <c r="FTU984" s="336"/>
      <c r="FTV984" s="337"/>
      <c r="FTW984" s="336"/>
      <c r="FTX984" s="337"/>
      <c r="FTY984" s="336"/>
      <c r="FTZ984" s="337"/>
      <c r="FUA984" s="336"/>
      <c r="FUB984" s="337"/>
      <c r="FUC984" s="336"/>
      <c r="FUD984" s="337"/>
      <c r="FUE984" s="336"/>
      <c r="FUF984" s="337"/>
      <c r="FUG984" s="336"/>
      <c r="FUH984" s="337"/>
      <c r="FUI984" s="336"/>
      <c r="FUJ984" s="337"/>
      <c r="FUK984" s="336"/>
      <c r="FUL984" s="337"/>
      <c r="FUM984" s="336"/>
      <c r="FUN984" s="337"/>
      <c r="FUO984" s="336"/>
      <c r="FUP984" s="337"/>
      <c r="FUQ984" s="336"/>
      <c r="FUR984" s="337"/>
      <c r="FUS984" s="336"/>
      <c r="FUT984" s="337"/>
      <c r="FUU984" s="336"/>
      <c r="FUV984" s="337"/>
      <c r="FUW984" s="336"/>
      <c r="FUX984" s="337"/>
      <c r="FUY984" s="336"/>
      <c r="FUZ984" s="337"/>
      <c r="FVA984" s="336"/>
      <c r="FVB984" s="337"/>
      <c r="FVC984" s="336"/>
      <c r="FVD984" s="337"/>
      <c r="FVE984" s="336"/>
      <c r="FVF984" s="337"/>
      <c r="FVG984" s="336"/>
      <c r="FVH984" s="337"/>
      <c r="FVI984" s="336"/>
      <c r="FVJ984" s="337"/>
      <c r="FVK984" s="336"/>
      <c r="FVL984" s="337"/>
      <c r="FVM984" s="336"/>
      <c r="FVN984" s="337"/>
      <c r="FVO984" s="336"/>
      <c r="FVP984" s="337"/>
      <c r="FVQ984" s="336"/>
      <c r="FVR984" s="337"/>
      <c r="FVS984" s="336"/>
      <c r="FVT984" s="337"/>
      <c r="FVU984" s="336"/>
      <c r="FVV984" s="337"/>
      <c r="FVW984" s="336"/>
      <c r="FVX984" s="337"/>
      <c r="FVY984" s="336"/>
      <c r="FVZ984" s="337"/>
      <c r="FWA984" s="336"/>
      <c r="FWB984" s="337"/>
      <c r="FWC984" s="336"/>
      <c r="FWD984" s="337"/>
      <c r="FWE984" s="336"/>
      <c r="FWF984" s="337"/>
      <c r="FWG984" s="336"/>
      <c r="FWH984" s="337"/>
      <c r="FWI984" s="336"/>
      <c r="FWJ984" s="337"/>
      <c r="FWK984" s="336"/>
      <c r="FWL984" s="337"/>
      <c r="FWM984" s="336"/>
      <c r="FWN984" s="337"/>
      <c r="FWO984" s="336"/>
      <c r="FWP984" s="337"/>
      <c r="FWQ984" s="336"/>
      <c r="FWR984" s="337"/>
      <c r="FWS984" s="336"/>
      <c r="FWT984" s="337"/>
      <c r="FWU984" s="336"/>
      <c r="FWV984" s="337"/>
      <c r="FWW984" s="336"/>
      <c r="FWX984" s="337"/>
      <c r="FWY984" s="336"/>
      <c r="FWZ984" s="337"/>
      <c r="FXA984" s="336"/>
      <c r="FXB984" s="337"/>
      <c r="FXC984" s="336"/>
      <c r="FXD984" s="337"/>
      <c r="FXE984" s="336"/>
      <c r="FXF984" s="337"/>
      <c r="FXG984" s="336"/>
      <c r="FXH984" s="337"/>
      <c r="FXI984" s="336"/>
      <c r="FXJ984" s="337"/>
      <c r="FXK984" s="336"/>
      <c r="FXL984" s="337"/>
      <c r="FXM984" s="336"/>
      <c r="FXN984" s="337"/>
      <c r="FXO984" s="336"/>
      <c r="FXP984" s="337"/>
      <c r="FXQ984" s="336"/>
      <c r="FXR984" s="337"/>
      <c r="FXS984" s="336"/>
      <c r="FXT984" s="337"/>
      <c r="FXU984" s="336"/>
      <c r="FXV984" s="337"/>
      <c r="FXW984" s="336"/>
      <c r="FXX984" s="337"/>
      <c r="FXY984" s="336"/>
      <c r="FXZ984" s="337"/>
      <c r="FYA984" s="336"/>
      <c r="FYB984" s="337"/>
      <c r="FYC984" s="336"/>
      <c r="FYD984" s="337"/>
      <c r="FYE984" s="336"/>
      <c r="FYF984" s="337"/>
      <c r="FYG984" s="336"/>
      <c r="FYH984" s="337"/>
      <c r="FYI984" s="336"/>
      <c r="FYJ984" s="337"/>
      <c r="FYK984" s="336"/>
      <c r="FYL984" s="337"/>
      <c r="FYM984" s="336"/>
      <c r="FYN984" s="337"/>
      <c r="FYO984" s="336"/>
      <c r="FYP984" s="337"/>
      <c r="FYQ984" s="336"/>
      <c r="FYR984" s="337"/>
      <c r="FYS984" s="336"/>
      <c r="FYT984" s="337"/>
      <c r="FYU984" s="336"/>
      <c r="FYV984" s="337"/>
      <c r="FYW984" s="336"/>
      <c r="FYX984" s="337"/>
      <c r="FYY984" s="336"/>
      <c r="FYZ984" s="337"/>
      <c r="FZA984" s="336"/>
      <c r="FZB984" s="337"/>
      <c r="FZC984" s="336"/>
      <c r="FZD984" s="337"/>
      <c r="FZE984" s="336"/>
      <c r="FZF984" s="337"/>
      <c r="FZG984" s="336"/>
      <c r="FZH984" s="337"/>
      <c r="FZI984" s="336"/>
      <c r="FZJ984" s="337"/>
      <c r="FZK984" s="336"/>
      <c r="FZL984" s="337"/>
      <c r="FZM984" s="336"/>
      <c r="FZN984" s="337"/>
      <c r="FZO984" s="336"/>
      <c r="FZP984" s="337"/>
      <c r="FZQ984" s="336"/>
      <c r="FZR984" s="337"/>
      <c r="FZS984" s="336"/>
      <c r="FZT984" s="337"/>
      <c r="FZU984" s="336"/>
      <c r="FZV984" s="337"/>
      <c r="FZW984" s="336"/>
      <c r="FZX984" s="337"/>
      <c r="FZY984" s="336"/>
      <c r="FZZ984" s="337"/>
      <c r="GAA984" s="336"/>
      <c r="GAB984" s="337"/>
      <c r="GAC984" s="336"/>
      <c r="GAD984" s="337"/>
      <c r="GAE984" s="336"/>
      <c r="GAF984" s="337"/>
      <c r="GAG984" s="336"/>
      <c r="GAH984" s="337"/>
      <c r="GAI984" s="336"/>
      <c r="GAJ984" s="337"/>
      <c r="GAK984" s="336"/>
      <c r="GAL984" s="337"/>
      <c r="GAM984" s="336"/>
      <c r="GAN984" s="337"/>
      <c r="GAO984" s="336"/>
      <c r="GAP984" s="337"/>
      <c r="GAQ984" s="336"/>
      <c r="GAR984" s="337"/>
      <c r="GAS984" s="336"/>
      <c r="GAT984" s="337"/>
      <c r="GAU984" s="336"/>
      <c r="GAV984" s="337"/>
      <c r="GAW984" s="336"/>
      <c r="GAX984" s="337"/>
      <c r="GAY984" s="336"/>
      <c r="GAZ984" s="337"/>
      <c r="GBA984" s="336"/>
      <c r="GBB984" s="337"/>
      <c r="GBC984" s="336"/>
      <c r="GBD984" s="337"/>
      <c r="GBE984" s="336"/>
      <c r="GBF984" s="337"/>
      <c r="GBG984" s="336"/>
      <c r="GBH984" s="337"/>
      <c r="GBI984" s="336"/>
      <c r="GBJ984" s="337"/>
      <c r="GBK984" s="336"/>
      <c r="GBL984" s="337"/>
      <c r="GBM984" s="336"/>
      <c r="GBN984" s="337"/>
      <c r="GBO984" s="336"/>
      <c r="GBP984" s="337"/>
      <c r="GBQ984" s="336"/>
      <c r="GBR984" s="337"/>
      <c r="GBS984" s="336"/>
      <c r="GBT984" s="337"/>
      <c r="GBU984" s="336"/>
      <c r="GBV984" s="337"/>
      <c r="GBW984" s="336"/>
      <c r="GBX984" s="337"/>
      <c r="GBY984" s="336"/>
      <c r="GBZ984" s="337"/>
      <c r="GCA984" s="336"/>
      <c r="GCB984" s="337"/>
      <c r="GCC984" s="336"/>
      <c r="GCD984" s="337"/>
      <c r="GCE984" s="336"/>
      <c r="GCF984" s="337"/>
      <c r="GCG984" s="336"/>
      <c r="GCH984" s="337"/>
      <c r="GCI984" s="336"/>
      <c r="GCJ984" s="337"/>
      <c r="GCK984" s="336"/>
      <c r="GCL984" s="337"/>
      <c r="GCM984" s="336"/>
      <c r="GCN984" s="337"/>
      <c r="GCO984" s="336"/>
      <c r="GCP984" s="337"/>
      <c r="GCQ984" s="336"/>
      <c r="GCR984" s="337"/>
      <c r="GCS984" s="336"/>
      <c r="GCT984" s="337"/>
      <c r="GCU984" s="336"/>
      <c r="GCV984" s="337"/>
      <c r="GCW984" s="336"/>
      <c r="GCX984" s="337"/>
      <c r="GCY984" s="336"/>
      <c r="GCZ984" s="337"/>
      <c r="GDA984" s="336"/>
      <c r="GDB984" s="337"/>
      <c r="GDC984" s="336"/>
      <c r="GDD984" s="337"/>
      <c r="GDE984" s="336"/>
      <c r="GDF984" s="337"/>
      <c r="GDG984" s="336"/>
      <c r="GDH984" s="337"/>
      <c r="GDI984" s="336"/>
      <c r="GDJ984" s="337"/>
      <c r="GDK984" s="336"/>
      <c r="GDL984" s="337"/>
      <c r="GDM984" s="336"/>
      <c r="GDN984" s="337"/>
      <c r="GDO984" s="336"/>
      <c r="GDP984" s="337"/>
      <c r="GDQ984" s="336"/>
      <c r="GDR984" s="337"/>
      <c r="GDS984" s="336"/>
      <c r="GDT984" s="337"/>
      <c r="GDU984" s="336"/>
      <c r="GDV984" s="337"/>
      <c r="GDW984" s="336"/>
      <c r="GDX984" s="337"/>
      <c r="GDY984" s="336"/>
      <c r="GDZ984" s="337"/>
      <c r="GEA984" s="336"/>
      <c r="GEB984" s="337"/>
      <c r="GEC984" s="336"/>
      <c r="GED984" s="337"/>
      <c r="GEE984" s="336"/>
      <c r="GEF984" s="337"/>
      <c r="GEG984" s="336"/>
      <c r="GEH984" s="337"/>
      <c r="GEI984" s="336"/>
      <c r="GEJ984" s="337"/>
      <c r="GEK984" s="336"/>
      <c r="GEL984" s="337"/>
      <c r="GEM984" s="336"/>
      <c r="GEN984" s="337"/>
      <c r="GEO984" s="336"/>
      <c r="GEP984" s="337"/>
      <c r="GEQ984" s="336"/>
      <c r="GER984" s="337"/>
      <c r="GES984" s="336"/>
      <c r="GET984" s="337"/>
      <c r="GEU984" s="336"/>
      <c r="GEV984" s="337"/>
      <c r="GEW984" s="336"/>
      <c r="GEX984" s="337"/>
      <c r="GEY984" s="336"/>
      <c r="GEZ984" s="337"/>
      <c r="GFA984" s="336"/>
      <c r="GFB984" s="337"/>
      <c r="GFC984" s="336"/>
      <c r="GFD984" s="337"/>
      <c r="GFE984" s="336"/>
      <c r="GFF984" s="337"/>
      <c r="GFG984" s="336"/>
      <c r="GFH984" s="337"/>
      <c r="GFI984" s="336"/>
      <c r="GFJ984" s="337"/>
      <c r="GFK984" s="336"/>
      <c r="GFL984" s="337"/>
      <c r="GFM984" s="336"/>
      <c r="GFN984" s="337"/>
      <c r="GFO984" s="336"/>
      <c r="GFP984" s="337"/>
      <c r="GFQ984" s="336"/>
      <c r="GFR984" s="337"/>
      <c r="GFS984" s="336"/>
      <c r="GFT984" s="337"/>
      <c r="GFU984" s="336"/>
      <c r="GFV984" s="337"/>
      <c r="GFW984" s="336"/>
      <c r="GFX984" s="337"/>
      <c r="GFY984" s="336"/>
      <c r="GFZ984" s="337"/>
      <c r="GGA984" s="336"/>
      <c r="GGB984" s="337"/>
      <c r="GGC984" s="336"/>
      <c r="GGD984" s="337"/>
      <c r="GGE984" s="336"/>
      <c r="GGF984" s="337"/>
      <c r="GGG984" s="336"/>
      <c r="GGH984" s="337"/>
      <c r="GGI984" s="336"/>
      <c r="GGJ984" s="337"/>
      <c r="GGK984" s="336"/>
      <c r="GGL984" s="337"/>
      <c r="GGM984" s="336"/>
      <c r="GGN984" s="337"/>
      <c r="GGO984" s="336"/>
      <c r="GGP984" s="337"/>
      <c r="GGQ984" s="336"/>
      <c r="GGR984" s="337"/>
      <c r="GGS984" s="336"/>
      <c r="GGT984" s="337"/>
      <c r="GGU984" s="336"/>
      <c r="GGV984" s="337"/>
      <c r="GGW984" s="336"/>
      <c r="GGX984" s="337"/>
      <c r="GGY984" s="336"/>
      <c r="GGZ984" s="337"/>
      <c r="GHA984" s="336"/>
      <c r="GHB984" s="337"/>
      <c r="GHC984" s="336"/>
      <c r="GHD984" s="337"/>
      <c r="GHE984" s="336"/>
      <c r="GHF984" s="337"/>
      <c r="GHG984" s="336"/>
      <c r="GHH984" s="337"/>
      <c r="GHI984" s="336"/>
      <c r="GHJ984" s="337"/>
      <c r="GHK984" s="336"/>
      <c r="GHL984" s="337"/>
      <c r="GHM984" s="336"/>
      <c r="GHN984" s="337"/>
      <c r="GHO984" s="336"/>
      <c r="GHP984" s="337"/>
      <c r="GHQ984" s="336"/>
      <c r="GHR984" s="337"/>
      <c r="GHS984" s="336"/>
      <c r="GHT984" s="337"/>
      <c r="GHU984" s="336"/>
      <c r="GHV984" s="337"/>
      <c r="GHW984" s="336"/>
      <c r="GHX984" s="337"/>
      <c r="GHY984" s="336"/>
      <c r="GHZ984" s="337"/>
      <c r="GIA984" s="336"/>
      <c r="GIB984" s="337"/>
      <c r="GIC984" s="336"/>
      <c r="GID984" s="337"/>
      <c r="GIE984" s="336"/>
      <c r="GIF984" s="337"/>
      <c r="GIG984" s="336"/>
      <c r="GIH984" s="337"/>
      <c r="GII984" s="336"/>
      <c r="GIJ984" s="337"/>
      <c r="GIK984" s="336"/>
      <c r="GIL984" s="337"/>
      <c r="GIM984" s="336"/>
      <c r="GIN984" s="337"/>
      <c r="GIO984" s="336"/>
      <c r="GIP984" s="337"/>
      <c r="GIQ984" s="336"/>
      <c r="GIR984" s="337"/>
      <c r="GIS984" s="336"/>
      <c r="GIT984" s="337"/>
      <c r="GIU984" s="336"/>
      <c r="GIV984" s="337"/>
      <c r="GIW984" s="336"/>
      <c r="GIX984" s="337"/>
      <c r="GIY984" s="336"/>
      <c r="GIZ984" s="337"/>
      <c r="GJA984" s="336"/>
      <c r="GJB984" s="337"/>
      <c r="GJC984" s="336"/>
      <c r="GJD984" s="337"/>
      <c r="GJE984" s="336"/>
      <c r="GJF984" s="337"/>
      <c r="GJG984" s="336"/>
      <c r="GJH984" s="337"/>
      <c r="GJI984" s="336"/>
      <c r="GJJ984" s="337"/>
      <c r="GJK984" s="336"/>
      <c r="GJL984" s="337"/>
      <c r="GJM984" s="336"/>
      <c r="GJN984" s="337"/>
      <c r="GJO984" s="336"/>
      <c r="GJP984" s="337"/>
      <c r="GJQ984" s="336"/>
      <c r="GJR984" s="337"/>
      <c r="GJS984" s="336"/>
      <c r="GJT984" s="337"/>
      <c r="GJU984" s="336"/>
      <c r="GJV984" s="337"/>
      <c r="GJW984" s="336"/>
      <c r="GJX984" s="337"/>
      <c r="GJY984" s="336"/>
      <c r="GJZ984" s="337"/>
      <c r="GKA984" s="336"/>
      <c r="GKB984" s="337"/>
      <c r="GKC984" s="336"/>
      <c r="GKD984" s="337"/>
      <c r="GKE984" s="336"/>
      <c r="GKF984" s="337"/>
      <c r="GKG984" s="336"/>
      <c r="GKH984" s="337"/>
      <c r="GKI984" s="336"/>
      <c r="GKJ984" s="337"/>
      <c r="GKK984" s="336"/>
      <c r="GKL984" s="337"/>
      <c r="GKM984" s="336"/>
      <c r="GKN984" s="337"/>
      <c r="GKO984" s="336"/>
      <c r="GKP984" s="337"/>
      <c r="GKQ984" s="336"/>
      <c r="GKR984" s="337"/>
      <c r="GKS984" s="336"/>
      <c r="GKT984" s="337"/>
      <c r="GKU984" s="336"/>
      <c r="GKV984" s="337"/>
      <c r="GKW984" s="336"/>
      <c r="GKX984" s="337"/>
      <c r="GKY984" s="336"/>
      <c r="GKZ984" s="337"/>
      <c r="GLA984" s="336"/>
      <c r="GLB984" s="337"/>
      <c r="GLC984" s="336"/>
      <c r="GLD984" s="337"/>
      <c r="GLE984" s="336"/>
      <c r="GLF984" s="337"/>
      <c r="GLG984" s="336"/>
      <c r="GLH984" s="337"/>
      <c r="GLI984" s="336"/>
      <c r="GLJ984" s="337"/>
      <c r="GLK984" s="336"/>
      <c r="GLL984" s="337"/>
      <c r="GLM984" s="336"/>
      <c r="GLN984" s="337"/>
      <c r="GLO984" s="336"/>
      <c r="GLP984" s="337"/>
      <c r="GLQ984" s="336"/>
      <c r="GLR984" s="337"/>
      <c r="GLS984" s="336"/>
      <c r="GLT984" s="337"/>
      <c r="GLU984" s="336"/>
      <c r="GLV984" s="337"/>
      <c r="GLW984" s="336"/>
      <c r="GLX984" s="337"/>
      <c r="GLY984" s="336"/>
      <c r="GLZ984" s="337"/>
      <c r="GMA984" s="336"/>
      <c r="GMB984" s="337"/>
      <c r="GMC984" s="336"/>
      <c r="GMD984" s="337"/>
      <c r="GME984" s="336"/>
      <c r="GMF984" s="337"/>
      <c r="GMG984" s="336"/>
      <c r="GMH984" s="337"/>
      <c r="GMI984" s="336"/>
      <c r="GMJ984" s="337"/>
      <c r="GMK984" s="336"/>
      <c r="GML984" s="337"/>
      <c r="GMM984" s="336"/>
      <c r="GMN984" s="337"/>
      <c r="GMO984" s="336"/>
      <c r="GMP984" s="337"/>
      <c r="GMQ984" s="336"/>
      <c r="GMR984" s="337"/>
      <c r="GMS984" s="336"/>
      <c r="GMT984" s="337"/>
      <c r="GMU984" s="336"/>
      <c r="GMV984" s="337"/>
      <c r="GMW984" s="336"/>
      <c r="GMX984" s="337"/>
      <c r="GMY984" s="336"/>
      <c r="GMZ984" s="337"/>
      <c r="GNA984" s="336"/>
      <c r="GNB984" s="337"/>
      <c r="GNC984" s="336"/>
      <c r="GND984" s="337"/>
      <c r="GNE984" s="336"/>
      <c r="GNF984" s="337"/>
      <c r="GNG984" s="336"/>
      <c r="GNH984" s="337"/>
      <c r="GNI984" s="336"/>
      <c r="GNJ984" s="337"/>
      <c r="GNK984" s="336"/>
      <c r="GNL984" s="337"/>
      <c r="GNM984" s="336"/>
      <c r="GNN984" s="337"/>
      <c r="GNO984" s="336"/>
      <c r="GNP984" s="337"/>
      <c r="GNQ984" s="336"/>
      <c r="GNR984" s="337"/>
      <c r="GNS984" s="336"/>
      <c r="GNT984" s="337"/>
      <c r="GNU984" s="336"/>
      <c r="GNV984" s="337"/>
      <c r="GNW984" s="336"/>
      <c r="GNX984" s="337"/>
      <c r="GNY984" s="336"/>
      <c r="GNZ984" s="337"/>
      <c r="GOA984" s="336"/>
      <c r="GOB984" s="337"/>
      <c r="GOC984" s="336"/>
      <c r="GOD984" s="337"/>
      <c r="GOE984" s="336"/>
      <c r="GOF984" s="337"/>
      <c r="GOG984" s="336"/>
      <c r="GOH984" s="337"/>
      <c r="GOI984" s="336"/>
      <c r="GOJ984" s="337"/>
      <c r="GOK984" s="336"/>
      <c r="GOL984" s="337"/>
      <c r="GOM984" s="336"/>
      <c r="GON984" s="337"/>
      <c r="GOO984" s="336"/>
      <c r="GOP984" s="337"/>
      <c r="GOQ984" s="336"/>
      <c r="GOR984" s="337"/>
      <c r="GOS984" s="336"/>
      <c r="GOT984" s="337"/>
      <c r="GOU984" s="336"/>
      <c r="GOV984" s="337"/>
      <c r="GOW984" s="336"/>
      <c r="GOX984" s="337"/>
      <c r="GOY984" s="336"/>
      <c r="GOZ984" s="337"/>
      <c r="GPA984" s="336"/>
      <c r="GPB984" s="337"/>
      <c r="GPC984" s="336"/>
      <c r="GPD984" s="337"/>
      <c r="GPE984" s="336"/>
      <c r="GPF984" s="337"/>
      <c r="GPG984" s="336"/>
      <c r="GPH984" s="337"/>
      <c r="GPI984" s="336"/>
      <c r="GPJ984" s="337"/>
      <c r="GPK984" s="336"/>
      <c r="GPL984" s="337"/>
      <c r="GPM984" s="336"/>
      <c r="GPN984" s="337"/>
      <c r="GPO984" s="336"/>
      <c r="GPP984" s="337"/>
      <c r="GPQ984" s="336"/>
      <c r="GPR984" s="337"/>
      <c r="GPS984" s="336"/>
      <c r="GPT984" s="337"/>
      <c r="GPU984" s="336"/>
      <c r="GPV984" s="337"/>
      <c r="GPW984" s="336"/>
      <c r="GPX984" s="337"/>
      <c r="GPY984" s="336"/>
      <c r="GPZ984" s="337"/>
      <c r="GQA984" s="336"/>
      <c r="GQB984" s="337"/>
      <c r="GQC984" s="336"/>
      <c r="GQD984" s="337"/>
      <c r="GQE984" s="336"/>
      <c r="GQF984" s="337"/>
      <c r="GQG984" s="336"/>
      <c r="GQH984" s="337"/>
      <c r="GQI984" s="336"/>
      <c r="GQJ984" s="337"/>
      <c r="GQK984" s="336"/>
      <c r="GQL984" s="337"/>
      <c r="GQM984" s="336"/>
      <c r="GQN984" s="337"/>
      <c r="GQO984" s="336"/>
      <c r="GQP984" s="337"/>
      <c r="GQQ984" s="336"/>
      <c r="GQR984" s="337"/>
      <c r="GQS984" s="336"/>
      <c r="GQT984" s="337"/>
      <c r="GQU984" s="336"/>
      <c r="GQV984" s="337"/>
      <c r="GQW984" s="336"/>
      <c r="GQX984" s="337"/>
      <c r="GQY984" s="336"/>
      <c r="GQZ984" s="337"/>
      <c r="GRA984" s="336"/>
      <c r="GRB984" s="337"/>
      <c r="GRC984" s="336"/>
      <c r="GRD984" s="337"/>
      <c r="GRE984" s="336"/>
      <c r="GRF984" s="337"/>
      <c r="GRG984" s="336"/>
      <c r="GRH984" s="337"/>
      <c r="GRI984" s="336"/>
      <c r="GRJ984" s="337"/>
      <c r="GRK984" s="336"/>
      <c r="GRL984" s="337"/>
      <c r="GRM984" s="336"/>
      <c r="GRN984" s="337"/>
      <c r="GRO984" s="336"/>
      <c r="GRP984" s="337"/>
      <c r="GRQ984" s="336"/>
      <c r="GRR984" s="337"/>
      <c r="GRS984" s="336"/>
      <c r="GRT984" s="337"/>
      <c r="GRU984" s="336"/>
      <c r="GRV984" s="337"/>
      <c r="GRW984" s="336"/>
      <c r="GRX984" s="337"/>
      <c r="GRY984" s="336"/>
      <c r="GRZ984" s="337"/>
      <c r="GSA984" s="336"/>
      <c r="GSB984" s="337"/>
      <c r="GSC984" s="336"/>
      <c r="GSD984" s="337"/>
      <c r="GSE984" s="336"/>
      <c r="GSF984" s="337"/>
      <c r="GSG984" s="336"/>
      <c r="GSH984" s="337"/>
      <c r="GSI984" s="336"/>
      <c r="GSJ984" s="337"/>
      <c r="GSK984" s="336"/>
      <c r="GSL984" s="337"/>
      <c r="GSM984" s="336"/>
      <c r="GSN984" s="337"/>
      <c r="GSO984" s="336"/>
      <c r="GSP984" s="337"/>
      <c r="GSQ984" s="336"/>
      <c r="GSR984" s="337"/>
      <c r="GSS984" s="336"/>
      <c r="GST984" s="337"/>
      <c r="GSU984" s="336"/>
      <c r="GSV984" s="337"/>
      <c r="GSW984" s="336"/>
      <c r="GSX984" s="337"/>
      <c r="GSY984" s="336"/>
      <c r="GSZ984" s="337"/>
      <c r="GTA984" s="336"/>
      <c r="GTB984" s="337"/>
      <c r="GTC984" s="336"/>
      <c r="GTD984" s="337"/>
      <c r="GTE984" s="336"/>
      <c r="GTF984" s="337"/>
      <c r="GTG984" s="336"/>
      <c r="GTH984" s="337"/>
      <c r="GTI984" s="336"/>
      <c r="GTJ984" s="337"/>
      <c r="GTK984" s="336"/>
      <c r="GTL984" s="337"/>
      <c r="GTM984" s="336"/>
      <c r="GTN984" s="337"/>
      <c r="GTO984" s="336"/>
      <c r="GTP984" s="337"/>
      <c r="GTQ984" s="336"/>
      <c r="GTR984" s="337"/>
      <c r="GTS984" s="336"/>
      <c r="GTT984" s="337"/>
      <c r="GTU984" s="336"/>
      <c r="GTV984" s="337"/>
      <c r="GTW984" s="336"/>
      <c r="GTX984" s="337"/>
      <c r="GTY984" s="336"/>
      <c r="GTZ984" s="337"/>
      <c r="GUA984" s="336"/>
      <c r="GUB984" s="337"/>
      <c r="GUC984" s="336"/>
      <c r="GUD984" s="337"/>
      <c r="GUE984" s="336"/>
      <c r="GUF984" s="337"/>
      <c r="GUG984" s="336"/>
      <c r="GUH984" s="337"/>
      <c r="GUI984" s="336"/>
      <c r="GUJ984" s="337"/>
      <c r="GUK984" s="336"/>
      <c r="GUL984" s="337"/>
      <c r="GUM984" s="336"/>
      <c r="GUN984" s="337"/>
      <c r="GUO984" s="336"/>
      <c r="GUP984" s="337"/>
      <c r="GUQ984" s="336"/>
      <c r="GUR984" s="337"/>
      <c r="GUS984" s="336"/>
      <c r="GUT984" s="337"/>
      <c r="GUU984" s="336"/>
      <c r="GUV984" s="337"/>
      <c r="GUW984" s="336"/>
      <c r="GUX984" s="337"/>
      <c r="GUY984" s="336"/>
      <c r="GUZ984" s="337"/>
      <c r="GVA984" s="336"/>
      <c r="GVB984" s="337"/>
      <c r="GVC984" s="336"/>
      <c r="GVD984" s="337"/>
      <c r="GVE984" s="336"/>
      <c r="GVF984" s="337"/>
      <c r="GVG984" s="336"/>
      <c r="GVH984" s="337"/>
      <c r="GVI984" s="336"/>
      <c r="GVJ984" s="337"/>
      <c r="GVK984" s="336"/>
      <c r="GVL984" s="337"/>
      <c r="GVM984" s="336"/>
      <c r="GVN984" s="337"/>
      <c r="GVO984" s="336"/>
      <c r="GVP984" s="337"/>
      <c r="GVQ984" s="336"/>
      <c r="GVR984" s="337"/>
      <c r="GVS984" s="336"/>
      <c r="GVT984" s="337"/>
      <c r="GVU984" s="336"/>
      <c r="GVV984" s="337"/>
      <c r="GVW984" s="336"/>
      <c r="GVX984" s="337"/>
      <c r="GVY984" s="336"/>
      <c r="GVZ984" s="337"/>
      <c r="GWA984" s="336"/>
      <c r="GWB984" s="337"/>
      <c r="GWC984" s="336"/>
      <c r="GWD984" s="337"/>
      <c r="GWE984" s="336"/>
      <c r="GWF984" s="337"/>
      <c r="GWG984" s="336"/>
      <c r="GWH984" s="337"/>
      <c r="GWI984" s="336"/>
      <c r="GWJ984" s="337"/>
      <c r="GWK984" s="336"/>
      <c r="GWL984" s="337"/>
      <c r="GWM984" s="336"/>
      <c r="GWN984" s="337"/>
      <c r="GWO984" s="336"/>
      <c r="GWP984" s="337"/>
      <c r="GWQ984" s="336"/>
      <c r="GWR984" s="337"/>
      <c r="GWS984" s="336"/>
      <c r="GWT984" s="337"/>
      <c r="GWU984" s="336"/>
      <c r="GWV984" s="337"/>
      <c r="GWW984" s="336"/>
      <c r="GWX984" s="337"/>
      <c r="GWY984" s="336"/>
      <c r="GWZ984" s="337"/>
      <c r="GXA984" s="336"/>
      <c r="GXB984" s="337"/>
      <c r="GXC984" s="336"/>
      <c r="GXD984" s="337"/>
      <c r="GXE984" s="336"/>
      <c r="GXF984" s="337"/>
      <c r="GXG984" s="336"/>
      <c r="GXH984" s="337"/>
      <c r="GXI984" s="336"/>
      <c r="GXJ984" s="337"/>
      <c r="GXK984" s="336"/>
      <c r="GXL984" s="337"/>
      <c r="GXM984" s="336"/>
      <c r="GXN984" s="337"/>
      <c r="GXO984" s="336"/>
      <c r="GXP984" s="337"/>
      <c r="GXQ984" s="336"/>
      <c r="GXR984" s="337"/>
      <c r="GXS984" s="336"/>
      <c r="GXT984" s="337"/>
      <c r="GXU984" s="336"/>
      <c r="GXV984" s="337"/>
      <c r="GXW984" s="336"/>
      <c r="GXX984" s="337"/>
      <c r="GXY984" s="336"/>
      <c r="GXZ984" s="337"/>
      <c r="GYA984" s="336"/>
      <c r="GYB984" s="337"/>
      <c r="GYC984" s="336"/>
      <c r="GYD984" s="337"/>
      <c r="GYE984" s="336"/>
      <c r="GYF984" s="337"/>
      <c r="GYG984" s="336"/>
      <c r="GYH984" s="337"/>
      <c r="GYI984" s="336"/>
      <c r="GYJ984" s="337"/>
      <c r="GYK984" s="336"/>
      <c r="GYL984" s="337"/>
      <c r="GYM984" s="336"/>
      <c r="GYN984" s="337"/>
      <c r="GYO984" s="336"/>
      <c r="GYP984" s="337"/>
      <c r="GYQ984" s="336"/>
      <c r="GYR984" s="337"/>
      <c r="GYS984" s="336"/>
      <c r="GYT984" s="337"/>
      <c r="GYU984" s="336"/>
      <c r="GYV984" s="337"/>
      <c r="GYW984" s="336"/>
      <c r="GYX984" s="337"/>
      <c r="GYY984" s="336"/>
      <c r="GYZ984" s="337"/>
      <c r="GZA984" s="336"/>
      <c r="GZB984" s="337"/>
      <c r="GZC984" s="336"/>
      <c r="GZD984" s="337"/>
      <c r="GZE984" s="336"/>
      <c r="GZF984" s="337"/>
      <c r="GZG984" s="336"/>
      <c r="GZH984" s="337"/>
      <c r="GZI984" s="336"/>
      <c r="GZJ984" s="337"/>
      <c r="GZK984" s="336"/>
      <c r="GZL984" s="337"/>
      <c r="GZM984" s="336"/>
      <c r="GZN984" s="337"/>
      <c r="GZO984" s="336"/>
      <c r="GZP984" s="337"/>
      <c r="GZQ984" s="336"/>
      <c r="GZR984" s="337"/>
      <c r="GZS984" s="336"/>
      <c r="GZT984" s="337"/>
      <c r="GZU984" s="336"/>
      <c r="GZV984" s="337"/>
      <c r="GZW984" s="336"/>
      <c r="GZX984" s="337"/>
      <c r="GZY984" s="336"/>
      <c r="GZZ984" s="337"/>
      <c r="HAA984" s="336"/>
      <c r="HAB984" s="337"/>
      <c r="HAC984" s="336"/>
      <c r="HAD984" s="337"/>
      <c r="HAE984" s="336"/>
      <c r="HAF984" s="337"/>
      <c r="HAG984" s="336"/>
      <c r="HAH984" s="337"/>
      <c r="HAI984" s="336"/>
      <c r="HAJ984" s="337"/>
      <c r="HAK984" s="336"/>
      <c r="HAL984" s="337"/>
      <c r="HAM984" s="336"/>
      <c r="HAN984" s="337"/>
      <c r="HAO984" s="336"/>
      <c r="HAP984" s="337"/>
      <c r="HAQ984" s="336"/>
      <c r="HAR984" s="337"/>
      <c r="HAS984" s="336"/>
      <c r="HAT984" s="337"/>
      <c r="HAU984" s="336"/>
      <c r="HAV984" s="337"/>
      <c r="HAW984" s="336"/>
      <c r="HAX984" s="337"/>
      <c r="HAY984" s="336"/>
      <c r="HAZ984" s="337"/>
      <c r="HBA984" s="336"/>
      <c r="HBB984" s="337"/>
      <c r="HBC984" s="336"/>
      <c r="HBD984" s="337"/>
      <c r="HBE984" s="336"/>
      <c r="HBF984" s="337"/>
      <c r="HBG984" s="336"/>
      <c r="HBH984" s="337"/>
      <c r="HBI984" s="336"/>
      <c r="HBJ984" s="337"/>
      <c r="HBK984" s="336"/>
      <c r="HBL984" s="337"/>
      <c r="HBM984" s="336"/>
      <c r="HBN984" s="337"/>
      <c r="HBO984" s="336"/>
      <c r="HBP984" s="337"/>
      <c r="HBQ984" s="336"/>
      <c r="HBR984" s="337"/>
      <c r="HBS984" s="336"/>
      <c r="HBT984" s="337"/>
      <c r="HBU984" s="336"/>
      <c r="HBV984" s="337"/>
      <c r="HBW984" s="336"/>
      <c r="HBX984" s="337"/>
      <c r="HBY984" s="336"/>
      <c r="HBZ984" s="337"/>
      <c r="HCA984" s="336"/>
      <c r="HCB984" s="337"/>
      <c r="HCC984" s="336"/>
      <c r="HCD984" s="337"/>
      <c r="HCE984" s="336"/>
      <c r="HCF984" s="337"/>
      <c r="HCG984" s="336"/>
      <c r="HCH984" s="337"/>
      <c r="HCI984" s="336"/>
      <c r="HCJ984" s="337"/>
      <c r="HCK984" s="336"/>
      <c r="HCL984" s="337"/>
      <c r="HCM984" s="336"/>
      <c r="HCN984" s="337"/>
      <c r="HCO984" s="336"/>
      <c r="HCP984" s="337"/>
      <c r="HCQ984" s="336"/>
      <c r="HCR984" s="337"/>
      <c r="HCS984" s="336"/>
      <c r="HCT984" s="337"/>
      <c r="HCU984" s="336"/>
      <c r="HCV984" s="337"/>
      <c r="HCW984" s="336"/>
      <c r="HCX984" s="337"/>
      <c r="HCY984" s="336"/>
      <c r="HCZ984" s="337"/>
      <c r="HDA984" s="336"/>
      <c r="HDB984" s="337"/>
      <c r="HDC984" s="336"/>
      <c r="HDD984" s="337"/>
      <c r="HDE984" s="336"/>
      <c r="HDF984" s="337"/>
      <c r="HDG984" s="336"/>
      <c r="HDH984" s="337"/>
      <c r="HDI984" s="336"/>
      <c r="HDJ984" s="337"/>
      <c r="HDK984" s="336"/>
      <c r="HDL984" s="337"/>
      <c r="HDM984" s="336"/>
      <c r="HDN984" s="337"/>
      <c r="HDO984" s="336"/>
      <c r="HDP984" s="337"/>
      <c r="HDQ984" s="336"/>
      <c r="HDR984" s="337"/>
      <c r="HDS984" s="336"/>
      <c r="HDT984" s="337"/>
      <c r="HDU984" s="336"/>
      <c r="HDV984" s="337"/>
      <c r="HDW984" s="336"/>
      <c r="HDX984" s="337"/>
      <c r="HDY984" s="336"/>
      <c r="HDZ984" s="337"/>
      <c r="HEA984" s="336"/>
      <c r="HEB984" s="337"/>
      <c r="HEC984" s="336"/>
      <c r="HED984" s="337"/>
      <c r="HEE984" s="336"/>
      <c r="HEF984" s="337"/>
      <c r="HEG984" s="336"/>
      <c r="HEH984" s="337"/>
      <c r="HEI984" s="336"/>
      <c r="HEJ984" s="337"/>
      <c r="HEK984" s="336"/>
      <c r="HEL984" s="337"/>
      <c r="HEM984" s="336"/>
      <c r="HEN984" s="337"/>
      <c r="HEO984" s="336"/>
      <c r="HEP984" s="337"/>
      <c r="HEQ984" s="336"/>
      <c r="HER984" s="337"/>
      <c r="HES984" s="336"/>
      <c r="HET984" s="337"/>
      <c r="HEU984" s="336"/>
      <c r="HEV984" s="337"/>
      <c r="HEW984" s="336"/>
      <c r="HEX984" s="337"/>
      <c r="HEY984" s="336"/>
      <c r="HEZ984" s="337"/>
      <c r="HFA984" s="336"/>
      <c r="HFB984" s="337"/>
      <c r="HFC984" s="336"/>
      <c r="HFD984" s="337"/>
      <c r="HFE984" s="336"/>
      <c r="HFF984" s="337"/>
      <c r="HFG984" s="336"/>
      <c r="HFH984" s="337"/>
      <c r="HFI984" s="336"/>
      <c r="HFJ984" s="337"/>
      <c r="HFK984" s="336"/>
      <c r="HFL984" s="337"/>
      <c r="HFM984" s="336"/>
      <c r="HFN984" s="337"/>
      <c r="HFO984" s="336"/>
      <c r="HFP984" s="337"/>
      <c r="HFQ984" s="336"/>
      <c r="HFR984" s="337"/>
      <c r="HFS984" s="336"/>
      <c r="HFT984" s="337"/>
      <c r="HFU984" s="336"/>
      <c r="HFV984" s="337"/>
      <c r="HFW984" s="336"/>
      <c r="HFX984" s="337"/>
      <c r="HFY984" s="336"/>
      <c r="HFZ984" s="337"/>
      <c r="HGA984" s="336"/>
      <c r="HGB984" s="337"/>
      <c r="HGC984" s="336"/>
      <c r="HGD984" s="337"/>
      <c r="HGE984" s="336"/>
      <c r="HGF984" s="337"/>
      <c r="HGG984" s="336"/>
      <c r="HGH984" s="337"/>
      <c r="HGI984" s="336"/>
      <c r="HGJ984" s="337"/>
      <c r="HGK984" s="336"/>
      <c r="HGL984" s="337"/>
      <c r="HGM984" s="336"/>
      <c r="HGN984" s="337"/>
      <c r="HGO984" s="336"/>
      <c r="HGP984" s="337"/>
      <c r="HGQ984" s="336"/>
      <c r="HGR984" s="337"/>
      <c r="HGS984" s="336"/>
      <c r="HGT984" s="337"/>
      <c r="HGU984" s="336"/>
      <c r="HGV984" s="337"/>
      <c r="HGW984" s="336"/>
      <c r="HGX984" s="337"/>
      <c r="HGY984" s="336"/>
      <c r="HGZ984" s="337"/>
      <c r="HHA984" s="336"/>
      <c r="HHB984" s="337"/>
      <c r="HHC984" s="336"/>
      <c r="HHD984" s="337"/>
      <c r="HHE984" s="336"/>
      <c r="HHF984" s="337"/>
      <c r="HHG984" s="336"/>
      <c r="HHH984" s="337"/>
      <c r="HHI984" s="336"/>
      <c r="HHJ984" s="337"/>
      <c r="HHK984" s="336"/>
      <c r="HHL984" s="337"/>
      <c r="HHM984" s="336"/>
      <c r="HHN984" s="337"/>
      <c r="HHO984" s="336"/>
      <c r="HHP984" s="337"/>
      <c r="HHQ984" s="336"/>
      <c r="HHR984" s="337"/>
      <c r="HHS984" s="336"/>
      <c r="HHT984" s="337"/>
      <c r="HHU984" s="336"/>
      <c r="HHV984" s="337"/>
      <c r="HHW984" s="336"/>
      <c r="HHX984" s="337"/>
      <c r="HHY984" s="336"/>
      <c r="HHZ984" s="337"/>
      <c r="HIA984" s="336"/>
      <c r="HIB984" s="337"/>
      <c r="HIC984" s="336"/>
      <c r="HID984" s="337"/>
      <c r="HIE984" s="336"/>
      <c r="HIF984" s="337"/>
      <c r="HIG984" s="336"/>
      <c r="HIH984" s="337"/>
      <c r="HII984" s="336"/>
      <c r="HIJ984" s="337"/>
      <c r="HIK984" s="336"/>
      <c r="HIL984" s="337"/>
      <c r="HIM984" s="336"/>
      <c r="HIN984" s="337"/>
      <c r="HIO984" s="336"/>
      <c r="HIP984" s="337"/>
      <c r="HIQ984" s="336"/>
      <c r="HIR984" s="337"/>
      <c r="HIS984" s="336"/>
      <c r="HIT984" s="337"/>
      <c r="HIU984" s="336"/>
      <c r="HIV984" s="337"/>
      <c r="HIW984" s="336"/>
      <c r="HIX984" s="337"/>
      <c r="HIY984" s="336"/>
      <c r="HIZ984" s="337"/>
      <c r="HJA984" s="336"/>
      <c r="HJB984" s="337"/>
      <c r="HJC984" s="336"/>
      <c r="HJD984" s="337"/>
      <c r="HJE984" s="336"/>
      <c r="HJF984" s="337"/>
      <c r="HJG984" s="336"/>
      <c r="HJH984" s="337"/>
      <c r="HJI984" s="336"/>
      <c r="HJJ984" s="337"/>
      <c r="HJK984" s="336"/>
      <c r="HJL984" s="337"/>
      <c r="HJM984" s="336"/>
      <c r="HJN984" s="337"/>
      <c r="HJO984" s="336"/>
      <c r="HJP984" s="337"/>
      <c r="HJQ984" s="336"/>
      <c r="HJR984" s="337"/>
      <c r="HJS984" s="336"/>
      <c r="HJT984" s="337"/>
      <c r="HJU984" s="336"/>
      <c r="HJV984" s="337"/>
      <c r="HJW984" s="336"/>
      <c r="HJX984" s="337"/>
      <c r="HJY984" s="336"/>
      <c r="HJZ984" s="337"/>
      <c r="HKA984" s="336"/>
      <c r="HKB984" s="337"/>
      <c r="HKC984" s="336"/>
      <c r="HKD984" s="337"/>
      <c r="HKE984" s="336"/>
      <c r="HKF984" s="337"/>
      <c r="HKG984" s="336"/>
      <c r="HKH984" s="337"/>
      <c r="HKI984" s="336"/>
      <c r="HKJ984" s="337"/>
      <c r="HKK984" s="336"/>
      <c r="HKL984" s="337"/>
      <c r="HKM984" s="336"/>
      <c r="HKN984" s="337"/>
      <c r="HKO984" s="336"/>
      <c r="HKP984" s="337"/>
      <c r="HKQ984" s="336"/>
      <c r="HKR984" s="337"/>
      <c r="HKS984" s="336"/>
      <c r="HKT984" s="337"/>
      <c r="HKU984" s="336"/>
      <c r="HKV984" s="337"/>
      <c r="HKW984" s="336"/>
      <c r="HKX984" s="337"/>
      <c r="HKY984" s="336"/>
      <c r="HKZ984" s="337"/>
      <c r="HLA984" s="336"/>
      <c r="HLB984" s="337"/>
      <c r="HLC984" s="336"/>
      <c r="HLD984" s="337"/>
      <c r="HLE984" s="336"/>
      <c r="HLF984" s="337"/>
      <c r="HLG984" s="336"/>
      <c r="HLH984" s="337"/>
      <c r="HLI984" s="336"/>
      <c r="HLJ984" s="337"/>
      <c r="HLK984" s="336"/>
      <c r="HLL984" s="337"/>
      <c r="HLM984" s="336"/>
      <c r="HLN984" s="337"/>
      <c r="HLO984" s="336"/>
      <c r="HLP984" s="337"/>
      <c r="HLQ984" s="336"/>
      <c r="HLR984" s="337"/>
      <c r="HLS984" s="336"/>
      <c r="HLT984" s="337"/>
      <c r="HLU984" s="336"/>
      <c r="HLV984" s="337"/>
      <c r="HLW984" s="336"/>
      <c r="HLX984" s="337"/>
      <c r="HLY984" s="336"/>
      <c r="HLZ984" s="337"/>
      <c r="HMA984" s="336"/>
      <c r="HMB984" s="337"/>
      <c r="HMC984" s="336"/>
      <c r="HMD984" s="337"/>
      <c r="HME984" s="336"/>
      <c r="HMF984" s="337"/>
      <c r="HMG984" s="336"/>
      <c r="HMH984" s="337"/>
      <c r="HMI984" s="336"/>
      <c r="HMJ984" s="337"/>
      <c r="HMK984" s="336"/>
      <c r="HML984" s="337"/>
      <c r="HMM984" s="336"/>
      <c r="HMN984" s="337"/>
      <c r="HMO984" s="336"/>
      <c r="HMP984" s="337"/>
      <c r="HMQ984" s="336"/>
      <c r="HMR984" s="337"/>
      <c r="HMS984" s="336"/>
      <c r="HMT984" s="337"/>
      <c r="HMU984" s="336"/>
      <c r="HMV984" s="337"/>
      <c r="HMW984" s="336"/>
      <c r="HMX984" s="337"/>
      <c r="HMY984" s="336"/>
      <c r="HMZ984" s="337"/>
      <c r="HNA984" s="336"/>
      <c r="HNB984" s="337"/>
      <c r="HNC984" s="336"/>
      <c r="HND984" s="337"/>
      <c r="HNE984" s="336"/>
      <c r="HNF984" s="337"/>
      <c r="HNG984" s="336"/>
      <c r="HNH984" s="337"/>
      <c r="HNI984" s="336"/>
      <c r="HNJ984" s="337"/>
      <c r="HNK984" s="336"/>
      <c r="HNL984" s="337"/>
      <c r="HNM984" s="336"/>
      <c r="HNN984" s="337"/>
      <c r="HNO984" s="336"/>
      <c r="HNP984" s="337"/>
      <c r="HNQ984" s="336"/>
      <c r="HNR984" s="337"/>
      <c r="HNS984" s="336"/>
      <c r="HNT984" s="337"/>
      <c r="HNU984" s="336"/>
      <c r="HNV984" s="337"/>
      <c r="HNW984" s="336"/>
      <c r="HNX984" s="337"/>
      <c r="HNY984" s="336"/>
      <c r="HNZ984" s="337"/>
      <c r="HOA984" s="336"/>
      <c r="HOB984" s="337"/>
      <c r="HOC984" s="336"/>
      <c r="HOD984" s="337"/>
      <c r="HOE984" s="336"/>
      <c r="HOF984" s="337"/>
      <c r="HOG984" s="336"/>
      <c r="HOH984" s="337"/>
      <c r="HOI984" s="336"/>
      <c r="HOJ984" s="337"/>
      <c r="HOK984" s="336"/>
      <c r="HOL984" s="337"/>
      <c r="HOM984" s="336"/>
      <c r="HON984" s="337"/>
      <c r="HOO984" s="336"/>
      <c r="HOP984" s="337"/>
      <c r="HOQ984" s="336"/>
      <c r="HOR984" s="337"/>
      <c r="HOS984" s="336"/>
      <c r="HOT984" s="337"/>
      <c r="HOU984" s="336"/>
      <c r="HOV984" s="337"/>
      <c r="HOW984" s="336"/>
      <c r="HOX984" s="337"/>
      <c r="HOY984" s="336"/>
      <c r="HOZ984" s="337"/>
      <c r="HPA984" s="336"/>
      <c r="HPB984" s="337"/>
      <c r="HPC984" s="336"/>
      <c r="HPD984" s="337"/>
      <c r="HPE984" s="336"/>
      <c r="HPF984" s="337"/>
      <c r="HPG984" s="336"/>
      <c r="HPH984" s="337"/>
      <c r="HPI984" s="336"/>
      <c r="HPJ984" s="337"/>
      <c r="HPK984" s="336"/>
      <c r="HPL984" s="337"/>
      <c r="HPM984" s="336"/>
      <c r="HPN984" s="337"/>
      <c r="HPO984" s="336"/>
      <c r="HPP984" s="337"/>
      <c r="HPQ984" s="336"/>
      <c r="HPR984" s="337"/>
      <c r="HPS984" s="336"/>
      <c r="HPT984" s="337"/>
      <c r="HPU984" s="336"/>
      <c r="HPV984" s="337"/>
      <c r="HPW984" s="336"/>
      <c r="HPX984" s="337"/>
      <c r="HPY984" s="336"/>
      <c r="HPZ984" s="337"/>
      <c r="HQA984" s="336"/>
      <c r="HQB984" s="337"/>
      <c r="HQC984" s="336"/>
      <c r="HQD984" s="337"/>
      <c r="HQE984" s="336"/>
      <c r="HQF984" s="337"/>
      <c r="HQG984" s="336"/>
      <c r="HQH984" s="337"/>
      <c r="HQI984" s="336"/>
      <c r="HQJ984" s="337"/>
      <c r="HQK984" s="336"/>
      <c r="HQL984" s="337"/>
      <c r="HQM984" s="336"/>
      <c r="HQN984" s="337"/>
      <c r="HQO984" s="336"/>
      <c r="HQP984" s="337"/>
      <c r="HQQ984" s="336"/>
      <c r="HQR984" s="337"/>
      <c r="HQS984" s="336"/>
      <c r="HQT984" s="337"/>
      <c r="HQU984" s="336"/>
      <c r="HQV984" s="337"/>
      <c r="HQW984" s="336"/>
      <c r="HQX984" s="337"/>
      <c r="HQY984" s="336"/>
      <c r="HQZ984" s="337"/>
      <c r="HRA984" s="336"/>
      <c r="HRB984" s="337"/>
      <c r="HRC984" s="336"/>
      <c r="HRD984" s="337"/>
      <c r="HRE984" s="336"/>
      <c r="HRF984" s="337"/>
      <c r="HRG984" s="336"/>
      <c r="HRH984" s="337"/>
      <c r="HRI984" s="336"/>
      <c r="HRJ984" s="337"/>
      <c r="HRK984" s="336"/>
      <c r="HRL984" s="337"/>
      <c r="HRM984" s="336"/>
      <c r="HRN984" s="337"/>
      <c r="HRO984" s="336"/>
      <c r="HRP984" s="337"/>
      <c r="HRQ984" s="336"/>
      <c r="HRR984" s="337"/>
      <c r="HRS984" s="336"/>
      <c r="HRT984" s="337"/>
      <c r="HRU984" s="336"/>
      <c r="HRV984" s="337"/>
      <c r="HRW984" s="336"/>
      <c r="HRX984" s="337"/>
      <c r="HRY984" s="336"/>
      <c r="HRZ984" s="337"/>
      <c r="HSA984" s="336"/>
      <c r="HSB984" s="337"/>
      <c r="HSC984" s="336"/>
      <c r="HSD984" s="337"/>
      <c r="HSE984" s="336"/>
      <c r="HSF984" s="337"/>
      <c r="HSG984" s="336"/>
      <c r="HSH984" s="337"/>
      <c r="HSI984" s="336"/>
      <c r="HSJ984" s="337"/>
      <c r="HSK984" s="336"/>
      <c r="HSL984" s="337"/>
      <c r="HSM984" s="336"/>
      <c r="HSN984" s="337"/>
      <c r="HSO984" s="336"/>
      <c r="HSP984" s="337"/>
      <c r="HSQ984" s="336"/>
      <c r="HSR984" s="337"/>
      <c r="HSS984" s="336"/>
      <c r="HST984" s="337"/>
      <c r="HSU984" s="336"/>
      <c r="HSV984" s="337"/>
      <c r="HSW984" s="336"/>
      <c r="HSX984" s="337"/>
      <c r="HSY984" s="336"/>
      <c r="HSZ984" s="337"/>
      <c r="HTA984" s="336"/>
      <c r="HTB984" s="337"/>
      <c r="HTC984" s="336"/>
      <c r="HTD984" s="337"/>
      <c r="HTE984" s="336"/>
      <c r="HTF984" s="337"/>
      <c r="HTG984" s="336"/>
      <c r="HTH984" s="337"/>
      <c r="HTI984" s="336"/>
      <c r="HTJ984" s="337"/>
      <c r="HTK984" s="336"/>
      <c r="HTL984" s="337"/>
      <c r="HTM984" s="336"/>
      <c r="HTN984" s="337"/>
      <c r="HTO984" s="336"/>
      <c r="HTP984" s="337"/>
      <c r="HTQ984" s="336"/>
      <c r="HTR984" s="337"/>
      <c r="HTS984" s="336"/>
      <c r="HTT984" s="337"/>
      <c r="HTU984" s="336"/>
      <c r="HTV984" s="337"/>
      <c r="HTW984" s="336"/>
      <c r="HTX984" s="337"/>
      <c r="HTY984" s="336"/>
      <c r="HTZ984" s="337"/>
      <c r="HUA984" s="336"/>
      <c r="HUB984" s="337"/>
      <c r="HUC984" s="336"/>
      <c r="HUD984" s="337"/>
      <c r="HUE984" s="336"/>
      <c r="HUF984" s="337"/>
      <c r="HUG984" s="336"/>
      <c r="HUH984" s="337"/>
      <c r="HUI984" s="336"/>
      <c r="HUJ984" s="337"/>
      <c r="HUK984" s="336"/>
      <c r="HUL984" s="337"/>
      <c r="HUM984" s="336"/>
      <c r="HUN984" s="337"/>
      <c r="HUO984" s="336"/>
      <c r="HUP984" s="337"/>
      <c r="HUQ984" s="336"/>
      <c r="HUR984" s="337"/>
      <c r="HUS984" s="336"/>
      <c r="HUT984" s="337"/>
      <c r="HUU984" s="336"/>
      <c r="HUV984" s="337"/>
      <c r="HUW984" s="336"/>
      <c r="HUX984" s="337"/>
      <c r="HUY984" s="336"/>
      <c r="HUZ984" s="337"/>
      <c r="HVA984" s="336"/>
      <c r="HVB984" s="337"/>
      <c r="HVC984" s="336"/>
      <c r="HVD984" s="337"/>
      <c r="HVE984" s="336"/>
      <c r="HVF984" s="337"/>
      <c r="HVG984" s="336"/>
      <c r="HVH984" s="337"/>
      <c r="HVI984" s="336"/>
      <c r="HVJ984" s="337"/>
      <c r="HVK984" s="336"/>
      <c r="HVL984" s="337"/>
      <c r="HVM984" s="336"/>
      <c r="HVN984" s="337"/>
      <c r="HVO984" s="336"/>
      <c r="HVP984" s="337"/>
      <c r="HVQ984" s="336"/>
      <c r="HVR984" s="337"/>
      <c r="HVS984" s="336"/>
      <c r="HVT984" s="337"/>
      <c r="HVU984" s="336"/>
      <c r="HVV984" s="337"/>
      <c r="HVW984" s="336"/>
      <c r="HVX984" s="337"/>
      <c r="HVY984" s="336"/>
      <c r="HVZ984" s="337"/>
      <c r="HWA984" s="336"/>
      <c r="HWB984" s="337"/>
      <c r="HWC984" s="336"/>
      <c r="HWD984" s="337"/>
      <c r="HWE984" s="336"/>
      <c r="HWF984" s="337"/>
      <c r="HWG984" s="336"/>
      <c r="HWH984" s="337"/>
      <c r="HWI984" s="336"/>
      <c r="HWJ984" s="337"/>
      <c r="HWK984" s="336"/>
      <c r="HWL984" s="337"/>
      <c r="HWM984" s="336"/>
      <c r="HWN984" s="337"/>
      <c r="HWO984" s="336"/>
      <c r="HWP984" s="337"/>
      <c r="HWQ984" s="336"/>
      <c r="HWR984" s="337"/>
      <c r="HWS984" s="336"/>
      <c r="HWT984" s="337"/>
      <c r="HWU984" s="336"/>
      <c r="HWV984" s="337"/>
      <c r="HWW984" s="336"/>
      <c r="HWX984" s="337"/>
      <c r="HWY984" s="336"/>
      <c r="HWZ984" s="337"/>
      <c r="HXA984" s="336"/>
      <c r="HXB984" s="337"/>
      <c r="HXC984" s="336"/>
      <c r="HXD984" s="337"/>
      <c r="HXE984" s="336"/>
      <c r="HXF984" s="337"/>
      <c r="HXG984" s="336"/>
      <c r="HXH984" s="337"/>
      <c r="HXI984" s="336"/>
      <c r="HXJ984" s="337"/>
      <c r="HXK984" s="336"/>
      <c r="HXL984" s="337"/>
      <c r="HXM984" s="336"/>
      <c r="HXN984" s="337"/>
      <c r="HXO984" s="336"/>
      <c r="HXP984" s="337"/>
      <c r="HXQ984" s="336"/>
      <c r="HXR984" s="337"/>
      <c r="HXS984" s="336"/>
      <c r="HXT984" s="337"/>
      <c r="HXU984" s="336"/>
      <c r="HXV984" s="337"/>
      <c r="HXW984" s="336"/>
      <c r="HXX984" s="337"/>
      <c r="HXY984" s="336"/>
      <c r="HXZ984" s="337"/>
      <c r="HYA984" s="336"/>
      <c r="HYB984" s="337"/>
      <c r="HYC984" s="336"/>
      <c r="HYD984" s="337"/>
      <c r="HYE984" s="336"/>
      <c r="HYF984" s="337"/>
      <c r="HYG984" s="336"/>
      <c r="HYH984" s="337"/>
      <c r="HYI984" s="336"/>
      <c r="HYJ984" s="337"/>
      <c r="HYK984" s="336"/>
      <c r="HYL984" s="337"/>
      <c r="HYM984" s="336"/>
      <c r="HYN984" s="337"/>
      <c r="HYO984" s="336"/>
      <c r="HYP984" s="337"/>
      <c r="HYQ984" s="336"/>
      <c r="HYR984" s="337"/>
      <c r="HYS984" s="336"/>
      <c r="HYT984" s="337"/>
      <c r="HYU984" s="336"/>
      <c r="HYV984" s="337"/>
      <c r="HYW984" s="336"/>
      <c r="HYX984" s="337"/>
      <c r="HYY984" s="336"/>
      <c r="HYZ984" s="337"/>
      <c r="HZA984" s="336"/>
      <c r="HZB984" s="337"/>
      <c r="HZC984" s="336"/>
      <c r="HZD984" s="337"/>
      <c r="HZE984" s="336"/>
      <c r="HZF984" s="337"/>
      <c r="HZG984" s="336"/>
      <c r="HZH984" s="337"/>
      <c r="HZI984" s="336"/>
      <c r="HZJ984" s="337"/>
      <c r="HZK984" s="336"/>
      <c r="HZL984" s="337"/>
      <c r="HZM984" s="336"/>
      <c r="HZN984" s="337"/>
      <c r="HZO984" s="336"/>
      <c r="HZP984" s="337"/>
      <c r="HZQ984" s="336"/>
      <c r="HZR984" s="337"/>
      <c r="HZS984" s="336"/>
      <c r="HZT984" s="337"/>
      <c r="HZU984" s="336"/>
      <c r="HZV984" s="337"/>
      <c r="HZW984" s="336"/>
      <c r="HZX984" s="337"/>
      <c r="HZY984" s="336"/>
      <c r="HZZ984" s="337"/>
      <c r="IAA984" s="336"/>
      <c r="IAB984" s="337"/>
      <c r="IAC984" s="336"/>
      <c r="IAD984" s="337"/>
      <c r="IAE984" s="336"/>
      <c r="IAF984" s="337"/>
      <c r="IAG984" s="336"/>
      <c r="IAH984" s="337"/>
      <c r="IAI984" s="336"/>
      <c r="IAJ984" s="337"/>
      <c r="IAK984" s="336"/>
      <c r="IAL984" s="337"/>
      <c r="IAM984" s="336"/>
      <c r="IAN984" s="337"/>
      <c r="IAO984" s="336"/>
      <c r="IAP984" s="337"/>
      <c r="IAQ984" s="336"/>
      <c r="IAR984" s="337"/>
      <c r="IAS984" s="336"/>
      <c r="IAT984" s="337"/>
      <c r="IAU984" s="336"/>
      <c r="IAV984" s="337"/>
      <c r="IAW984" s="336"/>
      <c r="IAX984" s="337"/>
      <c r="IAY984" s="336"/>
      <c r="IAZ984" s="337"/>
      <c r="IBA984" s="336"/>
      <c r="IBB984" s="337"/>
      <c r="IBC984" s="336"/>
      <c r="IBD984" s="337"/>
      <c r="IBE984" s="336"/>
      <c r="IBF984" s="337"/>
      <c r="IBG984" s="336"/>
      <c r="IBH984" s="337"/>
      <c r="IBI984" s="336"/>
      <c r="IBJ984" s="337"/>
      <c r="IBK984" s="336"/>
      <c r="IBL984" s="337"/>
      <c r="IBM984" s="336"/>
      <c r="IBN984" s="337"/>
      <c r="IBO984" s="336"/>
      <c r="IBP984" s="337"/>
      <c r="IBQ984" s="336"/>
      <c r="IBR984" s="337"/>
      <c r="IBS984" s="336"/>
      <c r="IBT984" s="337"/>
      <c r="IBU984" s="336"/>
      <c r="IBV984" s="337"/>
      <c r="IBW984" s="336"/>
      <c r="IBX984" s="337"/>
      <c r="IBY984" s="336"/>
      <c r="IBZ984" s="337"/>
      <c r="ICA984" s="336"/>
      <c r="ICB984" s="337"/>
      <c r="ICC984" s="336"/>
      <c r="ICD984" s="337"/>
      <c r="ICE984" s="336"/>
      <c r="ICF984" s="337"/>
      <c r="ICG984" s="336"/>
      <c r="ICH984" s="337"/>
      <c r="ICI984" s="336"/>
      <c r="ICJ984" s="337"/>
      <c r="ICK984" s="336"/>
      <c r="ICL984" s="337"/>
      <c r="ICM984" s="336"/>
      <c r="ICN984" s="337"/>
      <c r="ICO984" s="336"/>
      <c r="ICP984" s="337"/>
      <c r="ICQ984" s="336"/>
      <c r="ICR984" s="337"/>
      <c r="ICS984" s="336"/>
      <c r="ICT984" s="337"/>
      <c r="ICU984" s="336"/>
      <c r="ICV984" s="337"/>
      <c r="ICW984" s="336"/>
      <c r="ICX984" s="337"/>
      <c r="ICY984" s="336"/>
      <c r="ICZ984" s="337"/>
      <c r="IDA984" s="336"/>
      <c r="IDB984" s="337"/>
      <c r="IDC984" s="336"/>
      <c r="IDD984" s="337"/>
      <c r="IDE984" s="336"/>
      <c r="IDF984" s="337"/>
      <c r="IDG984" s="336"/>
      <c r="IDH984" s="337"/>
      <c r="IDI984" s="336"/>
      <c r="IDJ984" s="337"/>
      <c r="IDK984" s="336"/>
      <c r="IDL984" s="337"/>
      <c r="IDM984" s="336"/>
      <c r="IDN984" s="337"/>
      <c r="IDO984" s="336"/>
      <c r="IDP984" s="337"/>
      <c r="IDQ984" s="336"/>
      <c r="IDR984" s="337"/>
      <c r="IDS984" s="336"/>
      <c r="IDT984" s="337"/>
      <c r="IDU984" s="336"/>
      <c r="IDV984" s="337"/>
      <c r="IDW984" s="336"/>
      <c r="IDX984" s="337"/>
      <c r="IDY984" s="336"/>
      <c r="IDZ984" s="337"/>
      <c r="IEA984" s="336"/>
      <c r="IEB984" s="337"/>
      <c r="IEC984" s="336"/>
      <c r="IED984" s="337"/>
      <c r="IEE984" s="336"/>
      <c r="IEF984" s="337"/>
      <c r="IEG984" s="336"/>
      <c r="IEH984" s="337"/>
      <c r="IEI984" s="336"/>
      <c r="IEJ984" s="337"/>
      <c r="IEK984" s="336"/>
      <c r="IEL984" s="337"/>
      <c r="IEM984" s="336"/>
      <c r="IEN984" s="337"/>
      <c r="IEO984" s="336"/>
      <c r="IEP984" s="337"/>
      <c r="IEQ984" s="336"/>
      <c r="IER984" s="337"/>
      <c r="IES984" s="336"/>
      <c r="IET984" s="337"/>
      <c r="IEU984" s="336"/>
      <c r="IEV984" s="337"/>
      <c r="IEW984" s="336"/>
      <c r="IEX984" s="337"/>
      <c r="IEY984" s="336"/>
      <c r="IEZ984" s="337"/>
      <c r="IFA984" s="336"/>
      <c r="IFB984" s="337"/>
      <c r="IFC984" s="336"/>
      <c r="IFD984" s="337"/>
      <c r="IFE984" s="336"/>
      <c r="IFF984" s="337"/>
      <c r="IFG984" s="336"/>
      <c r="IFH984" s="337"/>
      <c r="IFI984" s="336"/>
      <c r="IFJ984" s="337"/>
      <c r="IFK984" s="336"/>
      <c r="IFL984" s="337"/>
      <c r="IFM984" s="336"/>
      <c r="IFN984" s="337"/>
      <c r="IFO984" s="336"/>
      <c r="IFP984" s="337"/>
      <c r="IFQ984" s="336"/>
      <c r="IFR984" s="337"/>
      <c r="IFS984" s="336"/>
      <c r="IFT984" s="337"/>
      <c r="IFU984" s="336"/>
      <c r="IFV984" s="337"/>
      <c r="IFW984" s="336"/>
      <c r="IFX984" s="337"/>
      <c r="IFY984" s="336"/>
      <c r="IFZ984" s="337"/>
      <c r="IGA984" s="336"/>
      <c r="IGB984" s="337"/>
      <c r="IGC984" s="336"/>
      <c r="IGD984" s="337"/>
      <c r="IGE984" s="336"/>
      <c r="IGF984" s="337"/>
      <c r="IGG984" s="336"/>
      <c r="IGH984" s="337"/>
      <c r="IGI984" s="336"/>
      <c r="IGJ984" s="337"/>
      <c r="IGK984" s="336"/>
      <c r="IGL984" s="337"/>
      <c r="IGM984" s="336"/>
      <c r="IGN984" s="337"/>
      <c r="IGO984" s="336"/>
      <c r="IGP984" s="337"/>
      <c r="IGQ984" s="336"/>
      <c r="IGR984" s="337"/>
      <c r="IGS984" s="336"/>
      <c r="IGT984" s="337"/>
      <c r="IGU984" s="336"/>
      <c r="IGV984" s="337"/>
      <c r="IGW984" s="336"/>
      <c r="IGX984" s="337"/>
      <c r="IGY984" s="336"/>
      <c r="IGZ984" s="337"/>
      <c r="IHA984" s="336"/>
      <c r="IHB984" s="337"/>
      <c r="IHC984" s="336"/>
      <c r="IHD984" s="337"/>
      <c r="IHE984" s="336"/>
      <c r="IHF984" s="337"/>
      <c r="IHG984" s="336"/>
      <c r="IHH984" s="337"/>
      <c r="IHI984" s="336"/>
      <c r="IHJ984" s="337"/>
      <c r="IHK984" s="336"/>
      <c r="IHL984" s="337"/>
      <c r="IHM984" s="336"/>
      <c r="IHN984" s="337"/>
      <c r="IHO984" s="336"/>
      <c r="IHP984" s="337"/>
      <c r="IHQ984" s="336"/>
      <c r="IHR984" s="337"/>
      <c r="IHS984" s="336"/>
      <c r="IHT984" s="337"/>
      <c r="IHU984" s="336"/>
      <c r="IHV984" s="337"/>
      <c r="IHW984" s="336"/>
      <c r="IHX984" s="337"/>
      <c r="IHY984" s="336"/>
      <c r="IHZ984" s="337"/>
      <c r="IIA984" s="336"/>
      <c r="IIB984" s="337"/>
      <c r="IIC984" s="336"/>
      <c r="IID984" s="337"/>
      <c r="IIE984" s="336"/>
      <c r="IIF984" s="337"/>
      <c r="IIG984" s="336"/>
      <c r="IIH984" s="337"/>
      <c r="III984" s="336"/>
      <c r="IIJ984" s="337"/>
      <c r="IIK984" s="336"/>
      <c r="IIL984" s="337"/>
      <c r="IIM984" s="336"/>
      <c r="IIN984" s="337"/>
      <c r="IIO984" s="336"/>
      <c r="IIP984" s="337"/>
      <c r="IIQ984" s="336"/>
      <c r="IIR984" s="337"/>
      <c r="IIS984" s="336"/>
      <c r="IIT984" s="337"/>
      <c r="IIU984" s="336"/>
      <c r="IIV984" s="337"/>
      <c r="IIW984" s="336"/>
      <c r="IIX984" s="337"/>
      <c r="IIY984" s="336"/>
      <c r="IIZ984" s="337"/>
      <c r="IJA984" s="336"/>
      <c r="IJB984" s="337"/>
      <c r="IJC984" s="336"/>
      <c r="IJD984" s="337"/>
      <c r="IJE984" s="336"/>
      <c r="IJF984" s="337"/>
      <c r="IJG984" s="336"/>
      <c r="IJH984" s="337"/>
      <c r="IJI984" s="336"/>
      <c r="IJJ984" s="337"/>
      <c r="IJK984" s="336"/>
      <c r="IJL984" s="337"/>
      <c r="IJM984" s="336"/>
      <c r="IJN984" s="337"/>
      <c r="IJO984" s="336"/>
      <c r="IJP984" s="337"/>
      <c r="IJQ984" s="336"/>
      <c r="IJR984" s="337"/>
      <c r="IJS984" s="336"/>
      <c r="IJT984" s="337"/>
      <c r="IJU984" s="336"/>
      <c r="IJV984" s="337"/>
      <c r="IJW984" s="336"/>
      <c r="IJX984" s="337"/>
      <c r="IJY984" s="336"/>
      <c r="IJZ984" s="337"/>
      <c r="IKA984" s="336"/>
      <c r="IKB984" s="337"/>
      <c r="IKC984" s="336"/>
      <c r="IKD984" s="337"/>
      <c r="IKE984" s="336"/>
      <c r="IKF984" s="337"/>
      <c r="IKG984" s="336"/>
      <c r="IKH984" s="337"/>
      <c r="IKI984" s="336"/>
      <c r="IKJ984" s="337"/>
      <c r="IKK984" s="336"/>
      <c r="IKL984" s="337"/>
      <c r="IKM984" s="336"/>
      <c r="IKN984" s="337"/>
      <c r="IKO984" s="336"/>
      <c r="IKP984" s="337"/>
      <c r="IKQ984" s="336"/>
      <c r="IKR984" s="337"/>
      <c r="IKS984" s="336"/>
      <c r="IKT984" s="337"/>
      <c r="IKU984" s="336"/>
      <c r="IKV984" s="337"/>
      <c r="IKW984" s="336"/>
      <c r="IKX984" s="337"/>
      <c r="IKY984" s="336"/>
      <c r="IKZ984" s="337"/>
      <c r="ILA984" s="336"/>
      <c r="ILB984" s="337"/>
      <c r="ILC984" s="336"/>
      <c r="ILD984" s="337"/>
      <c r="ILE984" s="336"/>
      <c r="ILF984" s="337"/>
      <c r="ILG984" s="336"/>
      <c r="ILH984" s="337"/>
      <c r="ILI984" s="336"/>
      <c r="ILJ984" s="337"/>
      <c r="ILK984" s="336"/>
      <c r="ILL984" s="337"/>
      <c r="ILM984" s="336"/>
      <c r="ILN984" s="337"/>
      <c r="ILO984" s="336"/>
      <c r="ILP984" s="337"/>
      <c r="ILQ984" s="336"/>
      <c r="ILR984" s="337"/>
      <c r="ILS984" s="336"/>
      <c r="ILT984" s="337"/>
      <c r="ILU984" s="336"/>
      <c r="ILV984" s="337"/>
      <c r="ILW984" s="336"/>
      <c r="ILX984" s="337"/>
      <c r="ILY984" s="336"/>
      <c r="ILZ984" s="337"/>
      <c r="IMA984" s="336"/>
      <c r="IMB984" s="337"/>
      <c r="IMC984" s="336"/>
      <c r="IMD984" s="337"/>
      <c r="IME984" s="336"/>
      <c r="IMF984" s="337"/>
      <c r="IMG984" s="336"/>
      <c r="IMH984" s="337"/>
      <c r="IMI984" s="336"/>
      <c r="IMJ984" s="337"/>
      <c r="IMK984" s="336"/>
      <c r="IML984" s="337"/>
      <c r="IMM984" s="336"/>
      <c r="IMN984" s="337"/>
      <c r="IMO984" s="336"/>
      <c r="IMP984" s="337"/>
      <c r="IMQ984" s="336"/>
      <c r="IMR984" s="337"/>
      <c r="IMS984" s="336"/>
      <c r="IMT984" s="337"/>
      <c r="IMU984" s="336"/>
      <c r="IMV984" s="337"/>
      <c r="IMW984" s="336"/>
      <c r="IMX984" s="337"/>
      <c r="IMY984" s="336"/>
      <c r="IMZ984" s="337"/>
      <c r="INA984" s="336"/>
      <c r="INB984" s="337"/>
      <c r="INC984" s="336"/>
      <c r="IND984" s="337"/>
      <c r="INE984" s="336"/>
      <c r="INF984" s="337"/>
      <c r="ING984" s="336"/>
      <c r="INH984" s="337"/>
      <c r="INI984" s="336"/>
      <c r="INJ984" s="337"/>
      <c r="INK984" s="336"/>
      <c r="INL984" s="337"/>
      <c r="INM984" s="336"/>
      <c r="INN984" s="337"/>
      <c r="INO984" s="336"/>
      <c r="INP984" s="337"/>
      <c r="INQ984" s="336"/>
      <c r="INR984" s="337"/>
      <c r="INS984" s="336"/>
      <c r="INT984" s="337"/>
      <c r="INU984" s="336"/>
      <c r="INV984" s="337"/>
      <c r="INW984" s="336"/>
      <c r="INX984" s="337"/>
      <c r="INY984" s="336"/>
      <c r="INZ984" s="337"/>
      <c r="IOA984" s="336"/>
      <c r="IOB984" s="337"/>
      <c r="IOC984" s="336"/>
      <c r="IOD984" s="337"/>
      <c r="IOE984" s="336"/>
      <c r="IOF984" s="337"/>
      <c r="IOG984" s="336"/>
      <c r="IOH984" s="337"/>
      <c r="IOI984" s="336"/>
      <c r="IOJ984" s="337"/>
      <c r="IOK984" s="336"/>
      <c r="IOL984" s="337"/>
      <c r="IOM984" s="336"/>
      <c r="ION984" s="337"/>
      <c r="IOO984" s="336"/>
      <c r="IOP984" s="337"/>
      <c r="IOQ984" s="336"/>
      <c r="IOR984" s="337"/>
      <c r="IOS984" s="336"/>
      <c r="IOT984" s="337"/>
      <c r="IOU984" s="336"/>
      <c r="IOV984" s="337"/>
      <c r="IOW984" s="336"/>
      <c r="IOX984" s="337"/>
      <c r="IOY984" s="336"/>
      <c r="IOZ984" s="337"/>
      <c r="IPA984" s="336"/>
      <c r="IPB984" s="337"/>
      <c r="IPC984" s="336"/>
      <c r="IPD984" s="337"/>
      <c r="IPE984" s="336"/>
      <c r="IPF984" s="337"/>
      <c r="IPG984" s="336"/>
      <c r="IPH984" s="337"/>
      <c r="IPI984" s="336"/>
      <c r="IPJ984" s="337"/>
      <c r="IPK984" s="336"/>
      <c r="IPL984" s="337"/>
      <c r="IPM984" s="336"/>
      <c r="IPN984" s="337"/>
      <c r="IPO984" s="336"/>
      <c r="IPP984" s="337"/>
      <c r="IPQ984" s="336"/>
      <c r="IPR984" s="337"/>
      <c r="IPS984" s="336"/>
      <c r="IPT984" s="337"/>
      <c r="IPU984" s="336"/>
      <c r="IPV984" s="337"/>
      <c r="IPW984" s="336"/>
      <c r="IPX984" s="337"/>
      <c r="IPY984" s="336"/>
      <c r="IPZ984" s="337"/>
      <c r="IQA984" s="336"/>
      <c r="IQB984" s="337"/>
      <c r="IQC984" s="336"/>
      <c r="IQD984" s="337"/>
      <c r="IQE984" s="336"/>
      <c r="IQF984" s="337"/>
      <c r="IQG984" s="336"/>
      <c r="IQH984" s="337"/>
      <c r="IQI984" s="336"/>
      <c r="IQJ984" s="337"/>
      <c r="IQK984" s="336"/>
      <c r="IQL984" s="337"/>
      <c r="IQM984" s="336"/>
      <c r="IQN984" s="337"/>
      <c r="IQO984" s="336"/>
      <c r="IQP984" s="337"/>
      <c r="IQQ984" s="336"/>
      <c r="IQR984" s="337"/>
      <c r="IQS984" s="336"/>
      <c r="IQT984" s="337"/>
      <c r="IQU984" s="336"/>
      <c r="IQV984" s="337"/>
      <c r="IQW984" s="336"/>
      <c r="IQX984" s="337"/>
      <c r="IQY984" s="336"/>
      <c r="IQZ984" s="337"/>
      <c r="IRA984" s="336"/>
      <c r="IRB984" s="337"/>
      <c r="IRC984" s="336"/>
      <c r="IRD984" s="337"/>
      <c r="IRE984" s="336"/>
      <c r="IRF984" s="337"/>
      <c r="IRG984" s="336"/>
      <c r="IRH984" s="337"/>
      <c r="IRI984" s="336"/>
      <c r="IRJ984" s="337"/>
      <c r="IRK984" s="336"/>
      <c r="IRL984" s="337"/>
      <c r="IRM984" s="336"/>
      <c r="IRN984" s="337"/>
      <c r="IRO984" s="336"/>
      <c r="IRP984" s="337"/>
      <c r="IRQ984" s="336"/>
      <c r="IRR984" s="337"/>
      <c r="IRS984" s="336"/>
      <c r="IRT984" s="337"/>
      <c r="IRU984" s="336"/>
      <c r="IRV984" s="337"/>
      <c r="IRW984" s="336"/>
      <c r="IRX984" s="337"/>
      <c r="IRY984" s="336"/>
      <c r="IRZ984" s="337"/>
      <c r="ISA984" s="336"/>
      <c r="ISB984" s="337"/>
      <c r="ISC984" s="336"/>
      <c r="ISD984" s="337"/>
      <c r="ISE984" s="336"/>
      <c r="ISF984" s="337"/>
      <c r="ISG984" s="336"/>
      <c r="ISH984" s="337"/>
      <c r="ISI984" s="336"/>
      <c r="ISJ984" s="337"/>
      <c r="ISK984" s="336"/>
      <c r="ISL984" s="337"/>
      <c r="ISM984" s="336"/>
      <c r="ISN984" s="337"/>
      <c r="ISO984" s="336"/>
      <c r="ISP984" s="337"/>
      <c r="ISQ984" s="336"/>
      <c r="ISR984" s="337"/>
      <c r="ISS984" s="336"/>
      <c r="IST984" s="337"/>
      <c r="ISU984" s="336"/>
      <c r="ISV984" s="337"/>
      <c r="ISW984" s="336"/>
      <c r="ISX984" s="337"/>
      <c r="ISY984" s="336"/>
      <c r="ISZ984" s="337"/>
      <c r="ITA984" s="336"/>
      <c r="ITB984" s="337"/>
      <c r="ITC984" s="336"/>
      <c r="ITD984" s="337"/>
      <c r="ITE984" s="336"/>
      <c r="ITF984" s="337"/>
      <c r="ITG984" s="336"/>
      <c r="ITH984" s="337"/>
      <c r="ITI984" s="336"/>
      <c r="ITJ984" s="337"/>
      <c r="ITK984" s="336"/>
      <c r="ITL984" s="337"/>
      <c r="ITM984" s="336"/>
      <c r="ITN984" s="337"/>
      <c r="ITO984" s="336"/>
      <c r="ITP984" s="337"/>
      <c r="ITQ984" s="336"/>
      <c r="ITR984" s="337"/>
      <c r="ITS984" s="336"/>
      <c r="ITT984" s="337"/>
      <c r="ITU984" s="336"/>
      <c r="ITV984" s="337"/>
      <c r="ITW984" s="336"/>
      <c r="ITX984" s="337"/>
      <c r="ITY984" s="336"/>
      <c r="ITZ984" s="337"/>
      <c r="IUA984" s="336"/>
      <c r="IUB984" s="337"/>
      <c r="IUC984" s="336"/>
      <c r="IUD984" s="337"/>
      <c r="IUE984" s="336"/>
      <c r="IUF984" s="337"/>
      <c r="IUG984" s="336"/>
      <c r="IUH984" s="337"/>
      <c r="IUI984" s="336"/>
      <c r="IUJ984" s="337"/>
      <c r="IUK984" s="336"/>
      <c r="IUL984" s="337"/>
      <c r="IUM984" s="336"/>
      <c r="IUN984" s="337"/>
      <c r="IUO984" s="336"/>
      <c r="IUP984" s="337"/>
      <c r="IUQ984" s="336"/>
      <c r="IUR984" s="337"/>
      <c r="IUS984" s="336"/>
      <c r="IUT984" s="337"/>
      <c r="IUU984" s="336"/>
      <c r="IUV984" s="337"/>
      <c r="IUW984" s="336"/>
      <c r="IUX984" s="337"/>
      <c r="IUY984" s="336"/>
      <c r="IUZ984" s="337"/>
      <c r="IVA984" s="336"/>
      <c r="IVB984" s="337"/>
      <c r="IVC984" s="336"/>
      <c r="IVD984" s="337"/>
      <c r="IVE984" s="336"/>
      <c r="IVF984" s="337"/>
      <c r="IVG984" s="336"/>
      <c r="IVH984" s="337"/>
      <c r="IVI984" s="336"/>
      <c r="IVJ984" s="337"/>
      <c r="IVK984" s="336"/>
      <c r="IVL984" s="337"/>
      <c r="IVM984" s="336"/>
      <c r="IVN984" s="337"/>
      <c r="IVO984" s="336"/>
      <c r="IVP984" s="337"/>
      <c r="IVQ984" s="336"/>
      <c r="IVR984" s="337"/>
      <c r="IVS984" s="336"/>
      <c r="IVT984" s="337"/>
      <c r="IVU984" s="336"/>
      <c r="IVV984" s="337"/>
      <c r="IVW984" s="336"/>
      <c r="IVX984" s="337"/>
      <c r="IVY984" s="336"/>
      <c r="IVZ984" s="337"/>
      <c r="IWA984" s="336"/>
      <c r="IWB984" s="337"/>
      <c r="IWC984" s="336"/>
      <c r="IWD984" s="337"/>
      <c r="IWE984" s="336"/>
      <c r="IWF984" s="337"/>
      <c r="IWG984" s="336"/>
      <c r="IWH984" s="337"/>
      <c r="IWI984" s="336"/>
      <c r="IWJ984" s="337"/>
      <c r="IWK984" s="336"/>
      <c r="IWL984" s="337"/>
      <c r="IWM984" s="336"/>
      <c r="IWN984" s="337"/>
      <c r="IWO984" s="336"/>
      <c r="IWP984" s="337"/>
      <c r="IWQ984" s="336"/>
      <c r="IWR984" s="337"/>
      <c r="IWS984" s="336"/>
      <c r="IWT984" s="337"/>
      <c r="IWU984" s="336"/>
      <c r="IWV984" s="337"/>
      <c r="IWW984" s="336"/>
      <c r="IWX984" s="337"/>
      <c r="IWY984" s="336"/>
      <c r="IWZ984" s="337"/>
      <c r="IXA984" s="336"/>
      <c r="IXB984" s="337"/>
      <c r="IXC984" s="336"/>
      <c r="IXD984" s="337"/>
      <c r="IXE984" s="336"/>
      <c r="IXF984" s="337"/>
      <c r="IXG984" s="336"/>
      <c r="IXH984" s="337"/>
      <c r="IXI984" s="336"/>
      <c r="IXJ984" s="337"/>
      <c r="IXK984" s="336"/>
      <c r="IXL984" s="337"/>
      <c r="IXM984" s="336"/>
      <c r="IXN984" s="337"/>
      <c r="IXO984" s="336"/>
      <c r="IXP984" s="337"/>
      <c r="IXQ984" s="336"/>
      <c r="IXR984" s="337"/>
      <c r="IXS984" s="336"/>
      <c r="IXT984" s="337"/>
      <c r="IXU984" s="336"/>
      <c r="IXV984" s="337"/>
      <c r="IXW984" s="336"/>
      <c r="IXX984" s="337"/>
      <c r="IXY984" s="336"/>
      <c r="IXZ984" s="337"/>
      <c r="IYA984" s="336"/>
      <c r="IYB984" s="337"/>
      <c r="IYC984" s="336"/>
      <c r="IYD984" s="337"/>
      <c r="IYE984" s="336"/>
      <c r="IYF984" s="337"/>
      <c r="IYG984" s="336"/>
      <c r="IYH984" s="337"/>
      <c r="IYI984" s="336"/>
      <c r="IYJ984" s="337"/>
      <c r="IYK984" s="336"/>
      <c r="IYL984" s="337"/>
      <c r="IYM984" s="336"/>
      <c r="IYN984" s="337"/>
      <c r="IYO984" s="336"/>
      <c r="IYP984" s="337"/>
      <c r="IYQ984" s="336"/>
      <c r="IYR984" s="337"/>
      <c r="IYS984" s="336"/>
      <c r="IYT984" s="337"/>
      <c r="IYU984" s="336"/>
      <c r="IYV984" s="337"/>
      <c r="IYW984" s="336"/>
      <c r="IYX984" s="337"/>
      <c r="IYY984" s="336"/>
      <c r="IYZ984" s="337"/>
      <c r="IZA984" s="336"/>
      <c r="IZB984" s="337"/>
      <c r="IZC984" s="336"/>
      <c r="IZD984" s="337"/>
      <c r="IZE984" s="336"/>
      <c r="IZF984" s="337"/>
      <c r="IZG984" s="336"/>
      <c r="IZH984" s="337"/>
      <c r="IZI984" s="336"/>
      <c r="IZJ984" s="337"/>
      <c r="IZK984" s="336"/>
      <c r="IZL984" s="337"/>
      <c r="IZM984" s="336"/>
      <c r="IZN984" s="337"/>
      <c r="IZO984" s="336"/>
      <c r="IZP984" s="337"/>
      <c r="IZQ984" s="336"/>
      <c r="IZR984" s="337"/>
      <c r="IZS984" s="336"/>
      <c r="IZT984" s="337"/>
      <c r="IZU984" s="336"/>
      <c r="IZV984" s="337"/>
      <c r="IZW984" s="336"/>
      <c r="IZX984" s="337"/>
      <c r="IZY984" s="336"/>
      <c r="IZZ984" s="337"/>
      <c r="JAA984" s="336"/>
      <c r="JAB984" s="337"/>
      <c r="JAC984" s="336"/>
      <c r="JAD984" s="337"/>
      <c r="JAE984" s="336"/>
      <c r="JAF984" s="337"/>
      <c r="JAG984" s="336"/>
      <c r="JAH984" s="337"/>
      <c r="JAI984" s="336"/>
      <c r="JAJ984" s="337"/>
      <c r="JAK984" s="336"/>
      <c r="JAL984" s="337"/>
      <c r="JAM984" s="336"/>
      <c r="JAN984" s="337"/>
      <c r="JAO984" s="336"/>
      <c r="JAP984" s="337"/>
      <c r="JAQ984" s="336"/>
      <c r="JAR984" s="337"/>
      <c r="JAS984" s="336"/>
      <c r="JAT984" s="337"/>
      <c r="JAU984" s="336"/>
      <c r="JAV984" s="337"/>
      <c r="JAW984" s="336"/>
      <c r="JAX984" s="337"/>
      <c r="JAY984" s="336"/>
      <c r="JAZ984" s="337"/>
      <c r="JBA984" s="336"/>
      <c r="JBB984" s="337"/>
      <c r="JBC984" s="336"/>
      <c r="JBD984" s="337"/>
      <c r="JBE984" s="336"/>
      <c r="JBF984" s="337"/>
      <c r="JBG984" s="336"/>
      <c r="JBH984" s="337"/>
      <c r="JBI984" s="336"/>
      <c r="JBJ984" s="337"/>
      <c r="JBK984" s="336"/>
      <c r="JBL984" s="337"/>
      <c r="JBM984" s="336"/>
      <c r="JBN984" s="337"/>
      <c r="JBO984" s="336"/>
      <c r="JBP984" s="337"/>
      <c r="JBQ984" s="336"/>
      <c r="JBR984" s="337"/>
      <c r="JBS984" s="336"/>
      <c r="JBT984" s="337"/>
      <c r="JBU984" s="336"/>
      <c r="JBV984" s="337"/>
      <c r="JBW984" s="336"/>
      <c r="JBX984" s="337"/>
      <c r="JBY984" s="336"/>
      <c r="JBZ984" s="337"/>
      <c r="JCA984" s="336"/>
      <c r="JCB984" s="337"/>
      <c r="JCC984" s="336"/>
      <c r="JCD984" s="337"/>
      <c r="JCE984" s="336"/>
      <c r="JCF984" s="337"/>
      <c r="JCG984" s="336"/>
      <c r="JCH984" s="337"/>
      <c r="JCI984" s="336"/>
      <c r="JCJ984" s="337"/>
      <c r="JCK984" s="336"/>
      <c r="JCL984" s="337"/>
      <c r="JCM984" s="336"/>
      <c r="JCN984" s="337"/>
      <c r="JCO984" s="336"/>
      <c r="JCP984" s="337"/>
      <c r="JCQ984" s="336"/>
      <c r="JCR984" s="337"/>
      <c r="JCS984" s="336"/>
      <c r="JCT984" s="337"/>
      <c r="JCU984" s="336"/>
      <c r="JCV984" s="337"/>
      <c r="JCW984" s="336"/>
      <c r="JCX984" s="337"/>
      <c r="JCY984" s="336"/>
      <c r="JCZ984" s="337"/>
      <c r="JDA984" s="336"/>
      <c r="JDB984" s="337"/>
      <c r="JDC984" s="336"/>
      <c r="JDD984" s="337"/>
      <c r="JDE984" s="336"/>
      <c r="JDF984" s="337"/>
      <c r="JDG984" s="336"/>
      <c r="JDH984" s="337"/>
      <c r="JDI984" s="336"/>
      <c r="JDJ984" s="337"/>
      <c r="JDK984" s="336"/>
      <c r="JDL984" s="337"/>
      <c r="JDM984" s="336"/>
      <c r="JDN984" s="337"/>
      <c r="JDO984" s="336"/>
      <c r="JDP984" s="337"/>
      <c r="JDQ984" s="336"/>
      <c r="JDR984" s="337"/>
      <c r="JDS984" s="336"/>
      <c r="JDT984" s="337"/>
      <c r="JDU984" s="336"/>
      <c r="JDV984" s="337"/>
      <c r="JDW984" s="336"/>
      <c r="JDX984" s="337"/>
      <c r="JDY984" s="336"/>
      <c r="JDZ984" s="337"/>
      <c r="JEA984" s="336"/>
      <c r="JEB984" s="337"/>
      <c r="JEC984" s="336"/>
      <c r="JED984" s="337"/>
      <c r="JEE984" s="336"/>
      <c r="JEF984" s="337"/>
      <c r="JEG984" s="336"/>
      <c r="JEH984" s="337"/>
      <c r="JEI984" s="336"/>
      <c r="JEJ984" s="337"/>
      <c r="JEK984" s="336"/>
      <c r="JEL984" s="337"/>
      <c r="JEM984" s="336"/>
      <c r="JEN984" s="337"/>
      <c r="JEO984" s="336"/>
      <c r="JEP984" s="337"/>
      <c r="JEQ984" s="336"/>
      <c r="JER984" s="337"/>
      <c r="JES984" s="336"/>
      <c r="JET984" s="337"/>
      <c r="JEU984" s="336"/>
      <c r="JEV984" s="337"/>
      <c r="JEW984" s="336"/>
      <c r="JEX984" s="337"/>
      <c r="JEY984" s="336"/>
      <c r="JEZ984" s="337"/>
      <c r="JFA984" s="336"/>
      <c r="JFB984" s="337"/>
      <c r="JFC984" s="336"/>
      <c r="JFD984" s="337"/>
      <c r="JFE984" s="336"/>
      <c r="JFF984" s="337"/>
      <c r="JFG984" s="336"/>
      <c r="JFH984" s="337"/>
      <c r="JFI984" s="336"/>
      <c r="JFJ984" s="337"/>
      <c r="JFK984" s="336"/>
      <c r="JFL984" s="337"/>
      <c r="JFM984" s="336"/>
      <c r="JFN984" s="337"/>
      <c r="JFO984" s="336"/>
      <c r="JFP984" s="337"/>
      <c r="JFQ984" s="336"/>
      <c r="JFR984" s="337"/>
      <c r="JFS984" s="336"/>
      <c r="JFT984" s="337"/>
      <c r="JFU984" s="336"/>
      <c r="JFV984" s="337"/>
      <c r="JFW984" s="336"/>
      <c r="JFX984" s="337"/>
      <c r="JFY984" s="336"/>
      <c r="JFZ984" s="337"/>
      <c r="JGA984" s="336"/>
      <c r="JGB984" s="337"/>
      <c r="JGC984" s="336"/>
      <c r="JGD984" s="337"/>
      <c r="JGE984" s="336"/>
      <c r="JGF984" s="337"/>
      <c r="JGG984" s="336"/>
      <c r="JGH984" s="337"/>
      <c r="JGI984" s="336"/>
      <c r="JGJ984" s="337"/>
      <c r="JGK984" s="336"/>
      <c r="JGL984" s="337"/>
      <c r="JGM984" s="336"/>
      <c r="JGN984" s="337"/>
      <c r="JGO984" s="336"/>
      <c r="JGP984" s="337"/>
      <c r="JGQ984" s="336"/>
      <c r="JGR984" s="337"/>
      <c r="JGS984" s="336"/>
      <c r="JGT984" s="337"/>
      <c r="JGU984" s="336"/>
      <c r="JGV984" s="337"/>
      <c r="JGW984" s="336"/>
      <c r="JGX984" s="337"/>
      <c r="JGY984" s="336"/>
      <c r="JGZ984" s="337"/>
      <c r="JHA984" s="336"/>
      <c r="JHB984" s="337"/>
      <c r="JHC984" s="336"/>
      <c r="JHD984" s="337"/>
      <c r="JHE984" s="336"/>
      <c r="JHF984" s="337"/>
      <c r="JHG984" s="336"/>
      <c r="JHH984" s="337"/>
      <c r="JHI984" s="336"/>
      <c r="JHJ984" s="337"/>
      <c r="JHK984" s="336"/>
      <c r="JHL984" s="337"/>
      <c r="JHM984" s="336"/>
      <c r="JHN984" s="337"/>
      <c r="JHO984" s="336"/>
      <c r="JHP984" s="337"/>
      <c r="JHQ984" s="336"/>
      <c r="JHR984" s="337"/>
      <c r="JHS984" s="336"/>
      <c r="JHT984" s="337"/>
      <c r="JHU984" s="336"/>
      <c r="JHV984" s="337"/>
      <c r="JHW984" s="336"/>
      <c r="JHX984" s="337"/>
      <c r="JHY984" s="336"/>
      <c r="JHZ984" s="337"/>
      <c r="JIA984" s="336"/>
      <c r="JIB984" s="337"/>
      <c r="JIC984" s="336"/>
      <c r="JID984" s="337"/>
      <c r="JIE984" s="336"/>
      <c r="JIF984" s="337"/>
      <c r="JIG984" s="336"/>
      <c r="JIH984" s="337"/>
      <c r="JII984" s="336"/>
      <c r="JIJ984" s="337"/>
      <c r="JIK984" s="336"/>
      <c r="JIL984" s="337"/>
      <c r="JIM984" s="336"/>
      <c r="JIN984" s="337"/>
      <c r="JIO984" s="336"/>
      <c r="JIP984" s="337"/>
      <c r="JIQ984" s="336"/>
      <c r="JIR984" s="337"/>
      <c r="JIS984" s="336"/>
      <c r="JIT984" s="337"/>
      <c r="JIU984" s="336"/>
      <c r="JIV984" s="337"/>
      <c r="JIW984" s="336"/>
      <c r="JIX984" s="337"/>
      <c r="JIY984" s="336"/>
      <c r="JIZ984" s="337"/>
      <c r="JJA984" s="336"/>
      <c r="JJB984" s="337"/>
      <c r="JJC984" s="336"/>
      <c r="JJD984" s="337"/>
      <c r="JJE984" s="336"/>
      <c r="JJF984" s="337"/>
      <c r="JJG984" s="336"/>
      <c r="JJH984" s="337"/>
      <c r="JJI984" s="336"/>
      <c r="JJJ984" s="337"/>
      <c r="JJK984" s="336"/>
      <c r="JJL984" s="337"/>
      <c r="JJM984" s="336"/>
      <c r="JJN984" s="337"/>
      <c r="JJO984" s="336"/>
      <c r="JJP984" s="337"/>
      <c r="JJQ984" s="336"/>
      <c r="JJR984" s="337"/>
      <c r="JJS984" s="336"/>
      <c r="JJT984" s="337"/>
      <c r="JJU984" s="336"/>
      <c r="JJV984" s="337"/>
      <c r="JJW984" s="336"/>
      <c r="JJX984" s="337"/>
      <c r="JJY984" s="336"/>
      <c r="JJZ984" s="337"/>
      <c r="JKA984" s="336"/>
      <c r="JKB984" s="337"/>
      <c r="JKC984" s="336"/>
      <c r="JKD984" s="337"/>
      <c r="JKE984" s="336"/>
      <c r="JKF984" s="337"/>
      <c r="JKG984" s="336"/>
      <c r="JKH984" s="337"/>
      <c r="JKI984" s="336"/>
      <c r="JKJ984" s="337"/>
      <c r="JKK984" s="336"/>
      <c r="JKL984" s="337"/>
      <c r="JKM984" s="336"/>
      <c r="JKN984" s="337"/>
      <c r="JKO984" s="336"/>
      <c r="JKP984" s="337"/>
      <c r="JKQ984" s="336"/>
      <c r="JKR984" s="337"/>
      <c r="JKS984" s="336"/>
      <c r="JKT984" s="337"/>
      <c r="JKU984" s="336"/>
      <c r="JKV984" s="337"/>
      <c r="JKW984" s="336"/>
      <c r="JKX984" s="337"/>
      <c r="JKY984" s="336"/>
      <c r="JKZ984" s="337"/>
      <c r="JLA984" s="336"/>
      <c r="JLB984" s="337"/>
      <c r="JLC984" s="336"/>
      <c r="JLD984" s="337"/>
      <c r="JLE984" s="336"/>
      <c r="JLF984" s="337"/>
      <c r="JLG984" s="336"/>
      <c r="JLH984" s="337"/>
      <c r="JLI984" s="336"/>
      <c r="JLJ984" s="337"/>
      <c r="JLK984" s="336"/>
      <c r="JLL984" s="337"/>
      <c r="JLM984" s="336"/>
      <c r="JLN984" s="337"/>
      <c r="JLO984" s="336"/>
      <c r="JLP984" s="337"/>
      <c r="JLQ984" s="336"/>
      <c r="JLR984" s="337"/>
      <c r="JLS984" s="336"/>
      <c r="JLT984" s="337"/>
      <c r="JLU984" s="336"/>
      <c r="JLV984" s="337"/>
      <c r="JLW984" s="336"/>
      <c r="JLX984" s="337"/>
      <c r="JLY984" s="336"/>
      <c r="JLZ984" s="337"/>
      <c r="JMA984" s="336"/>
      <c r="JMB984" s="337"/>
      <c r="JMC984" s="336"/>
      <c r="JMD984" s="337"/>
      <c r="JME984" s="336"/>
      <c r="JMF984" s="337"/>
      <c r="JMG984" s="336"/>
      <c r="JMH984" s="337"/>
      <c r="JMI984" s="336"/>
      <c r="JMJ984" s="337"/>
      <c r="JMK984" s="336"/>
      <c r="JML984" s="337"/>
      <c r="JMM984" s="336"/>
      <c r="JMN984" s="337"/>
      <c r="JMO984" s="336"/>
      <c r="JMP984" s="337"/>
      <c r="JMQ984" s="336"/>
      <c r="JMR984" s="337"/>
      <c r="JMS984" s="336"/>
      <c r="JMT984" s="337"/>
      <c r="JMU984" s="336"/>
      <c r="JMV984" s="337"/>
      <c r="JMW984" s="336"/>
      <c r="JMX984" s="337"/>
      <c r="JMY984" s="336"/>
      <c r="JMZ984" s="337"/>
      <c r="JNA984" s="336"/>
      <c r="JNB984" s="337"/>
      <c r="JNC984" s="336"/>
      <c r="JND984" s="337"/>
      <c r="JNE984" s="336"/>
      <c r="JNF984" s="337"/>
      <c r="JNG984" s="336"/>
      <c r="JNH984" s="337"/>
      <c r="JNI984" s="336"/>
      <c r="JNJ984" s="337"/>
      <c r="JNK984" s="336"/>
      <c r="JNL984" s="337"/>
      <c r="JNM984" s="336"/>
      <c r="JNN984" s="337"/>
      <c r="JNO984" s="336"/>
      <c r="JNP984" s="337"/>
      <c r="JNQ984" s="336"/>
      <c r="JNR984" s="337"/>
      <c r="JNS984" s="336"/>
      <c r="JNT984" s="337"/>
      <c r="JNU984" s="336"/>
      <c r="JNV984" s="337"/>
      <c r="JNW984" s="336"/>
      <c r="JNX984" s="337"/>
      <c r="JNY984" s="336"/>
      <c r="JNZ984" s="337"/>
      <c r="JOA984" s="336"/>
      <c r="JOB984" s="337"/>
      <c r="JOC984" s="336"/>
      <c r="JOD984" s="337"/>
      <c r="JOE984" s="336"/>
      <c r="JOF984" s="337"/>
      <c r="JOG984" s="336"/>
      <c r="JOH984" s="337"/>
      <c r="JOI984" s="336"/>
      <c r="JOJ984" s="337"/>
      <c r="JOK984" s="336"/>
      <c r="JOL984" s="337"/>
      <c r="JOM984" s="336"/>
      <c r="JON984" s="337"/>
      <c r="JOO984" s="336"/>
      <c r="JOP984" s="337"/>
      <c r="JOQ984" s="336"/>
      <c r="JOR984" s="337"/>
      <c r="JOS984" s="336"/>
      <c r="JOT984" s="337"/>
      <c r="JOU984" s="336"/>
      <c r="JOV984" s="337"/>
      <c r="JOW984" s="336"/>
      <c r="JOX984" s="337"/>
      <c r="JOY984" s="336"/>
      <c r="JOZ984" s="337"/>
      <c r="JPA984" s="336"/>
      <c r="JPB984" s="337"/>
      <c r="JPC984" s="336"/>
      <c r="JPD984" s="337"/>
      <c r="JPE984" s="336"/>
      <c r="JPF984" s="337"/>
      <c r="JPG984" s="336"/>
      <c r="JPH984" s="337"/>
      <c r="JPI984" s="336"/>
      <c r="JPJ984" s="337"/>
      <c r="JPK984" s="336"/>
      <c r="JPL984" s="337"/>
      <c r="JPM984" s="336"/>
      <c r="JPN984" s="337"/>
      <c r="JPO984" s="336"/>
      <c r="JPP984" s="337"/>
      <c r="JPQ984" s="336"/>
      <c r="JPR984" s="337"/>
      <c r="JPS984" s="336"/>
      <c r="JPT984" s="337"/>
      <c r="JPU984" s="336"/>
      <c r="JPV984" s="337"/>
      <c r="JPW984" s="336"/>
      <c r="JPX984" s="337"/>
      <c r="JPY984" s="336"/>
      <c r="JPZ984" s="337"/>
      <c r="JQA984" s="336"/>
      <c r="JQB984" s="337"/>
      <c r="JQC984" s="336"/>
      <c r="JQD984" s="337"/>
      <c r="JQE984" s="336"/>
      <c r="JQF984" s="337"/>
      <c r="JQG984" s="336"/>
      <c r="JQH984" s="337"/>
      <c r="JQI984" s="336"/>
      <c r="JQJ984" s="337"/>
      <c r="JQK984" s="336"/>
      <c r="JQL984" s="337"/>
      <c r="JQM984" s="336"/>
      <c r="JQN984" s="337"/>
      <c r="JQO984" s="336"/>
      <c r="JQP984" s="337"/>
      <c r="JQQ984" s="336"/>
      <c r="JQR984" s="337"/>
      <c r="JQS984" s="336"/>
      <c r="JQT984" s="337"/>
      <c r="JQU984" s="336"/>
      <c r="JQV984" s="337"/>
      <c r="JQW984" s="336"/>
      <c r="JQX984" s="337"/>
      <c r="JQY984" s="336"/>
      <c r="JQZ984" s="337"/>
      <c r="JRA984" s="336"/>
      <c r="JRB984" s="337"/>
      <c r="JRC984" s="336"/>
      <c r="JRD984" s="337"/>
      <c r="JRE984" s="336"/>
      <c r="JRF984" s="337"/>
      <c r="JRG984" s="336"/>
      <c r="JRH984" s="337"/>
      <c r="JRI984" s="336"/>
      <c r="JRJ984" s="337"/>
      <c r="JRK984" s="336"/>
      <c r="JRL984" s="337"/>
      <c r="JRM984" s="336"/>
      <c r="JRN984" s="337"/>
      <c r="JRO984" s="336"/>
      <c r="JRP984" s="337"/>
      <c r="JRQ984" s="336"/>
      <c r="JRR984" s="337"/>
      <c r="JRS984" s="336"/>
      <c r="JRT984" s="337"/>
      <c r="JRU984" s="336"/>
      <c r="JRV984" s="337"/>
      <c r="JRW984" s="336"/>
      <c r="JRX984" s="337"/>
      <c r="JRY984" s="336"/>
      <c r="JRZ984" s="337"/>
      <c r="JSA984" s="336"/>
      <c r="JSB984" s="337"/>
      <c r="JSC984" s="336"/>
      <c r="JSD984" s="337"/>
      <c r="JSE984" s="336"/>
      <c r="JSF984" s="337"/>
      <c r="JSG984" s="336"/>
      <c r="JSH984" s="337"/>
      <c r="JSI984" s="336"/>
      <c r="JSJ984" s="337"/>
      <c r="JSK984" s="336"/>
      <c r="JSL984" s="337"/>
      <c r="JSM984" s="336"/>
      <c r="JSN984" s="337"/>
      <c r="JSO984" s="336"/>
      <c r="JSP984" s="337"/>
      <c r="JSQ984" s="336"/>
      <c r="JSR984" s="337"/>
      <c r="JSS984" s="336"/>
      <c r="JST984" s="337"/>
      <c r="JSU984" s="336"/>
      <c r="JSV984" s="337"/>
      <c r="JSW984" s="336"/>
      <c r="JSX984" s="337"/>
      <c r="JSY984" s="336"/>
      <c r="JSZ984" s="337"/>
      <c r="JTA984" s="336"/>
      <c r="JTB984" s="337"/>
      <c r="JTC984" s="336"/>
      <c r="JTD984" s="337"/>
      <c r="JTE984" s="336"/>
      <c r="JTF984" s="337"/>
      <c r="JTG984" s="336"/>
      <c r="JTH984" s="337"/>
      <c r="JTI984" s="336"/>
      <c r="JTJ984" s="337"/>
      <c r="JTK984" s="336"/>
      <c r="JTL984" s="337"/>
      <c r="JTM984" s="336"/>
      <c r="JTN984" s="337"/>
      <c r="JTO984" s="336"/>
      <c r="JTP984" s="337"/>
      <c r="JTQ984" s="336"/>
      <c r="JTR984" s="337"/>
      <c r="JTS984" s="336"/>
      <c r="JTT984" s="337"/>
      <c r="JTU984" s="336"/>
      <c r="JTV984" s="337"/>
      <c r="JTW984" s="336"/>
      <c r="JTX984" s="337"/>
      <c r="JTY984" s="336"/>
      <c r="JTZ984" s="337"/>
      <c r="JUA984" s="336"/>
      <c r="JUB984" s="337"/>
      <c r="JUC984" s="336"/>
      <c r="JUD984" s="337"/>
      <c r="JUE984" s="336"/>
      <c r="JUF984" s="337"/>
      <c r="JUG984" s="336"/>
      <c r="JUH984" s="337"/>
      <c r="JUI984" s="336"/>
      <c r="JUJ984" s="337"/>
      <c r="JUK984" s="336"/>
      <c r="JUL984" s="337"/>
      <c r="JUM984" s="336"/>
      <c r="JUN984" s="337"/>
      <c r="JUO984" s="336"/>
      <c r="JUP984" s="337"/>
      <c r="JUQ984" s="336"/>
      <c r="JUR984" s="337"/>
      <c r="JUS984" s="336"/>
      <c r="JUT984" s="337"/>
      <c r="JUU984" s="336"/>
      <c r="JUV984" s="337"/>
      <c r="JUW984" s="336"/>
      <c r="JUX984" s="337"/>
      <c r="JUY984" s="336"/>
      <c r="JUZ984" s="337"/>
      <c r="JVA984" s="336"/>
      <c r="JVB984" s="337"/>
      <c r="JVC984" s="336"/>
      <c r="JVD984" s="337"/>
      <c r="JVE984" s="336"/>
      <c r="JVF984" s="337"/>
      <c r="JVG984" s="336"/>
      <c r="JVH984" s="337"/>
      <c r="JVI984" s="336"/>
      <c r="JVJ984" s="337"/>
      <c r="JVK984" s="336"/>
      <c r="JVL984" s="337"/>
      <c r="JVM984" s="336"/>
      <c r="JVN984" s="337"/>
      <c r="JVO984" s="336"/>
      <c r="JVP984" s="337"/>
      <c r="JVQ984" s="336"/>
      <c r="JVR984" s="337"/>
      <c r="JVS984" s="336"/>
      <c r="JVT984" s="337"/>
      <c r="JVU984" s="336"/>
      <c r="JVV984" s="337"/>
      <c r="JVW984" s="336"/>
      <c r="JVX984" s="337"/>
      <c r="JVY984" s="336"/>
      <c r="JVZ984" s="337"/>
      <c r="JWA984" s="336"/>
      <c r="JWB984" s="337"/>
      <c r="JWC984" s="336"/>
      <c r="JWD984" s="337"/>
      <c r="JWE984" s="336"/>
      <c r="JWF984" s="337"/>
      <c r="JWG984" s="336"/>
      <c r="JWH984" s="337"/>
      <c r="JWI984" s="336"/>
      <c r="JWJ984" s="337"/>
      <c r="JWK984" s="336"/>
      <c r="JWL984" s="337"/>
      <c r="JWM984" s="336"/>
      <c r="JWN984" s="337"/>
      <c r="JWO984" s="336"/>
      <c r="JWP984" s="337"/>
      <c r="JWQ984" s="336"/>
      <c r="JWR984" s="337"/>
      <c r="JWS984" s="336"/>
      <c r="JWT984" s="337"/>
      <c r="JWU984" s="336"/>
      <c r="JWV984" s="337"/>
      <c r="JWW984" s="336"/>
      <c r="JWX984" s="337"/>
      <c r="JWY984" s="336"/>
      <c r="JWZ984" s="337"/>
      <c r="JXA984" s="336"/>
      <c r="JXB984" s="337"/>
      <c r="JXC984" s="336"/>
      <c r="JXD984" s="337"/>
      <c r="JXE984" s="336"/>
      <c r="JXF984" s="337"/>
      <c r="JXG984" s="336"/>
      <c r="JXH984" s="337"/>
      <c r="JXI984" s="336"/>
      <c r="JXJ984" s="337"/>
      <c r="JXK984" s="336"/>
      <c r="JXL984" s="337"/>
      <c r="JXM984" s="336"/>
      <c r="JXN984" s="337"/>
      <c r="JXO984" s="336"/>
      <c r="JXP984" s="337"/>
      <c r="JXQ984" s="336"/>
      <c r="JXR984" s="337"/>
      <c r="JXS984" s="336"/>
      <c r="JXT984" s="337"/>
      <c r="JXU984" s="336"/>
      <c r="JXV984" s="337"/>
      <c r="JXW984" s="336"/>
      <c r="JXX984" s="337"/>
      <c r="JXY984" s="336"/>
      <c r="JXZ984" s="337"/>
      <c r="JYA984" s="336"/>
      <c r="JYB984" s="337"/>
      <c r="JYC984" s="336"/>
      <c r="JYD984" s="337"/>
      <c r="JYE984" s="336"/>
      <c r="JYF984" s="337"/>
      <c r="JYG984" s="336"/>
      <c r="JYH984" s="337"/>
      <c r="JYI984" s="336"/>
      <c r="JYJ984" s="337"/>
      <c r="JYK984" s="336"/>
      <c r="JYL984" s="337"/>
      <c r="JYM984" s="336"/>
      <c r="JYN984" s="337"/>
      <c r="JYO984" s="336"/>
      <c r="JYP984" s="337"/>
      <c r="JYQ984" s="336"/>
      <c r="JYR984" s="337"/>
      <c r="JYS984" s="336"/>
      <c r="JYT984" s="337"/>
      <c r="JYU984" s="336"/>
      <c r="JYV984" s="337"/>
      <c r="JYW984" s="336"/>
      <c r="JYX984" s="337"/>
      <c r="JYY984" s="336"/>
      <c r="JYZ984" s="337"/>
      <c r="JZA984" s="336"/>
      <c r="JZB984" s="337"/>
      <c r="JZC984" s="336"/>
      <c r="JZD984" s="337"/>
      <c r="JZE984" s="336"/>
      <c r="JZF984" s="337"/>
      <c r="JZG984" s="336"/>
      <c r="JZH984" s="337"/>
      <c r="JZI984" s="336"/>
      <c r="JZJ984" s="337"/>
      <c r="JZK984" s="336"/>
      <c r="JZL984" s="337"/>
      <c r="JZM984" s="336"/>
      <c r="JZN984" s="337"/>
      <c r="JZO984" s="336"/>
      <c r="JZP984" s="337"/>
      <c r="JZQ984" s="336"/>
      <c r="JZR984" s="337"/>
      <c r="JZS984" s="336"/>
      <c r="JZT984" s="337"/>
      <c r="JZU984" s="336"/>
      <c r="JZV984" s="337"/>
      <c r="JZW984" s="336"/>
      <c r="JZX984" s="337"/>
      <c r="JZY984" s="336"/>
      <c r="JZZ984" s="337"/>
      <c r="KAA984" s="336"/>
      <c r="KAB984" s="337"/>
      <c r="KAC984" s="336"/>
      <c r="KAD984" s="337"/>
      <c r="KAE984" s="336"/>
      <c r="KAF984" s="337"/>
      <c r="KAG984" s="336"/>
      <c r="KAH984" s="337"/>
      <c r="KAI984" s="336"/>
      <c r="KAJ984" s="337"/>
      <c r="KAK984" s="336"/>
      <c r="KAL984" s="337"/>
      <c r="KAM984" s="336"/>
      <c r="KAN984" s="337"/>
      <c r="KAO984" s="336"/>
      <c r="KAP984" s="337"/>
      <c r="KAQ984" s="336"/>
      <c r="KAR984" s="337"/>
      <c r="KAS984" s="336"/>
      <c r="KAT984" s="337"/>
      <c r="KAU984" s="336"/>
      <c r="KAV984" s="337"/>
      <c r="KAW984" s="336"/>
      <c r="KAX984" s="337"/>
      <c r="KAY984" s="336"/>
      <c r="KAZ984" s="337"/>
      <c r="KBA984" s="336"/>
      <c r="KBB984" s="337"/>
      <c r="KBC984" s="336"/>
      <c r="KBD984" s="337"/>
      <c r="KBE984" s="336"/>
      <c r="KBF984" s="337"/>
      <c r="KBG984" s="336"/>
      <c r="KBH984" s="337"/>
      <c r="KBI984" s="336"/>
      <c r="KBJ984" s="337"/>
      <c r="KBK984" s="336"/>
      <c r="KBL984" s="337"/>
      <c r="KBM984" s="336"/>
      <c r="KBN984" s="337"/>
      <c r="KBO984" s="336"/>
      <c r="KBP984" s="337"/>
      <c r="KBQ984" s="336"/>
      <c r="KBR984" s="337"/>
      <c r="KBS984" s="336"/>
      <c r="KBT984" s="337"/>
      <c r="KBU984" s="336"/>
      <c r="KBV984" s="337"/>
      <c r="KBW984" s="336"/>
      <c r="KBX984" s="337"/>
      <c r="KBY984" s="336"/>
      <c r="KBZ984" s="337"/>
      <c r="KCA984" s="336"/>
      <c r="KCB984" s="337"/>
      <c r="KCC984" s="336"/>
      <c r="KCD984" s="337"/>
      <c r="KCE984" s="336"/>
      <c r="KCF984" s="337"/>
      <c r="KCG984" s="336"/>
      <c r="KCH984" s="337"/>
      <c r="KCI984" s="336"/>
      <c r="KCJ984" s="337"/>
      <c r="KCK984" s="336"/>
      <c r="KCL984" s="337"/>
      <c r="KCM984" s="336"/>
      <c r="KCN984" s="337"/>
      <c r="KCO984" s="336"/>
      <c r="KCP984" s="337"/>
      <c r="KCQ984" s="336"/>
      <c r="KCR984" s="337"/>
      <c r="KCS984" s="336"/>
      <c r="KCT984" s="337"/>
      <c r="KCU984" s="336"/>
      <c r="KCV984" s="337"/>
      <c r="KCW984" s="336"/>
      <c r="KCX984" s="337"/>
      <c r="KCY984" s="336"/>
      <c r="KCZ984" s="337"/>
      <c r="KDA984" s="336"/>
      <c r="KDB984" s="337"/>
      <c r="KDC984" s="336"/>
      <c r="KDD984" s="337"/>
      <c r="KDE984" s="336"/>
      <c r="KDF984" s="337"/>
      <c r="KDG984" s="336"/>
      <c r="KDH984" s="337"/>
      <c r="KDI984" s="336"/>
      <c r="KDJ984" s="337"/>
      <c r="KDK984" s="336"/>
      <c r="KDL984" s="337"/>
      <c r="KDM984" s="336"/>
      <c r="KDN984" s="337"/>
      <c r="KDO984" s="336"/>
      <c r="KDP984" s="337"/>
      <c r="KDQ984" s="336"/>
      <c r="KDR984" s="337"/>
      <c r="KDS984" s="336"/>
      <c r="KDT984" s="337"/>
      <c r="KDU984" s="336"/>
      <c r="KDV984" s="337"/>
      <c r="KDW984" s="336"/>
      <c r="KDX984" s="337"/>
      <c r="KDY984" s="336"/>
      <c r="KDZ984" s="337"/>
      <c r="KEA984" s="336"/>
      <c r="KEB984" s="337"/>
      <c r="KEC984" s="336"/>
      <c r="KED984" s="337"/>
      <c r="KEE984" s="336"/>
      <c r="KEF984" s="337"/>
      <c r="KEG984" s="336"/>
      <c r="KEH984" s="337"/>
      <c r="KEI984" s="336"/>
      <c r="KEJ984" s="337"/>
      <c r="KEK984" s="336"/>
      <c r="KEL984" s="337"/>
      <c r="KEM984" s="336"/>
      <c r="KEN984" s="337"/>
      <c r="KEO984" s="336"/>
      <c r="KEP984" s="337"/>
      <c r="KEQ984" s="336"/>
      <c r="KER984" s="337"/>
      <c r="KES984" s="336"/>
      <c r="KET984" s="337"/>
      <c r="KEU984" s="336"/>
      <c r="KEV984" s="337"/>
      <c r="KEW984" s="336"/>
      <c r="KEX984" s="337"/>
      <c r="KEY984" s="336"/>
      <c r="KEZ984" s="337"/>
      <c r="KFA984" s="336"/>
      <c r="KFB984" s="337"/>
      <c r="KFC984" s="336"/>
      <c r="KFD984" s="337"/>
      <c r="KFE984" s="336"/>
      <c r="KFF984" s="337"/>
      <c r="KFG984" s="336"/>
      <c r="KFH984" s="337"/>
      <c r="KFI984" s="336"/>
      <c r="KFJ984" s="337"/>
      <c r="KFK984" s="336"/>
      <c r="KFL984" s="337"/>
      <c r="KFM984" s="336"/>
      <c r="KFN984" s="337"/>
      <c r="KFO984" s="336"/>
      <c r="KFP984" s="337"/>
      <c r="KFQ984" s="336"/>
      <c r="KFR984" s="337"/>
      <c r="KFS984" s="336"/>
      <c r="KFT984" s="337"/>
      <c r="KFU984" s="336"/>
      <c r="KFV984" s="337"/>
      <c r="KFW984" s="336"/>
      <c r="KFX984" s="337"/>
      <c r="KFY984" s="336"/>
      <c r="KFZ984" s="337"/>
      <c r="KGA984" s="336"/>
      <c r="KGB984" s="337"/>
      <c r="KGC984" s="336"/>
      <c r="KGD984" s="337"/>
      <c r="KGE984" s="336"/>
      <c r="KGF984" s="337"/>
      <c r="KGG984" s="336"/>
      <c r="KGH984" s="337"/>
      <c r="KGI984" s="336"/>
      <c r="KGJ984" s="337"/>
      <c r="KGK984" s="336"/>
      <c r="KGL984" s="337"/>
      <c r="KGM984" s="336"/>
      <c r="KGN984" s="337"/>
      <c r="KGO984" s="336"/>
      <c r="KGP984" s="337"/>
      <c r="KGQ984" s="336"/>
      <c r="KGR984" s="337"/>
      <c r="KGS984" s="336"/>
      <c r="KGT984" s="337"/>
      <c r="KGU984" s="336"/>
      <c r="KGV984" s="337"/>
      <c r="KGW984" s="336"/>
      <c r="KGX984" s="337"/>
      <c r="KGY984" s="336"/>
      <c r="KGZ984" s="337"/>
      <c r="KHA984" s="336"/>
      <c r="KHB984" s="337"/>
      <c r="KHC984" s="336"/>
      <c r="KHD984" s="337"/>
      <c r="KHE984" s="336"/>
      <c r="KHF984" s="337"/>
      <c r="KHG984" s="336"/>
      <c r="KHH984" s="337"/>
      <c r="KHI984" s="336"/>
      <c r="KHJ984" s="337"/>
      <c r="KHK984" s="336"/>
      <c r="KHL984" s="337"/>
      <c r="KHM984" s="336"/>
      <c r="KHN984" s="337"/>
      <c r="KHO984" s="336"/>
      <c r="KHP984" s="337"/>
      <c r="KHQ984" s="336"/>
      <c r="KHR984" s="337"/>
      <c r="KHS984" s="336"/>
      <c r="KHT984" s="337"/>
      <c r="KHU984" s="336"/>
      <c r="KHV984" s="337"/>
      <c r="KHW984" s="336"/>
      <c r="KHX984" s="337"/>
      <c r="KHY984" s="336"/>
      <c r="KHZ984" s="337"/>
      <c r="KIA984" s="336"/>
      <c r="KIB984" s="337"/>
      <c r="KIC984" s="336"/>
      <c r="KID984" s="337"/>
      <c r="KIE984" s="336"/>
      <c r="KIF984" s="337"/>
      <c r="KIG984" s="336"/>
      <c r="KIH984" s="337"/>
      <c r="KII984" s="336"/>
      <c r="KIJ984" s="337"/>
      <c r="KIK984" s="336"/>
      <c r="KIL984" s="337"/>
      <c r="KIM984" s="336"/>
      <c r="KIN984" s="337"/>
      <c r="KIO984" s="336"/>
      <c r="KIP984" s="337"/>
      <c r="KIQ984" s="336"/>
      <c r="KIR984" s="337"/>
      <c r="KIS984" s="336"/>
      <c r="KIT984" s="337"/>
      <c r="KIU984" s="336"/>
      <c r="KIV984" s="337"/>
      <c r="KIW984" s="336"/>
      <c r="KIX984" s="337"/>
      <c r="KIY984" s="336"/>
      <c r="KIZ984" s="337"/>
      <c r="KJA984" s="336"/>
      <c r="KJB984" s="337"/>
      <c r="KJC984" s="336"/>
      <c r="KJD984" s="337"/>
      <c r="KJE984" s="336"/>
      <c r="KJF984" s="337"/>
      <c r="KJG984" s="336"/>
      <c r="KJH984" s="337"/>
      <c r="KJI984" s="336"/>
      <c r="KJJ984" s="337"/>
      <c r="KJK984" s="336"/>
      <c r="KJL984" s="337"/>
      <c r="KJM984" s="336"/>
      <c r="KJN984" s="337"/>
      <c r="KJO984" s="336"/>
      <c r="KJP984" s="337"/>
      <c r="KJQ984" s="336"/>
      <c r="KJR984" s="337"/>
      <c r="KJS984" s="336"/>
      <c r="KJT984" s="337"/>
      <c r="KJU984" s="336"/>
      <c r="KJV984" s="337"/>
      <c r="KJW984" s="336"/>
      <c r="KJX984" s="337"/>
      <c r="KJY984" s="336"/>
      <c r="KJZ984" s="337"/>
      <c r="KKA984" s="336"/>
      <c r="KKB984" s="337"/>
      <c r="KKC984" s="336"/>
      <c r="KKD984" s="337"/>
      <c r="KKE984" s="336"/>
      <c r="KKF984" s="337"/>
      <c r="KKG984" s="336"/>
      <c r="KKH984" s="337"/>
      <c r="KKI984" s="336"/>
      <c r="KKJ984" s="337"/>
      <c r="KKK984" s="336"/>
      <c r="KKL984" s="337"/>
      <c r="KKM984" s="336"/>
      <c r="KKN984" s="337"/>
      <c r="KKO984" s="336"/>
      <c r="KKP984" s="337"/>
      <c r="KKQ984" s="336"/>
      <c r="KKR984" s="337"/>
      <c r="KKS984" s="336"/>
      <c r="KKT984" s="337"/>
      <c r="KKU984" s="336"/>
      <c r="KKV984" s="337"/>
      <c r="KKW984" s="336"/>
      <c r="KKX984" s="337"/>
      <c r="KKY984" s="336"/>
      <c r="KKZ984" s="337"/>
      <c r="KLA984" s="336"/>
      <c r="KLB984" s="337"/>
      <c r="KLC984" s="336"/>
      <c r="KLD984" s="337"/>
      <c r="KLE984" s="336"/>
      <c r="KLF984" s="337"/>
      <c r="KLG984" s="336"/>
      <c r="KLH984" s="337"/>
      <c r="KLI984" s="336"/>
      <c r="KLJ984" s="337"/>
      <c r="KLK984" s="336"/>
      <c r="KLL984" s="337"/>
      <c r="KLM984" s="336"/>
      <c r="KLN984" s="337"/>
      <c r="KLO984" s="336"/>
      <c r="KLP984" s="337"/>
      <c r="KLQ984" s="336"/>
      <c r="KLR984" s="337"/>
      <c r="KLS984" s="336"/>
      <c r="KLT984" s="337"/>
      <c r="KLU984" s="336"/>
      <c r="KLV984" s="337"/>
      <c r="KLW984" s="336"/>
      <c r="KLX984" s="337"/>
      <c r="KLY984" s="336"/>
      <c r="KLZ984" s="337"/>
      <c r="KMA984" s="336"/>
      <c r="KMB984" s="337"/>
      <c r="KMC984" s="336"/>
      <c r="KMD984" s="337"/>
      <c r="KME984" s="336"/>
      <c r="KMF984" s="337"/>
      <c r="KMG984" s="336"/>
      <c r="KMH984" s="337"/>
      <c r="KMI984" s="336"/>
      <c r="KMJ984" s="337"/>
      <c r="KMK984" s="336"/>
      <c r="KML984" s="337"/>
      <c r="KMM984" s="336"/>
      <c r="KMN984" s="337"/>
      <c r="KMO984" s="336"/>
      <c r="KMP984" s="337"/>
      <c r="KMQ984" s="336"/>
      <c r="KMR984" s="337"/>
      <c r="KMS984" s="336"/>
      <c r="KMT984" s="337"/>
      <c r="KMU984" s="336"/>
      <c r="KMV984" s="337"/>
      <c r="KMW984" s="336"/>
      <c r="KMX984" s="337"/>
      <c r="KMY984" s="336"/>
      <c r="KMZ984" s="337"/>
      <c r="KNA984" s="336"/>
      <c r="KNB984" s="337"/>
      <c r="KNC984" s="336"/>
      <c r="KND984" s="337"/>
      <c r="KNE984" s="336"/>
      <c r="KNF984" s="337"/>
      <c r="KNG984" s="336"/>
      <c r="KNH984" s="337"/>
      <c r="KNI984" s="336"/>
      <c r="KNJ984" s="337"/>
      <c r="KNK984" s="336"/>
      <c r="KNL984" s="337"/>
      <c r="KNM984" s="336"/>
      <c r="KNN984" s="337"/>
      <c r="KNO984" s="336"/>
      <c r="KNP984" s="337"/>
      <c r="KNQ984" s="336"/>
      <c r="KNR984" s="337"/>
      <c r="KNS984" s="336"/>
      <c r="KNT984" s="337"/>
      <c r="KNU984" s="336"/>
      <c r="KNV984" s="337"/>
      <c r="KNW984" s="336"/>
      <c r="KNX984" s="337"/>
      <c r="KNY984" s="336"/>
      <c r="KNZ984" s="337"/>
      <c r="KOA984" s="336"/>
      <c r="KOB984" s="337"/>
      <c r="KOC984" s="336"/>
      <c r="KOD984" s="337"/>
      <c r="KOE984" s="336"/>
      <c r="KOF984" s="337"/>
      <c r="KOG984" s="336"/>
      <c r="KOH984" s="337"/>
      <c r="KOI984" s="336"/>
      <c r="KOJ984" s="337"/>
      <c r="KOK984" s="336"/>
      <c r="KOL984" s="337"/>
      <c r="KOM984" s="336"/>
      <c r="KON984" s="337"/>
      <c r="KOO984" s="336"/>
      <c r="KOP984" s="337"/>
      <c r="KOQ984" s="336"/>
      <c r="KOR984" s="337"/>
      <c r="KOS984" s="336"/>
      <c r="KOT984" s="337"/>
      <c r="KOU984" s="336"/>
      <c r="KOV984" s="337"/>
      <c r="KOW984" s="336"/>
      <c r="KOX984" s="337"/>
      <c r="KOY984" s="336"/>
      <c r="KOZ984" s="337"/>
      <c r="KPA984" s="336"/>
      <c r="KPB984" s="337"/>
      <c r="KPC984" s="336"/>
      <c r="KPD984" s="337"/>
      <c r="KPE984" s="336"/>
      <c r="KPF984" s="337"/>
      <c r="KPG984" s="336"/>
      <c r="KPH984" s="337"/>
      <c r="KPI984" s="336"/>
      <c r="KPJ984" s="337"/>
      <c r="KPK984" s="336"/>
      <c r="KPL984" s="337"/>
      <c r="KPM984" s="336"/>
      <c r="KPN984" s="337"/>
      <c r="KPO984" s="336"/>
      <c r="KPP984" s="337"/>
      <c r="KPQ984" s="336"/>
      <c r="KPR984" s="337"/>
      <c r="KPS984" s="336"/>
      <c r="KPT984" s="337"/>
      <c r="KPU984" s="336"/>
      <c r="KPV984" s="337"/>
      <c r="KPW984" s="336"/>
      <c r="KPX984" s="337"/>
      <c r="KPY984" s="336"/>
      <c r="KPZ984" s="337"/>
      <c r="KQA984" s="336"/>
      <c r="KQB984" s="337"/>
      <c r="KQC984" s="336"/>
      <c r="KQD984" s="337"/>
      <c r="KQE984" s="336"/>
      <c r="KQF984" s="337"/>
      <c r="KQG984" s="336"/>
      <c r="KQH984" s="337"/>
      <c r="KQI984" s="336"/>
      <c r="KQJ984" s="337"/>
      <c r="KQK984" s="336"/>
      <c r="KQL984" s="337"/>
      <c r="KQM984" s="336"/>
      <c r="KQN984" s="337"/>
      <c r="KQO984" s="336"/>
      <c r="KQP984" s="337"/>
      <c r="KQQ984" s="336"/>
      <c r="KQR984" s="337"/>
      <c r="KQS984" s="336"/>
      <c r="KQT984" s="337"/>
      <c r="KQU984" s="336"/>
      <c r="KQV984" s="337"/>
      <c r="KQW984" s="336"/>
      <c r="KQX984" s="337"/>
      <c r="KQY984" s="336"/>
      <c r="KQZ984" s="337"/>
      <c r="KRA984" s="336"/>
      <c r="KRB984" s="337"/>
      <c r="KRC984" s="336"/>
      <c r="KRD984" s="337"/>
      <c r="KRE984" s="336"/>
      <c r="KRF984" s="337"/>
      <c r="KRG984" s="336"/>
      <c r="KRH984" s="337"/>
      <c r="KRI984" s="336"/>
      <c r="KRJ984" s="337"/>
      <c r="KRK984" s="336"/>
      <c r="KRL984" s="337"/>
      <c r="KRM984" s="336"/>
      <c r="KRN984" s="337"/>
      <c r="KRO984" s="336"/>
      <c r="KRP984" s="337"/>
      <c r="KRQ984" s="336"/>
      <c r="KRR984" s="337"/>
      <c r="KRS984" s="336"/>
      <c r="KRT984" s="337"/>
      <c r="KRU984" s="336"/>
      <c r="KRV984" s="337"/>
      <c r="KRW984" s="336"/>
      <c r="KRX984" s="337"/>
      <c r="KRY984" s="336"/>
      <c r="KRZ984" s="337"/>
      <c r="KSA984" s="336"/>
      <c r="KSB984" s="337"/>
      <c r="KSC984" s="336"/>
      <c r="KSD984" s="337"/>
      <c r="KSE984" s="336"/>
      <c r="KSF984" s="337"/>
      <c r="KSG984" s="336"/>
      <c r="KSH984" s="337"/>
      <c r="KSI984" s="336"/>
      <c r="KSJ984" s="337"/>
      <c r="KSK984" s="336"/>
      <c r="KSL984" s="337"/>
      <c r="KSM984" s="336"/>
      <c r="KSN984" s="337"/>
      <c r="KSO984" s="336"/>
      <c r="KSP984" s="337"/>
      <c r="KSQ984" s="336"/>
      <c r="KSR984" s="337"/>
      <c r="KSS984" s="336"/>
      <c r="KST984" s="337"/>
      <c r="KSU984" s="336"/>
      <c r="KSV984" s="337"/>
      <c r="KSW984" s="336"/>
      <c r="KSX984" s="337"/>
      <c r="KSY984" s="336"/>
      <c r="KSZ984" s="337"/>
      <c r="KTA984" s="336"/>
      <c r="KTB984" s="337"/>
      <c r="KTC984" s="336"/>
      <c r="KTD984" s="337"/>
      <c r="KTE984" s="336"/>
      <c r="KTF984" s="337"/>
      <c r="KTG984" s="336"/>
      <c r="KTH984" s="337"/>
      <c r="KTI984" s="336"/>
      <c r="KTJ984" s="337"/>
      <c r="KTK984" s="336"/>
      <c r="KTL984" s="337"/>
      <c r="KTM984" s="336"/>
      <c r="KTN984" s="337"/>
      <c r="KTO984" s="336"/>
      <c r="KTP984" s="337"/>
      <c r="KTQ984" s="336"/>
      <c r="KTR984" s="337"/>
      <c r="KTS984" s="336"/>
      <c r="KTT984" s="337"/>
      <c r="KTU984" s="336"/>
      <c r="KTV984" s="337"/>
      <c r="KTW984" s="336"/>
      <c r="KTX984" s="337"/>
      <c r="KTY984" s="336"/>
      <c r="KTZ984" s="337"/>
      <c r="KUA984" s="336"/>
      <c r="KUB984" s="337"/>
      <c r="KUC984" s="336"/>
      <c r="KUD984" s="337"/>
      <c r="KUE984" s="336"/>
      <c r="KUF984" s="337"/>
      <c r="KUG984" s="336"/>
      <c r="KUH984" s="337"/>
      <c r="KUI984" s="336"/>
      <c r="KUJ984" s="337"/>
      <c r="KUK984" s="336"/>
      <c r="KUL984" s="337"/>
      <c r="KUM984" s="336"/>
      <c r="KUN984" s="337"/>
      <c r="KUO984" s="336"/>
      <c r="KUP984" s="337"/>
      <c r="KUQ984" s="336"/>
      <c r="KUR984" s="337"/>
      <c r="KUS984" s="336"/>
      <c r="KUT984" s="337"/>
      <c r="KUU984" s="336"/>
      <c r="KUV984" s="337"/>
      <c r="KUW984" s="336"/>
      <c r="KUX984" s="337"/>
      <c r="KUY984" s="336"/>
      <c r="KUZ984" s="337"/>
      <c r="KVA984" s="336"/>
      <c r="KVB984" s="337"/>
      <c r="KVC984" s="336"/>
      <c r="KVD984" s="337"/>
      <c r="KVE984" s="336"/>
      <c r="KVF984" s="337"/>
      <c r="KVG984" s="336"/>
      <c r="KVH984" s="337"/>
      <c r="KVI984" s="336"/>
      <c r="KVJ984" s="337"/>
      <c r="KVK984" s="336"/>
      <c r="KVL984" s="337"/>
      <c r="KVM984" s="336"/>
      <c r="KVN984" s="337"/>
      <c r="KVO984" s="336"/>
      <c r="KVP984" s="337"/>
      <c r="KVQ984" s="336"/>
      <c r="KVR984" s="337"/>
      <c r="KVS984" s="336"/>
      <c r="KVT984" s="337"/>
      <c r="KVU984" s="336"/>
      <c r="KVV984" s="337"/>
      <c r="KVW984" s="336"/>
      <c r="KVX984" s="337"/>
      <c r="KVY984" s="336"/>
      <c r="KVZ984" s="337"/>
      <c r="KWA984" s="336"/>
      <c r="KWB984" s="337"/>
      <c r="KWC984" s="336"/>
      <c r="KWD984" s="337"/>
      <c r="KWE984" s="336"/>
      <c r="KWF984" s="337"/>
      <c r="KWG984" s="336"/>
      <c r="KWH984" s="337"/>
      <c r="KWI984" s="336"/>
      <c r="KWJ984" s="337"/>
      <c r="KWK984" s="336"/>
      <c r="KWL984" s="337"/>
      <c r="KWM984" s="336"/>
      <c r="KWN984" s="337"/>
      <c r="KWO984" s="336"/>
      <c r="KWP984" s="337"/>
      <c r="KWQ984" s="336"/>
      <c r="KWR984" s="337"/>
      <c r="KWS984" s="336"/>
      <c r="KWT984" s="337"/>
      <c r="KWU984" s="336"/>
      <c r="KWV984" s="337"/>
      <c r="KWW984" s="336"/>
      <c r="KWX984" s="337"/>
      <c r="KWY984" s="336"/>
      <c r="KWZ984" s="337"/>
      <c r="KXA984" s="336"/>
      <c r="KXB984" s="337"/>
      <c r="KXC984" s="336"/>
      <c r="KXD984" s="337"/>
      <c r="KXE984" s="336"/>
      <c r="KXF984" s="337"/>
      <c r="KXG984" s="336"/>
      <c r="KXH984" s="337"/>
      <c r="KXI984" s="336"/>
      <c r="KXJ984" s="337"/>
      <c r="KXK984" s="336"/>
      <c r="KXL984" s="337"/>
      <c r="KXM984" s="336"/>
      <c r="KXN984" s="337"/>
      <c r="KXO984" s="336"/>
      <c r="KXP984" s="337"/>
      <c r="KXQ984" s="336"/>
      <c r="KXR984" s="337"/>
      <c r="KXS984" s="336"/>
      <c r="KXT984" s="337"/>
      <c r="KXU984" s="336"/>
      <c r="KXV984" s="337"/>
      <c r="KXW984" s="336"/>
      <c r="KXX984" s="337"/>
      <c r="KXY984" s="336"/>
      <c r="KXZ984" s="337"/>
      <c r="KYA984" s="336"/>
      <c r="KYB984" s="337"/>
      <c r="KYC984" s="336"/>
      <c r="KYD984" s="337"/>
      <c r="KYE984" s="336"/>
      <c r="KYF984" s="337"/>
      <c r="KYG984" s="336"/>
      <c r="KYH984" s="337"/>
      <c r="KYI984" s="336"/>
      <c r="KYJ984" s="337"/>
      <c r="KYK984" s="336"/>
      <c r="KYL984" s="337"/>
      <c r="KYM984" s="336"/>
      <c r="KYN984" s="337"/>
      <c r="KYO984" s="336"/>
      <c r="KYP984" s="337"/>
      <c r="KYQ984" s="336"/>
      <c r="KYR984" s="337"/>
      <c r="KYS984" s="336"/>
      <c r="KYT984" s="337"/>
      <c r="KYU984" s="336"/>
      <c r="KYV984" s="337"/>
      <c r="KYW984" s="336"/>
      <c r="KYX984" s="337"/>
      <c r="KYY984" s="336"/>
      <c r="KYZ984" s="337"/>
      <c r="KZA984" s="336"/>
      <c r="KZB984" s="337"/>
      <c r="KZC984" s="336"/>
      <c r="KZD984" s="337"/>
      <c r="KZE984" s="336"/>
      <c r="KZF984" s="337"/>
      <c r="KZG984" s="336"/>
      <c r="KZH984" s="337"/>
      <c r="KZI984" s="336"/>
      <c r="KZJ984" s="337"/>
      <c r="KZK984" s="336"/>
      <c r="KZL984" s="337"/>
      <c r="KZM984" s="336"/>
      <c r="KZN984" s="337"/>
      <c r="KZO984" s="336"/>
      <c r="KZP984" s="337"/>
      <c r="KZQ984" s="336"/>
      <c r="KZR984" s="337"/>
      <c r="KZS984" s="336"/>
      <c r="KZT984" s="337"/>
      <c r="KZU984" s="336"/>
      <c r="KZV984" s="337"/>
      <c r="KZW984" s="336"/>
      <c r="KZX984" s="337"/>
      <c r="KZY984" s="336"/>
      <c r="KZZ984" s="337"/>
      <c r="LAA984" s="336"/>
      <c r="LAB984" s="337"/>
      <c r="LAC984" s="336"/>
      <c r="LAD984" s="337"/>
      <c r="LAE984" s="336"/>
      <c r="LAF984" s="337"/>
      <c r="LAG984" s="336"/>
      <c r="LAH984" s="337"/>
      <c r="LAI984" s="336"/>
      <c r="LAJ984" s="337"/>
      <c r="LAK984" s="336"/>
      <c r="LAL984" s="337"/>
      <c r="LAM984" s="336"/>
      <c r="LAN984" s="337"/>
      <c r="LAO984" s="336"/>
      <c r="LAP984" s="337"/>
      <c r="LAQ984" s="336"/>
      <c r="LAR984" s="337"/>
      <c r="LAS984" s="336"/>
      <c r="LAT984" s="337"/>
      <c r="LAU984" s="336"/>
      <c r="LAV984" s="337"/>
      <c r="LAW984" s="336"/>
      <c r="LAX984" s="337"/>
      <c r="LAY984" s="336"/>
      <c r="LAZ984" s="337"/>
      <c r="LBA984" s="336"/>
      <c r="LBB984" s="337"/>
      <c r="LBC984" s="336"/>
      <c r="LBD984" s="337"/>
      <c r="LBE984" s="336"/>
      <c r="LBF984" s="337"/>
      <c r="LBG984" s="336"/>
      <c r="LBH984" s="337"/>
      <c r="LBI984" s="336"/>
      <c r="LBJ984" s="337"/>
      <c r="LBK984" s="336"/>
      <c r="LBL984" s="337"/>
      <c r="LBM984" s="336"/>
      <c r="LBN984" s="337"/>
      <c r="LBO984" s="336"/>
      <c r="LBP984" s="337"/>
      <c r="LBQ984" s="336"/>
      <c r="LBR984" s="337"/>
      <c r="LBS984" s="336"/>
      <c r="LBT984" s="337"/>
      <c r="LBU984" s="336"/>
      <c r="LBV984" s="337"/>
      <c r="LBW984" s="336"/>
      <c r="LBX984" s="337"/>
      <c r="LBY984" s="336"/>
      <c r="LBZ984" s="337"/>
      <c r="LCA984" s="336"/>
      <c r="LCB984" s="337"/>
      <c r="LCC984" s="336"/>
      <c r="LCD984" s="337"/>
      <c r="LCE984" s="336"/>
      <c r="LCF984" s="337"/>
      <c r="LCG984" s="336"/>
      <c r="LCH984" s="337"/>
      <c r="LCI984" s="336"/>
      <c r="LCJ984" s="337"/>
      <c r="LCK984" s="336"/>
      <c r="LCL984" s="337"/>
      <c r="LCM984" s="336"/>
      <c r="LCN984" s="337"/>
      <c r="LCO984" s="336"/>
      <c r="LCP984" s="337"/>
      <c r="LCQ984" s="336"/>
      <c r="LCR984" s="337"/>
      <c r="LCS984" s="336"/>
      <c r="LCT984" s="337"/>
      <c r="LCU984" s="336"/>
      <c r="LCV984" s="337"/>
      <c r="LCW984" s="336"/>
      <c r="LCX984" s="337"/>
      <c r="LCY984" s="336"/>
      <c r="LCZ984" s="337"/>
      <c r="LDA984" s="336"/>
      <c r="LDB984" s="337"/>
      <c r="LDC984" s="336"/>
      <c r="LDD984" s="337"/>
      <c r="LDE984" s="336"/>
      <c r="LDF984" s="337"/>
      <c r="LDG984" s="336"/>
      <c r="LDH984" s="337"/>
      <c r="LDI984" s="336"/>
      <c r="LDJ984" s="337"/>
      <c r="LDK984" s="336"/>
      <c r="LDL984" s="337"/>
      <c r="LDM984" s="336"/>
      <c r="LDN984" s="337"/>
      <c r="LDO984" s="336"/>
      <c r="LDP984" s="337"/>
      <c r="LDQ984" s="336"/>
      <c r="LDR984" s="337"/>
      <c r="LDS984" s="336"/>
      <c r="LDT984" s="337"/>
      <c r="LDU984" s="336"/>
      <c r="LDV984" s="337"/>
      <c r="LDW984" s="336"/>
      <c r="LDX984" s="337"/>
      <c r="LDY984" s="336"/>
      <c r="LDZ984" s="337"/>
      <c r="LEA984" s="336"/>
      <c r="LEB984" s="337"/>
      <c r="LEC984" s="336"/>
      <c r="LED984" s="337"/>
      <c r="LEE984" s="336"/>
      <c r="LEF984" s="337"/>
      <c r="LEG984" s="336"/>
      <c r="LEH984" s="337"/>
      <c r="LEI984" s="336"/>
      <c r="LEJ984" s="337"/>
      <c r="LEK984" s="336"/>
      <c r="LEL984" s="337"/>
      <c r="LEM984" s="336"/>
      <c r="LEN984" s="337"/>
      <c r="LEO984" s="336"/>
      <c r="LEP984" s="337"/>
      <c r="LEQ984" s="336"/>
      <c r="LER984" s="337"/>
      <c r="LES984" s="336"/>
      <c r="LET984" s="337"/>
      <c r="LEU984" s="336"/>
      <c r="LEV984" s="337"/>
      <c r="LEW984" s="336"/>
      <c r="LEX984" s="337"/>
      <c r="LEY984" s="336"/>
      <c r="LEZ984" s="337"/>
      <c r="LFA984" s="336"/>
      <c r="LFB984" s="337"/>
      <c r="LFC984" s="336"/>
      <c r="LFD984" s="337"/>
      <c r="LFE984" s="336"/>
      <c r="LFF984" s="337"/>
      <c r="LFG984" s="336"/>
      <c r="LFH984" s="337"/>
      <c r="LFI984" s="336"/>
      <c r="LFJ984" s="337"/>
      <c r="LFK984" s="336"/>
      <c r="LFL984" s="337"/>
      <c r="LFM984" s="336"/>
      <c r="LFN984" s="337"/>
      <c r="LFO984" s="336"/>
      <c r="LFP984" s="337"/>
      <c r="LFQ984" s="336"/>
      <c r="LFR984" s="337"/>
      <c r="LFS984" s="336"/>
      <c r="LFT984" s="337"/>
      <c r="LFU984" s="336"/>
      <c r="LFV984" s="337"/>
      <c r="LFW984" s="336"/>
      <c r="LFX984" s="337"/>
      <c r="LFY984" s="336"/>
      <c r="LFZ984" s="337"/>
      <c r="LGA984" s="336"/>
      <c r="LGB984" s="337"/>
      <c r="LGC984" s="336"/>
      <c r="LGD984" s="337"/>
      <c r="LGE984" s="336"/>
      <c r="LGF984" s="337"/>
      <c r="LGG984" s="336"/>
      <c r="LGH984" s="337"/>
      <c r="LGI984" s="336"/>
      <c r="LGJ984" s="337"/>
      <c r="LGK984" s="336"/>
      <c r="LGL984" s="337"/>
      <c r="LGM984" s="336"/>
      <c r="LGN984" s="337"/>
      <c r="LGO984" s="336"/>
      <c r="LGP984" s="337"/>
      <c r="LGQ984" s="336"/>
      <c r="LGR984" s="337"/>
      <c r="LGS984" s="336"/>
      <c r="LGT984" s="337"/>
      <c r="LGU984" s="336"/>
      <c r="LGV984" s="337"/>
      <c r="LGW984" s="336"/>
      <c r="LGX984" s="337"/>
      <c r="LGY984" s="336"/>
      <c r="LGZ984" s="337"/>
      <c r="LHA984" s="336"/>
      <c r="LHB984" s="337"/>
      <c r="LHC984" s="336"/>
      <c r="LHD984" s="337"/>
      <c r="LHE984" s="336"/>
      <c r="LHF984" s="337"/>
      <c r="LHG984" s="336"/>
      <c r="LHH984" s="337"/>
      <c r="LHI984" s="336"/>
      <c r="LHJ984" s="337"/>
      <c r="LHK984" s="336"/>
      <c r="LHL984" s="337"/>
      <c r="LHM984" s="336"/>
      <c r="LHN984" s="337"/>
      <c r="LHO984" s="336"/>
      <c r="LHP984" s="337"/>
      <c r="LHQ984" s="336"/>
      <c r="LHR984" s="337"/>
      <c r="LHS984" s="336"/>
      <c r="LHT984" s="337"/>
      <c r="LHU984" s="336"/>
      <c r="LHV984" s="337"/>
      <c r="LHW984" s="336"/>
      <c r="LHX984" s="337"/>
      <c r="LHY984" s="336"/>
      <c r="LHZ984" s="337"/>
      <c r="LIA984" s="336"/>
      <c r="LIB984" s="337"/>
      <c r="LIC984" s="336"/>
      <c r="LID984" s="337"/>
      <c r="LIE984" s="336"/>
      <c r="LIF984" s="337"/>
      <c r="LIG984" s="336"/>
      <c r="LIH984" s="337"/>
      <c r="LII984" s="336"/>
      <c r="LIJ984" s="337"/>
      <c r="LIK984" s="336"/>
      <c r="LIL984" s="337"/>
      <c r="LIM984" s="336"/>
      <c r="LIN984" s="337"/>
      <c r="LIO984" s="336"/>
      <c r="LIP984" s="337"/>
      <c r="LIQ984" s="336"/>
      <c r="LIR984" s="337"/>
      <c r="LIS984" s="336"/>
      <c r="LIT984" s="337"/>
      <c r="LIU984" s="336"/>
      <c r="LIV984" s="337"/>
      <c r="LIW984" s="336"/>
      <c r="LIX984" s="337"/>
      <c r="LIY984" s="336"/>
      <c r="LIZ984" s="337"/>
      <c r="LJA984" s="336"/>
      <c r="LJB984" s="337"/>
      <c r="LJC984" s="336"/>
      <c r="LJD984" s="337"/>
      <c r="LJE984" s="336"/>
      <c r="LJF984" s="337"/>
      <c r="LJG984" s="336"/>
      <c r="LJH984" s="337"/>
      <c r="LJI984" s="336"/>
      <c r="LJJ984" s="337"/>
      <c r="LJK984" s="336"/>
      <c r="LJL984" s="337"/>
      <c r="LJM984" s="336"/>
      <c r="LJN984" s="337"/>
      <c r="LJO984" s="336"/>
      <c r="LJP984" s="337"/>
      <c r="LJQ984" s="336"/>
      <c r="LJR984" s="337"/>
      <c r="LJS984" s="336"/>
      <c r="LJT984" s="337"/>
      <c r="LJU984" s="336"/>
      <c r="LJV984" s="337"/>
      <c r="LJW984" s="336"/>
      <c r="LJX984" s="337"/>
      <c r="LJY984" s="336"/>
      <c r="LJZ984" s="337"/>
      <c r="LKA984" s="336"/>
      <c r="LKB984" s="337"/>
      <c r="LKC984" s="336"/>
      <c r="LKD984" s="337"/>
      <c r="LKE984" s="336"/>
      <c r="LKF984" s="337"/>
      <c r="LKG984" s="336"/>
      <c r="LKH984" s="337"/>
      <c r="LKI984" s="336"/>
      <c r="LKJ984" s="337"/>
      <c r="LKK984" s="336"/>
      <c r="LKL984" s="337"/>
      <c r="LKM984" s="336"/>
      <c r="LKN984" s="337"/>
      <c r="LKO984" s="336"/>
      <c r="LKP984" s="337"/>
      <c r="LKQ984" s="336"/>
      <c r="LKR984" s="337"/>
      <c r="LKS984" s="336"/>
      <c r="LKT984" s="337"/>
      <c r="LKU984" s="336"/>
      <c r="LKV984" s="337"/>
      <c r="LKW984" s="336"/>
      <c r="LKX984" s="337"/>
      <c r="LKY984" s="336"/>
      <c r="LKZ984" s="337"/>
      <c r="LLA984" s="336"/>
      <c r="LLB984" s="337"/>
      <c r="LLC984" s="336"/>
      <c r="LLD984" s="337"/>
      <c r="LLE984" s="336"/>
      <c r="LLF984" s="337"/>
      <c r="LLG984" s="336"/>
      <c r="LLH984" s="337"/>
      <c r="LLI984" s="336"/>
      <c r="LLJ984" s="337"/>
      <c r="LLK984" s="336"/>
      <c r="LLL984" s="337"/>
      <c r="LLM984" s="336"/>
      <c r="LLN984" s="337"/>
      <c r="LLO984" s="336"/>
      <c r="LLP984" s="337"/>
      <c r="LLQ984" s="336"/>
      <c r="LLR984" s="337"/>
      <c r="LLS984" s="336"/>
      <c r="LLT984" s="337"/>
      <c r="LLU984" s="336"/>
      <c r="LLV984" s="337"/>
      <c r="LLW984" s="336"/>
      <c r="LLX984" s="337"/>
      <c r="LLY984" s="336"/>
      <c r="LLZ984" s="337"/>
      <c r="LMA984" s="336"/>
      <c r="LMB984" s="337"/>
      <c r="LMC984" s="336"/>
      <c r="LMD984" s="337"/>
      <c r="LME984" s="336"/>
      <c r="LMF984" s="337"/>
      <c r="LMG984" s="336"/>
      <c r="LMH984" s="337"/>
      <c r="LMI984" s="336"/>
      <c r="LMJ984" s="337"/>
      <c r="LMK984" s="336"/>
      <c r="LML984" s="337"/>
      <c r="LMM984" s="336"/>
      <c r="LMN984" s="337"/>
      <c r="LMO984" s="336"/>
      <c r="LMP984" s="337"/>
      <c r="LMQ984" s="336"/>
      <c r="LMR984" s="337"/>
      <c r="LMS984" s="336"/>
      <c r="LMT984" s="337"/>
      <c r="LMU984" s="336"/>
      <c r="LMV984" s="337"/>
      <c r="LMW984" s="336"/>
      <c r="LMX984" s="337"/>
      <c r="LMY984" s="336"/>
      <c r="LMZ984" s="337"/>
      <c r="LNA984" s="336"/>
      <c r="LNB984" s="337"/>
      <c r="LNC984" s="336"/>
      <c r="LND984" s="337"/>
      <c r="LNE984" s="336"/>
      <c r="LNF984" s="337"/>
      <c r="LNG984" s="336"/>
      <c r="LNH984" s="337"/>
      <c r="LNI984" s="336"/>
      <c r="LNJ984" s="337"/>
      <c r="LNK984" s="336"/>
      <c r="LNL984" s="337"/>
      <c r="LNM984" s="336"/>
      <c r="LNN984" s="337"/>
      <c r="LNO984" s="336"/>
      <c r="LNP984" s="337"/>
      <c r="LNQ984" s="336"/>
      <c r="LNR984" s="337"/>
      <c r="LNS984" s="336"/>
      <c r="LNT984" s="337"/>
      <c r="LNU984" s="336"/>
      <c r="LNV984" s="337"/>
      <c r="LNW984" s="336"/>
      <c r="LNX984" s="337"/>
      <c r="LNY984" s="336"/>
      <c r="LNZ984" s="337"/>
      <c r="LOA984" s="336"/>
      <c r="LOB984" s="337"/>
      <c r="LOC984" s="336"/>
      <c r="LOD984" s="337"/>
      <c r="LOE984" s="336"/>
      <c r="LOF984" s="337"/>
      <c r="LOG984" s="336"/>
      <c r="LOH984" s="337"/>
      <c r="LOI984" s="336"/>
      <c r="LOJ984" s="337"/>
      <c r="LOK984" s="336"/>
      <c r="LOL984" s="337"/>
      <c r="LOM984" s="336"/>
      <c r="LON984" s="337"/>
      <c r="LOO984" s="336"/>
      <c r="LOP984" s="337"/>
      <c r="LOQ984" s="336"/>
      <c r="LOR984" s="337"/>
      <c r="LOS984" s="336"/>
      <c r="LOT984" s="337"/>
      <c r="LOU984" s="336"/>
      <c r="LOV984" s="337"/>
      <c r="LOW984" s="336"/>
      <c r="LOX984" s="337"/>
      <c r="LOY984" s="336"/>
      <c r="LOZ984" s="337"/>
      <c r="LPA984" s="336"/>
      <c r="LPB984" s="337"/>
      <c r="LPC984" s="336"/>
      <c r="LPD984" s="337"/>
      <c r="LPE984" s="336"/>
      <c r="LPF984" s="337"/>
      <c r="LPG984" s="336"/>
      <c r="LPH984" s="337"/>
      <c r="LPI984" s="336"/>
      <c r="LPJ984" s="337"/>
      <c r="LPK984" s="336"/>
      <c r="LPL984" s="337"/>
      <c r="LPM984" s="336"/>
      <c r="LPN984" s="337"/>
      <c r="LPO984" s="336"/>
      <c r="LPP984" s="337"/>
      <c r="LPQ984" s="336"/>
      <c r="LPR984" s="337"/>
      <c r="LPS984" s="336"/>
      <c r="LPT984" s="337"/>
      <c r="LPU984" s="336"/>
      <c r="LPV984" s="337"/>
      <c r="LPW984" s="336"/>
      <c r="LPX984" s="337"/>
      <c r="LPY984" s="336"/>
      <c r="LPZ984" s="337"/>
      <c r="LQA984" s="336"/>
      <c r="LQB984" s="337"/>
      <c r="LQC984" s="336"/>
      <c r="LQD984" s="337"/>
      <c r="LQE984" s="336"/>
      <c r="LQF984" s="337"/>
      <c r="LQG984" s="336"/>
      <c r="LQH984" s="337"/>
      <c r="LQI984" s="336"/>
      <c r="LQJ984" s="337"/>
      <c r="LQK984" s="336"/>
      <c r="LQL984" s="337"/>
      <c r="LQM984" s="336"/>
      <c r="LQN984" s="337"/>
      <c r="LQO984" s="336"/>
      <c r="LQP984" s="337"/>
      <c r="LQQ984" s="336"/>
      <c r="LQR984" s="337"/>
      <c r="LQS984" s="336"/>
      <c r="LQT984" s="337"/>
      <c r="LQU984" s="336"/>
      <c r="LQV984" s="337"/>
      <c r="LQW984" s="336"/>
      <c r="LQX984" s="337"/>
      <c r="LQY984" s="336"/>
      <c r="LQZ984" s="337"/>
      <c r="LRA984" s="336"/>
      <c r="LRB984" s="337"/>
      <c r="LRC984" s="336"/>
      <c r="LRD984" s="337"/>
      <c r="LRE984" s="336"/>
      <c r="LRF984" s="337"/>
      <c r="LRG984" s="336"/>
      <c r="LRH984" s="337"/>
      <c r="LRI984" s="336"/>
      <c r="LRJ984" s="337"/>
      <c r="LRK984" s="336"/>
      <c r="LRL984" s="337"/>
      <c r="LRM984" s="336"/>
      <c r="LRN984" s="337"/>
      <c r="LRO984" s="336"/>
      <c r="LRP984" s="337"/>
      <c r="LRQ984" s="336"/>
      <c r="LRR984" s="337"/>
      <c r="LRS984" s="336"/>
      <c r="LRT984" s="337"/>
      <c r="LRU984" s="336"/>
      <c r="LRV984" s="337"/>
      <c r="LRW984" s="336"/>
      <c r="LRX984" s="337"/>
      <c r="LRY984" s="336"/>
      <c r="LRZ984" s="337"/>
      <c r="LSA984" s="336"/>
      <c r="LSB984" s="337"/>
      <c r="LSC984" s="336"/>
      <c r="LSD984" s="337"/>
      <c r="LSE984" s="336"/>
      <c r="LSF984" s="337"/>
      <c r="LSG984" s="336"/>
      <c r="LSH984" s="337"/>
      <c r="LSI984" s="336"/>
      <c r="LSJ984" s="337"/>
      <c r="LSK984" s="336"/>
      <c r="LSL984" s="337"/>
      <c r="LSM984" s="336"/>
      <c r="LSN984" s="337"/>
      <c r="LSO984" s="336"/>
      <c r="LSP984" s="337"/>
      <c r="LSQ984" s="336"/>
      <c r="LSR984" s="337"/>
      <c r="LSS984" s="336"/>
      <c r="LST984" s="337"/>
      <c r="LSU984" s="336"/>
      <c r="LSV984" s="337"/>
      <c r="LSW984" s="336"/>
      <c r="LSX984" s="337"/>
      <c r="LSY984" s="336"/>
      <c r="LSZ984" s="337"/>
      <c r="LTA984" s="336"/>
      <c r="LTB984" s="337"/>
      <c r="LTC984" s="336"/>
      <c r="LTD984" s="337"/>
      <c r="LTE984" s="336"/>
      <c r="LTF984" s="337"/>
      <c r="LTG984" s="336"/>
      <c r="LTH984" s="337"/>
      <c r="LTI984" s="336"/>
      <c r="LTJ984" s="337"/>
      <c r="LTK984" s="336"/>
      <c r="LTL984" s="337"/>
      <c r="LTM984" s="336"/>
      <c r="LTN984" s="337"/>
      <c r="LTO984" s="336"/>
      <c r="LTP984" s="337"/>
      <c r="LTQ984" s="336"/>
      <c r="LTR984" s="337"/>
      <c r="LTS984" s="336"/>
      <c r="LTT984" s="337"/>
      <c r="LTU984" s="336"/>
      <c r="LTV984" s="337"/>
      <c r="LTW984" s="336"/>
      <c r="LTX984" s="337"/>
      <c r="LTY984" s="336"/>
      <c r="LTZ984" s="337"/>
      <c r="LUA984" s="336"/>
      <c r="LUB984" s="337"/>
      <c r="LUC984" s="336"/>
      <c r="LUD984" s="337"/>
      <c r="LUE984" s="336"/>
      <c r="LUF984" s="337"/>
      <c r="LUG984" s="336"/>
      <c r="LUH984" s="337"/>
      <c r="LUI984" s="336"/>
      <c r="LUJ984" s="337"/>
      <c r="LUK984" s="336"/>
      <c r="LUL984" s="337"/>
      <c r="LUM984" s="336"/>
      <c r="LUN984" s="337"/>
      <c r="LUO984" s="336"/>
      <c r="LUP984" s="337"/>
      <c r="LUQ984" s="336"/>
      <c r="LUR984" s="337"/>
      <c r="LUS984" s="336"/>
      <c r="LUT984" s="337"/>
      <c r="LUU984" s="336"/>
      <c r="LUV984" s="337"/>
      <c r="LUW984" s="336"/>
      <c r="LUX984" s="337"/>
      <c r="LUY984" s="336"/>
      <c r="LUZ984" s="337"/>
      <c r="LVA984" s="336"/>
      <c r="LVB984" s="337"/>
      <c r="LVC984" s="336"/>
      <c r="LVD984" s="337"/>
      <c r="LVE984" s="336"/>
      <c r="LVF984" s="337"/>
      <c r="LVG984" s="336"/>
      <c r="LVH984" s="337"/>
      <c r="LVI984" s="336"/>
      <c r="LVJ984" s="337"/>
      <c r="LVK984" s="336"/>
      <c r="LVL984" s="337"/>
      <c r="LVM984" s="336"/>
      <c r="LVN984" s="337"/>
      <c r="LVO984" s="336"/>
      <c r="LVP984" s="337"/>
      <c r="LVQ984" s="336"/>
      <c r="LVR984" s="337"/>
      <c r="LVS984" s="336"/>
      <c r="LVT984" s="337"/>
      <c r="LVU984" s="336"/>
      <c r="LVV984" s="337"/>
      <c r="LVW984" s="336"/>
      <c r="LVX984" s="337"/>
      <c r="LVY984" s="336"/>
      <c r="LVZ984" s="337"/>
      <c r="LWA984" s="336"/>
      <c r="LWB984" s="337"/>
      <c r="LWC984" s="336"/>
      <c r="LWD984" s="337"/>
      <c r="LWE984" s="336"/>
      <c r="LWF984" s="337"/>
      <c r="LWG984" s="336"/>
      <c r="LWH984" s="337"/>
      <c r="LWI984" s="336"/>
      <c r="LWJ984" s="337"/>
      <c r="LWK984" s="336"/>
      <c r="LWL984" s="337"/>
      <c r="LWM984" s="336"/>
      <c r="LWN984" s="337"/>
      <c r="LWO984" s="336"/>
      <c r="LWP984" s="337"/>
      <c r="LWQ984" s="336"/>
      <c r="LWR984" s="337"/>
      <c r="LWS984" s="336"/>
      <c r="LWT984" s="337"/>
      <c r="LWU984" s="336"/>
      <c r="LWV984" s="337"/>
      <c r="LWW984" s="336"/>
      <c r="LWX984" s="337"/>
      <c r="LWY984" s="336"/>
      <c r="LWZ984" s="337"/>
      <c r="LXA984" s="336"/>
      <c r="LXB984" s="337"/>
      <c r="LXC984" s="336"/>
      <c r="LXD984" s="337"/>
      <c r="LXE984" s="336"/>
      <c r="LXF984" s="337"/>
      <c r="LXG984" s="336"/>
      <c r="LXH984" s="337"/>
      <c r="LXI984" s="336"/>
      <c r="LXJ984" s="337"/>
      <c r="LXK984" s="336"/>
      <c r="LXL984" s="337"/>
      <c r="LXM984" s="336"/>
      <c r="LXN984" s="337"/>
      <c r="LXO984" s="336"/>
      <c r="LXP984" s="337"/>
      <c r="LXQ984" s="336"/>
      <c r="LXR984" s="337"/>
      <c r="LXS984" s="336"/>
      <c r="LXT984" s="337"/>
      <c r="LXU984" s="336"/>
      <c r="LXV984" s="337"/>
      <c r="LXW984" s="336"/>
      <c r="LXX984" s="337"/>
      <c r="LXY984" s="336"/>
      <c r="LXZ984" s="337"/>
      <c r="LYA984" s="336"/>
      <c r="LYB984" s="337"/>
      <c r="LYC984" s="336"/>
      <c r="LYD984" s="337"/>
      <c r="LYE984" s="336"/>
      <c r="LYF984" s="337"/>
      <c r="LYG984" s="336"/>
      <c r="LYH984" s="337"/>
      <c r="LYI984" s="336"/>
      <c r="LYJ984" s="337"/>
      <c r="LYK984" s="336"/>
      <c r="LYL984" s="337"/>
      <c r="LYM984" s="336"/>
      <c r="LYN984" s="337"/>
      <c r="LYO984" s="336"/>
      <c r="LYP984" s="337"/>
      <c r="LYQ984" s="336"/>
      <c r="LYR984" s="337"/>
      <c r="LYS984" s="336"/>
      <c r="LYT984" s="337"/>
      <c r="LYU984" s="336"/>
      <c r="LYV984" s="337"/>
      <c r="LYW984" s="336"/>
      <c r="LYX984" s="337"/>
      <c r="LYY984" s="336"/>
      <c r="LYZ984" s="337"/>
      <c r="LZA984" s="336"/>
      <c r="LZB984" s="337"/>
      <c r="LZC984" s="336"/>
      <c r="LZD984" s="337"/>
      <c r="LZE984" s="336"/>
      <c r="LZF984" s="337"/>
      <c r="LZG984" s="336"/>
      <c r="LZH984" s="337"/>
      <c r="LZI984" s="336"/>
      <c r="LZJ984" s="337"/>
      <c r="LZK984" s="336"/>
      <c r="LZL984" s="337"/>
      <c r="LZM984" s="336"/>
      <c r="LZN984" s="337"/>
      <c r="LZO984" s="336"/>
      <c r="LZP984" s="337"/>
      <c r="LZQ984" s="336"/>
      <c r="LZR984" s="337"/>
      <c r="LZS984" s="336"/>
      <c r="LZT984" s="337"/>
      <c r="LZU984" s="336"/>
      <c r="LZV984" s="337"/>
      <c r="LZW984" s="336"/>
      <c r="LZX984" s="337"/>
      <c r="LZY984" s="336"/>
      <c r="LZZ984" s="337"/>
      <c r="MAA984" s="336"/>
      <c r="MAB984" s="337"/>
      <c r="MAC984" s="336"/>
      <c r="MAD984" s="337"/>
      <c r="MAE984" s="336"/>
      <c r="MAF984" s="337"/>
      <c r="MAG984" s="336"/>
      <c r="MAH984" s="337"/>
      <c r="MAI984" s="336"/>
      <c r="MAJ984" s="337"/>
      <c r="MAK984" s="336"/>
      <c r="MAL984" s="337"/>
      <c r="MAM984" s="336"/>
      <c r="MAN984" s="337"/>
      <c r="MAO984" s="336"/>
      <c r="MAP984" s="337"/>
      <c r="MAQ984" s="336"/>
      <c r="MAR984" s="337"/>
      <c r="MAS984" s="336"/>
      <c r="MAT984" s="337"/>
      <c r="MAU984" s="336"/>
      <c r="MAV984" s="337"/>
      <c r="MAW984" s="336"/>
      <c r="MAX984" s="337"/>
      <c r="MAY984" s="336"/>
      <c r="MAZ984" s="337"/>
      <c r="MBA984" s="336"/>
      <c r="MBB984" s="337"/>
      <c r="MBC984" s="336"/>
      <c r="MBD984" s="337"/>
      <c r="MBE984" s="336"/>
      <c r="MBF984" s="337"/>
      <c r="MBG984" s="336"/>
      <c r="MBH984" s="337"/>
      <c r="MBI984" s="336"/>
      <c r="MBJ984" s="337"/>
      <c r="MBK984" s="336"/>
      <c r="MBL984" s="337"/>
      <c r="MBM984" s="336"/>
      <c r="MBN984" s="337"/>
      <c r="MBO984" s="336"/>
      <c r="MBP984" s="337"/>
      <c r="MBQ984" s="336"/>
      <c r="MBR984" s="337"/>
      <c r="MBS984" s="336"/>
      <c r="MBT984" s="337"/>
      <c r="MBU984" s="336"/>
      <c r="MBV984" s="337"/>
      <c r="MBW984" s="336"/>
      <c r="MBX984" s="337"/>
      <c r="MBY984" s="336"/>
      <c r="MBZ984" s="337"/>
      <c r="MCA984" s="336"/>
      <c r="MCB984" s="337"/>
      <c r="MCC984" s="336"/>
      <c r="MCD984" s="337"/>
      <c r="MCE984" s="336"/>
      <c r="MCF984" s="337"/>
      <c r="MCG984" s="336"/>
      <c r="MCH984" s="337"/>
      <c r="MCI984" s="336"/>
      <c r="MCJ984" s="337"/>
      <c r="MCK984" s="336"/>
      <c r="MCL984" s="337"/>
      <c r="MCM984" s="336"/>
      <c r="MCN984" s="337"/>
      <c r="MCO984" s="336"/>
      <c r="MCP984" s="337"/>
      <c r="MCQ984" s="336"/>
      <c r="MCR984" s="337"/>
      <c r="MCS984" s="336"/>
      <c r="MCT984" s="337"/>
      <c r="MCU984" s="336"/>
      <c r="MCV984" s="337"/>
      <c r="MCW984" s="336"/>
      <c r="MCX984" s="337"/>
      <c r="MCY984" s="336"/>
      <c r="MCZ984" s="337"/>
      <c r="MDA984" s="336"/>
      <c r="MDB984" s="337"/>
      <c r="MDC984" s="336"/>
      <c r="MDD984" s="337"/>
      <c r="MDE984" s="336"/>
      <c r="MDF984" s="337"/>
      <c r="MDG984" s="336"/>
      <c r="MDH984" s="337"/>
      <c r="MDI984" s="336"/>
      <c r="MDJ984" s="337"/>
      <c r="MDK984" s="336"/>
      <c r="MDL984" s="337"/>
      <c r="MDM984" s="336"/>
      <c r="MDN984" s="337"/>
      <c r="MDO984" s="336"/>
      <c r="MDP984" s="337"/>
      <c r="MDQ984" s="336"/>
      <c r="MDR984" s="337"/>
      <c r="MDS984" s="336"/>
      <c r="MDT984" s="337"/>
      <c r="MDU984" s="336"/>
      <c r="MDV984" s="337"/>
      <c r="MDW984" s="336"/>
      <c r="MDX984" s="337"/>
      <c r="MDY984" s="336"/>
      <c r="MDZ984" s="337"/>
      <c r="MEA984" s="336"/>
      <c r="MEB984" s="337"/>
      <c r="MEC984" s="336"/>
      <c r="MED984" s="337"/>
      <c r="MEE984" s="336"/>
      <c r="MEF984" s="337"/>
      <c r="MEG984" s="336"/>
      <c r="MEH984" s="337"/>
      <c r="MEI984" s="336"/>
      <c r="MEJ984" s="337"/>
      <c r="MEK984" s="336"/>
      <c r="MEL984" s="337"/>
      <c r="MEM984" s="336"/>
      <c r="MEN984" s="337"/>
      <c r="MEO984" s="336"/>
      <c r="MEP984" s="337"/>
      <c r="MEQ984" s="336"/>
      <c r="MER984" s="337"/>
      <c r="MES984" s="336"/>
      <c r="MET984" s="337"/>
      <c r="MEU984" s="336"/>
      <c r="MEV984" s="337"/>
      <c r="MEW984" s="336"/>
      <c r="MEX984" s="337"/>
      <c r="MEY984" s="336"/>
      <c r="MEZ984" s="337"/>
      <c r="MFA984" s="336"/>
      <c r="MFB984" s="337"/>
      <c r="MFC984" s="336"/>
      <c r="MFD984" s="337"/>
      <c r="MFE984" s="336"/>
      <c r="MFF984" s="337"/>
      <c r="MFG984" s="336"/>
      <c r="MFH984" s="337"/>
      <c r="MFI984" s="336"/>
      <c r="MFJ984" s="337"/>
      <c r="MFK984" s="336"/>
      <c r="MFL984" s="337"/>
      <c r="MFM984" s="336"/>
      <c r="MFN984" s="337"/>
      <c r="MFO984" s="336"/>
      <c r="MFP984" s="337"/>
      <c r="MFQ984" s="336"/>
      <c r="MFR984" s="337"/>
      <c r="MFS984" s="336"/>
      <c r="MFT984" s="337"/>
      <c r="MFU984" s="336"/>
      <c r="MFV984" s="337"/>
      <c r="MFW984" s="336"/>
      <c r="MFX984" s="337"/>
      <c r="MFY984" s="336"/>
      <c r="MFZ984" s="337"/>
      <c r="MGA984" s="336"/>
      <c r="MGB984" s="337"/>
      <c r="MGC984" s="336"/>
      <c r="MGD984" s="337"/>
      <c r="MGE984" s="336"/>
      <c r="MGF984" s="337"/>
      <c r="MGG984" s="336"/>
      <c r="MGH984" s="337"/>
      <c r="MGI984" s="336"/>
      <c r="MGJ984" s="337"/>
      <c r="MGK984" s="336"/>
      <c r="MGL984" s="337"/>
      <c r="MGM984" s="336"/>
      <c r="MGN984" s="337"/>
      <c r="MGO984" s="336"/>
      <c r="MGP984" s="337"/>
      <c r="MGQ984" s="336"/>
      <c r="MGR984" s="337"/>
      <c r="MGS984" s="336"/>
      <c r="MGT984" s="337"/>
      <c r="MGU984" s="336"/>
      <c r="MGV984" s="337"/>
      <c r="MGW984" s="336"/>
      <c r="MGX984" s="337"/>
      <c r="MGY984" s="336"/>
      <c r="MGZ984" s="337"/>
      <c r="MHA984" s="336"/>
      <c r="MHB984" s="337"/>
      <c r="MHC984" s="336"/>
      <c r="MHD984" s="337"/>
      <c r="MHE984" s="336"/>
      <c r="MHF984" s="337"/>
      <c r="MHG984" s="336"/>
      <c r="MHH984" s="337"/>
      <c r="MHI984" s="336"/>
      <c r="MHJ984" s="337"/>
      <c r="MHK984" s="336"/>
      <c r="MHL984" s="337"/>
      <c r="MHM984" s="336"/>
      <c r="MHN984" s="337"/>
      <c r="MHO984" s="336"/>
      <c r="MHP984" s="337"/>
      <c r="MHQ984" s="336"/>
      <c r="MHR984" s="337"/>
      <c r="MHS984" s="336"/>
      <c r="MHT984" s="337"/>
      <c r="MHU984" s="336"/>
      <c r="MHV984" s="337"/>
      <c r="MHW984" s="336"/>
      <c r="MHX984" s="337"/>
      <c r="MHY984" s="336"/>
      <c r="MHZ984" s="337"/>
      <c r="MIA984" s="336"/>
      <c r="MIB984" s="337"/>
      <c r="MIC984" s="336"/>
      <c r="MID984" s="337"/>
      <c r="MIE984" s="336"/>
      <c r="MIF984" s="337"/>
      <c r="MIG984" s="336"/>
      <c r="MIH984" s="337"/>
      <c r="MII984" s="336"/>
      <c r="MIJ984" s="337"/>
      <c r="MIK984" s="336"/>
      <c r="MIL984" s="337"/>
      <c r="MIM984" s="336"/>
      <c r="MIN984" s="337"/>
      <c r="MIO984" s="336"/>
      <c r="MIP984" s="337"/>
      <c r="MIQ984" s="336"/>
      <c r="MIR984" s="337"/>
      <c r="MIS984" s="336"/>
      <c r="MIT984" s="337"/>
      <c r="MIU984" s="336"/>
      <c r="MIV984" s="337"/>
      <c r="MIW984" s="336"/>
      <c r="MIX984" s="337"/>
      <c r="MIY984" s="336"/>
      <c r="MIZ984" s="337"/>
      <c r="MJA984" s="336"/>
      <c r="MJB984" s="337"/>
      <c r="MJC984" s="336"/>
      <c r="MJD984" s="337"/>
      <c r="MJE984" s="336"/>
      <c r="MJF984" s="337"/>
      <c r="MJG984" s="336"/>
      <c r="MJH984" s="337"/>
      <c r="MJI984" s="336"/>
      <c r="MJJ984" s="337"/>
      <c r="MJK984" s="336"/>
      <c r="MJL984" s="337"/>
      <c r="MJM984" s="336"/>
      <c r="MJN984" s="337"/>
      <c r="MJO984" s="336"/>
      <c r="MJP984" s="337"/>
      <c r="MJQ984" s="336"/>
      <c r="MJR984" s="337"/>
      <c r="MJS984" s="336"/>
      <c r="MJT984" s="337"/>
      <c r="MJU984" s="336"/>
      <c r="MJV984" s="337"/>
      <c r="MJW984" s="336"/>
      <c r="MJX984" s="337"/>
      <c r="MJY984" s="336"/>
      <c r="MJZ984" s="337"/>
      <c r="MKA984" s="336"/>
      <c r="MKB984" s="337"/>
      <c r="MKC984" s="336"/>
      <c r="MKD984" s="337"/>
      <c r="MKE984" s="336"/>
      <c r="MKF984" s="337"/>
      <c r="MKG984" s="336"/>
      <c r="MKH984" s="337"/>
      <c r="MKI984" s="336"/>
      <c r="MKJ984" s="337"/>
      <c r="MKK984" s="336"/>
      <c r="MKL984" s="337"/>
      <c r="MKM984" s="336"/>
      <c r="MKN984" s="337"/>
      <c r="MKO984" s="336"/>
      <c r="MKP984" s="337"/>
      <c r="MKQ984" s="336"/>
      <c r="MKR984" s="337"/>
      <c r="MKS984" s="336"/>
      <c r="MKT984" s="337"/>
      <c r="MKU984" s="336"/>
      <c r="MKV984" s="337"/>
      <c r="MKW984" s="336"/>
      <c r="MKX984" s="337"/>
      <c r="MKY984" s="336"/>
      <c r="MKZ984" s="337"/>
      <c r="MLA984" s="336"/>
      <c r="MLB984" s="337"/>
      <c r="MLC984" s="336"/>
      <c r="MLD984" s="337"/>
      <c r="MLE984" s="336"/>
      <c r="MLF984" s="337"/>
      <c r="MLG984" s="336"/>
      <c r="MLH984" s="337"/>
      <c r="MLI984" s="336"/>
      <c r="MLJ984" s="337"/>
      <c r="MLK984" s="336"/>
      <c r="MLL984" s="337"/>
      <c r="MLM984" s="336"/>
      <c r="MLN984" s="337"/>
      <c r="MLO984" s="336"/>
      <c r="MLP984" s="337"/>
      <c r="MLQ984" s="336"/>
      <c r="MLR984" s="337"/>
      <c r="MLS984" s="336"/>
      <c r="MLT984" s="337"/>
      <c r="MLU984" s="336"/>
      <c r="MLV984" s="337"/>
      <c r="MLW984" s="336"/>
      <c r="MLX984" s="337"/>
      <c r="MLY984" s="336"/>
      <c r="MLZ984" s="337"/>
      <c r="MMA984" s="336"/>
      <c r="MMB984" s="337"/>
      <c r="MMC984" s="336"/>
      <c r="MMD984" s="337"/>
      <c r="MME984" s="336"/>
      <c r="MMF984" s="337"/>
      <c r="MMG984" s="336"/>
      <c r="MMH984" s="337"/>
      <c r="MMI984" s="336"/>
      <c r="MMJ984" s="337"/>
      <c r="MMK984" s="336"/>
      <c r="MML984" s="337"/>
      <c r="MMM984" s="336"/>
      <c r="MMN984" s="337"/>
      <c r="MMO984" s="336"/>
      <c r="MMP984" s="337"/>
      <c r="MMQ984" s="336"/>
      <c r="MMR984" s="337"/>
      <c r="MMS984" s="336"/>
      <c r="MMT984" s="337"/>
      <c r="MMU984" s="336"/>
      <c r="MMV984" s="337"/>
      <c r="MMW984" s="336"/>
      <c r="MMX984" s="337"/>
      <c r="MMY984" s="336"/>
      <c r="MMZ984" s="337"/>
      <c r="MNA984" s="336"/>
      <c r="MNB984" s="337"/>
      <c r="MNC984" s="336"/>
      <c r="MND984" s="337"/>
      <c r="MNE984" s="336"/>
      <c r="MNF984" s="337"/>
      <c r="MNG984" s="336"/>
      <c r="MNH984" s="337"/>
      <c r="MNI984" s="336"/>
      <c r="MNJ984" s="337"/>
      <c r="MNK984" s="336"/>
      <c r="MNL984" s="337"/>
      <c r="MNM984" s="336"/>
      <c r="MNN984" s="337"/>
      <c r="MNO984" s="336"/>
      <c r="MNP984" s="337"/>
      <c r="MNQ984" s="336"/>
      <c r="MNR984" s="337"/>
      <c r="MNS984" s="336"/>
      <c r="MNT984" s="337"/>
      <c r="MNU984" s="336"/>
      <c r="MNV984" s="337"/>
      <c r="MNW984" s="336"/>
      <c r="MNX984" s="337"/>
      <c r="MNY984" s="336"/>
      <c r="MNZ984" s="337"/>
      <c r="MOA984" s="336"/>
      <c r="MOB984" s="337"/>
      <c r="MOC984" s="336"/>
      <c r="MOD984" s="337"/>
      <c r="MOE984" s="336"/>
      <c r="MOF984" s="337"/>
      <c r="MOG984" s="336"/>
      <c r="MOH984" s="337"/>
      <c r="MOI984" s="336"/>
      <c r="MOJ984" s="337"/>
      <c r="MOK984" s="336"/>
      <c r="MOL984" s="337"/>
      <c r="MOM984" s="336"/>
      <c r="MON984" s="337"/>
      <c r="MOO984" s="336"/>
      <c r="MOP984" s="337"/>
      <c r="MOQ984" s="336"/>
      <c r="MOR984" s="337"/>
      <c r="MOS984" s="336"/>
      <c r="MOT984" s="337"/>
      <c r="MOU984" s="336"/>
      <c r="MOV984" s="337"/>
      <c r="MOW984" s="336"/>
      <c r="MOX984" s="337"/>
      <c r="MOY984" s="336"/>
      <c r="MOZ984" s="337"/>
      <c r="MPA984" s="336"/>
      <c r="MPB984" s="337"/>
      <c r="MPC984" s="336"/>
      <c r="MPD984" s="337"/>
      <c r="MPE984" s="336"/>
      <c r="MPF984" s="337"/>
      <c r="MPG984" s="336"/>
      <c r="MPH984" s="337"/>
      <c r="MPI984" s="336"/>
      <c r="MPJ984" s="337"/>
      <c r="MPK984" s="336"/>
      <c r="MPL984" s="337"/>
      <c r="MPM984" s="336"/>
      <c r="MPN984" s="337"/>
      <c r="MPO984" s="336"/>
      <c r="MPP984" s="337"/>
      <c r="MPQ984" s="336"/>
      <c r="MPR984" s="337"/>
      <c r="MPS984" s="336"/>
      <c r="MPT984" s="337"/>
      <c r="MPU984" s="336"/>
      <c r="MPV984" s="337"/>
      <c r="MPW984" s="336"/>
      <c r="MPX984" s="337"/>
      <c r="MPY984" s="336"/>
      <c r="MPZ984" s="337"/>
      <c r="MQA984" s="336"/>
      <c r="MQB984" s="337"/>
      <c r="MQC984" s="336"/>
      <c r="MQD984" s="337"/>
      <c r="MQE984" s="336"/>
      <c r="MQF984" s="337"/>
      <c r="MQG984" s="336"/>
      <c r="MQH984" s="337"/>
      <c r="MQI984" s="336"/>
      <c r="MQJ984" s="337"/>
      <c r="MQK984" s="336"/>
      <c r="MQL984" s="337"/>
      <c r="MQM984" s="336"/>
      <c r="MQN984" s="337"/>
      <c r="MQO984" s="336"/>
      <c r="MQP984" s="337"/>
      <c r="MQQ984" s="336"/>
      <c r="MQR984" s="337"/>
      <c r="MQS984" s="336"/>
      <c r="MQT984" s="337"/>
      <c r="MQU984" s="336"/>
      <c r="MQV984" s="337"/>
      <c r="MQW984" s="336"/>
      <c r="MQX984" s="337"/>
      <c r="MQY984" s="336"/>
      <c r="MQZ984" s="337"/>
      <c r="MRA984" s="336"/>
      <c r="MRB984" s="337"/>
      <c r="MRC984" s="336"/>
      <c r="MRD984" s="337"/>
      <c r="MRE984" s="336"/>
      <c r="MRF984" s="337"/>
      <c r="MRG984" s="336"/>
      <c r="MRH984" s="337"/>
      <c r="MRI984" s="336"/>
      <c r="MRJ984" s="337"/>
      <c r="MRK984" s="336"/>
      <c r="MRL984" s="337"/>
      <c r="MRM984" s="336"/>
      <c r="MRN984" s="337"/>
      <c r="MRO984" s="336"/>
      <c r="MRP984" s="337"/>
      <c r="MRQ984" s="336"/>
      <c r="MRR984" s="337"/>
      <c r="MRS984" s="336"/>
      <c r="MRT984" s="337"/>
      <c r="MRU984" s="336"/>
      <c r="MRV984" s="337"/>
      <c r="MRW984" s="336"/>
      <c r="MRX984" s="337"/>
      <c r="MRY984" s="336"/>
      <c r="MRZ984" s="337"/>
      <c r="MSA984" s="336"/>
      <c r="MSB984" s="337"/>
      <c r="MSC984" s="336"/>
      <c r="MSD984" s="337"/>
      <c r="MSE984" s="336"/>
      <c r="MSF984" s="337"/>
      <c r="MSG984" s="336"/>
      <c r="MSH984" s="337"/>
      <c r="MSI984" s="336"/>
      <c r="MSJ984" s="337"/>
      <c r="MSK984" s="336"/>
      <c r="MSL984" s="337"/>
      <c r="MSM984" s="336"/>
      <c r="MSN984" s="337"/>
      <c r="MSO984" s="336"/>
      <c r="MSP984" s="337"/>
      <c r="MSQ984" s="336"/>
      <c r="MSR984" s="337"/>
      <c r="MSS984" s="336"/>
      <c r="MST984" s="337"/>
      <c r="MSU984" s="336"/>
      <c r="MSV984" s="337"/>
      <c r="MSW984" s="336"/>
      <c r="MSX984" s="337"/>
      <c r="MSY984" s="336"/>
      <c r="MSZ984" s="337"/>
      <c r="MTA984" s="336"/>
      <c r="MTB984" s="337"/>
      <c r="MTC984" s="336"/>
      <c r="MTD984" s="337"/>
      <c r="MTE984" s="336"/>
      <c r="MTF984" s="337"/>
      <c r="MTG984" s="336"/>
      <c r="MTH984" s="337"/>
      <c r="MTI984" s="336"/>
      <c r="MTJ984" s="337"/>
      <c r="MTK984" s="336"/>
      <c r="MTL984" s="337"/>
      <c r="MTM984" s="336"/>
      <c r="MTN984" s="337"/>
      <c r="MTO984" s="336"/>
      <c r="MTP984" s="337"/>
      <c r="MTQ984" s="336"/>
      <c r="MTR984" s="337"/>
      <c r="MTS984" s="336"/>
      <c r="MTT984" s="337"/>
      <c r="MTU984" s="336"/>
      <c r="MTV984" s="337"/>
      <c r="MTW984" s="336"/>
      <c r="MTX984" s="337"/>
      <c r="MTY984" s="336"/>
      <c r="MTZ984" s="337"/>
      <c r="MUA984" s="336"/>
      <c r="MUB984" s="337"/>
      <c r="MUC984" s="336"/>
      <c r="MUD984" s="337"/>
      <c r="MUE984" s="336"/>
      <c r="MUF984" s="337"/>
      <c r="MUG984" s="336"/>
      <c r="MUH984" s="337"/>
      <c r="MUI984" s="336"/>
      <c r="MUJ984" s="337"/>
      <c r="MUK984" s="336"/>
      <c r="MUL984" s="337"/>
      <c r="MUM984" s="336"/>
      <c r="MUN984" s="337"/>
      <c r="MUO984" s="336"/>
      <c r="MUP984" s="337"/>
      <c r="MUQ984" s="336"/>
      <c r="MUR984" s="337"/>
      <c r="MUS984" s="336"/>
      <c r="MUT984" s="337"/>
      <c r="MUU984" s="336"/>
      <c r="MUV984" s="337"/>
      <c r="MUW984" s="336"/>
      <c r="MUX984" s="337"/>
      <c r="MUY984" s="336"/>
      <c r="MUZ984" s="337"/>
      <c r="MVA984" s="336"/>
      <c r="MVB984" s="337"/>
      <c r="MVC984" s="336"/>
      <c r="MVD984" s="337"/>
      <c r="MVE984" s="336"/>
      <c r="MVF984" s="337"/>
      <c r="MVG984" s="336"/>
      <c r="MVH984" s="337"/>
      <c r="MVI984" s="336"/>
      <c r="MVJ984" s="337"/>
      <c r="MVK984" s="336"/>
      <c r="MVL984" s="337"/>
      <c r="MVM984" s="336"/>
      <c r="MVN984" s="337"/>
      <c r="MVO984" s="336"/>
      <c r="MVP984" s="337"/>
      <c r="MVQ984" s="336"/>
      <c r="MVR984" s="337"/>
      <c r="MVS984" s="336"/>
      <c r="MVT984" s="337"/>
      <c r="MVU984" s="336"/>
      <c r="MVV984" s="337"/>
      <c r="MVW984" s="336"/>
      <c r="MVX984" s="337"/>
      <c r="MVY984" s="336"/>
      <c r="MVZ984" s="337"/>
      <c r="MWA984" s="336"/>
      <c r="MWB984" s="337"/>
      <c r="MWC984" s="336"/>
      <c r="MWD984" s="337"/>
      <c r="MWE984" s="336"/>
      <c r="MWF984" s="337"/>
      <c r="MWG984" s="336"/>
      <c r="MWH984" s="337"/>
      <c r="MWI984" s="336"/>
      <c r="MWJ984" s="337"/>
      <c r="MWK984" s="336"/>
      <c r="MWL984" s="337"/>
      <c r="MWM984" s="336"/>
      <c r="MWN984" s="337"/>
      <c r="MWO984" s="336"/>
      <c r="MWP984" s="337"/>
      <c r="MWQ984" s="336"/>
      <c r="MWR984" s="337"/>
      <c r="MWS984" s="336"/>
      <c r="MWT984" s="337"/>
      <c r="MWU984" s="336"/>
      <c r="MWV984" s="337"/>
      <c r="MWW984" s="336"/>
      <c r="MWX984" s="337"/>
      <c r="MWY984" s="336"/>
      <c r="MWZ984" s="337"/>
      <c r="MXA984" s="336"/>
      <c r="MXB984" s="337"/>
      <c r="MXC984" s="336"/>
      <c r="MXD984" s="337"/>
      <c r="MXE984" s="336"/>
      <c r="MXF984" s="337"/>
      <c r="MXG984" s="336"/>
      <c r="MXH984" s="337"/>
      <c r="MXI984" s="336"/>
      <c r="MXJ984" s="337"/>
      <c r="MXK984" s="336"/>
      <c r="MXL984" s="337"/>
      <c r="MXM984" s="336"/>
      <c r="MXN984" s="337"/>
      <c r="MXO984" s="336"/>
      <c r="MXP984" s="337"/>
      <c r="MXQ984" s="336"/>
      <c r="MXR984" s="337"/>
      <c r="MXS984" s="336"/>
      <c r="MXT984" s="337"/>
      <c r="MXU984" s="336"/>
      <c r="MXV984" s="337"/>
      <c r="MXW984" s="336"/>
      <c r="MXX984" s="337"/>
      <c r="MXY984" s="336"/>
      <c r="MXZ984" s="337"/>
      <c r="MYA984" s="336"/>
      <c r="MYB984" s="337"/>
      <c r="MYC984" s="336"/>
      <c r="MYD984" s="337"/>
      <c r="MYE984" s="336"/>
      <c r="MYF984" s="337"/>
      <c r="MYG984" s="336"/>
      <c r="MYH984" s="337"/>
      <c r="MYI984" s="336"/>
      <c r="MYJ984" s="337"/>
      <c r="MYK984" s="336"/>
      <c r="MYL984" s="337"/>
      <c r="MYM984" s="336"/>
      <c r="MYN984" s="337"/>
      <c r="MYO984" s="336"/>
      <c r="MYP984" s="337"/>
      <c r="MYQ984" s="336"/>
      <c r="MYR984" s="337"/>
      <c r="MYS984" s="336"/>
      <c r="MYT984" s="337"/>
      <c r="MYU984" s="336"/>
      <c r="MYV984" s="337"/>
      <c r="MYW984" s="336"/>
      <c r="MYX984" s="337"/>
      <c r="MYY984" s="336"/>
      <c r="MYZ984" s="337"/>
      <c r="MZA984" s="336"/>
      <c r="MZB984" s="337"/>
      <c r="MZC984" s="336"/>
      <c r="MZD984" s="337"/>
      <c r="MZE984" s="336"/>
      <c r="MZF984" s="337"/>
      <c r="MZG984" s="336"/>
      <c r="MZH984" s="337"/>
      <c r="MZI984" s="336"/>
      <c r="MZJ984" s="337"/>
      <c r="MZK984" s="336"/>
      <c r="MZL984" s="337"/>
      <c r="MZM984" s="336"/>
      <c r="MZN984" s="337"/>
      <c r="MZO984" s="336"/>
      <c r="MZP984" s="337"/>
      <c r="MZQ984" s="336"/>
      <c r="MZR984" s="337"/>
      <c r="MZS984" s="336"/>
      <c r="MZT984" s="337"/>
      <c r="MZU984" s="336"/>
      <c r="MZV984" s="337"/>
      <c r="MZW984" s="336"/>
      <c r="MZX984" s="337"/>
      <c r="MZY984" s="336"/>
      <c r="MZZ984" s="337"/>
      <c r="NAA984" s="336"/>
      <c r="NAB984" s="337"/>
      <c r="NAC984" s="336"/>
      <c r="NAD984" s="337"/>
      <c r="NAE984" s="336"/>
      <c r="NAF984" s="337"/>
      <c r="NAG984" s="336"/>
      <c r="NAH984" s="337"/>
      <c r="NAI984" s="336"/>
      <c r="NAJ984" s="337"/>
      <c r="NAK984" s="336"/>
      <c r="NAL984" s="337"/>
      <c r="NAM984" s="336"/>
      <c r="NAN984" s="337"/>
      <c r="NAO984" s="336"/>
      <c r="NAP984" s="337"/>
      <c r="NAQ984" s="336"/>
      <c r="NAR984" s="337"/>
      <c r="NAS984" s="336"/>
      <c r="NAT984" s="337"/>
      <c r="NAU984" s="336"/>
      <c r="NAV984" s="337"/>
      <c r="NAW984" s="336"/>
      <c r="NAX984" s="337"/>
      <c r="NAY984" s="336"/>
      <c r="NAZ984" s="337"/>
      <c r="NBA984" s="336"/>
      <c r="NBB984" s="337"/>
      <c r="NBC984" s="336"/>
      <c r="NBD984" s="337"/>
      <c r="NBE984" s="336"/>
      <c r="NBF984" s="337"/>
      <c r="NBG984" s="336"/>
      <c r="NBH984" s="337"/>
      <c r="NBI984" s="336"/>
      <c r="NBJ984" s="337"/>
      <c r="NBK984" s="336"/>
      <c r="NBL984" s="337"/>
      <c r="NBM984" s="336"/>
      <c r="NBN984" s="337"/>
      <c r="NBO984" s="336"/>
      <c r="NBP984" s="337"/>
      <c r="NBQ984" s="336"/>
      <c r="NBR984" s="337"/>
      <c r="NBS984" s="336"/>
      <c r="NBT984" s="337"/>
      <c r="NBU984" s="336"/>
      <c r="NBV984" s="337"/>
      <c r="NBW984" s="336"/>
      <c r="NBX984" s="337"/>
      <c r="NBY984" s="336"/>
      <c r="NBZ984" s="337"/>
      <c r="NCA984" s="336"/>
      <c r="NCB984" s="337"/>
      <c r="NCC984" s="336"/>
      <c r="NCD984" s="337"/>
      <c r="NCE984" s="336"/>
      <c r="NCF984" s="337"/>
      <c r="NCG984" s="336"/>
      <c r="NCH984" s="337"/>
      <c r="NCI984" s="336"/>
      <c r="NCJ984" s="337"/>
      <c r="NCK984" s="336"/>
      <c r="NCL984" s="337"/>
      <c r="NCM984" s="336"/>
      <c r="NCN984" s="337"/>
      <c r="NCO984" s="336"/>
      <c r="NCP984" s="337"/>
      <c r="NCQ984" s="336"/>
      <c r="NCR984" s="337"/>
      <c r="NCS984" s="336"/>
      <c r="NCT984" s="337"/>
      <c r="NCU984" s="336"/>
      <c r="NCV984" s="337"/>
      <c r="NCW984" s="336"/>
      <c r="NCX984" s="337"/>
      <c r="NCY984" s="336"/>
      <c r="NCZ984" s="337"/>
      <c r="NDA984" s="336"/>
      <c r="NDB984" s="337"/>
      <c r="NDC984" s="336"/>
      <c r="NDD984" s="337"/>
      <c r="NDE984" s="336"/>
      <c r="NDF984" s="337"/>
      <c r="NDG984" s="336"/>
      <c r="NDH984" s="337"/>
      <c r="NDI984" s="336"/>
      <c r="NDJ984" s="337"/>
      <c r="NDK984" s="336"/>
      <c r="NDL984" s="337"/>
      <c r="NDM984" s="336"/>
      <c r="NDN984" s="337"/>
      <c r="NDO984" s="336"/>
      <c r="NDP984" s="337"/>
      <c r="NDQ984" s="336"/>
      <c r="NDR984" s="337"/>
      <c r="NDS984" s="336"/>
      <c r="NDT984" s="337"/>
      <c r="NDU984" s="336"/>
      <c r="NDV984" s="337"/>
      <c r="NDW984" s="336"/>
      <c r="NDX984" s="337"/>
      <c r="NDY984" s="336"/>
      <c r="NDZ984" s="337"/>
      <c r="NEA984" s="336"/>
      <c r="NEB984" s="337"/>
      <c r="NEC984" s="336"/>
      <c r="NED984" s="337"/>
      <c r="NEE984" s="336"/>
      <c r="NEF984" s="337"/>
      <c r="NEG984" s="336"/>
      <c r="NEH984" s="337"/>
      <c r="NEI984" s="336"/>
      <c r="NEJ984" s="337"/>
      <c r="NEK984" s="336"/>
      <c r="NEL984" s="337"/>
      <c r="NEM984" s="336"/>
      <c r="NEN984" s="337"/>
      <c r="NEO984" s="336"/>
      <c r="NEP984" s="337"/>
      <c r="NEQ984" s="336"/>
      <c r="NER984" s="337"/>
      <c r="NES984" s="336"/>
      <c r="NET984" s="337"/>
      <c r="NEU984" s="336"/>
      <c r="NEV984" s="337"/>
      <c r="NEW984" s="336"/>
      <c r="NEX984" s="337"/>
      <c r="NEY984" s="336"/>
      <c r="NEZ984" s="337"/>
      <c r="NFA984" s="336"/>
      <c r="NFB984" s="337"/>
      <c r="NFC984" s="336"/>
      <c r="NFD984" s="337"/>
      <c r="NFE984" s="336"/>
      <c r="NFF984" s="337"/>
      <c r="NFG984" s="336"/>
      <c r="NFH984" s="337"/>
      <c r="NFI984" s="336"/>
      <c r="NFJ984" s="337"/>
      <c r="NFK984" s="336"/>
      <c r="NFL984" s="337"/>
      <c r="NFM984" s="336"/>
      <c r="NFN984" s="337"/>
      <c r="NFO984" s="336"/>
      <c r="NFP984" s="337"/>
      <c r="NFQ984" s="336"/>
      <c r="NFR984" s="337"/>
      <c r="NFS984" s="336"/>
      <c r="NFT984" s="337"/>
      <c r="NFU984" s="336"/>
      <c r="NFV984" s="337"/>
      <c r="NFW984" s="336"/>
      <c r="NFX984" s="337"/>
      <c r="NFY984" s="336"/>
      <c r="NFZ984" s="337"/>
      <c r="NGA984" s="336"/>
      <c r="NGB984" s="337"/>
      <c r="NGC984" s="336"/>
      <c r="NGD984" s="337"/>
      <c r="NGE984" s="336"/>
      <c r="NGF984" s="337"/>
      <c r="NGG984" s="336"/>
      <c r="NGH984" s="337"/>
      <c r="NGI984" s="336"/>
      <c r="NGJ984" s="337"/>
      <c r="NGK984" s="336"/>
      <c r="NGL984" s="337"/>
      <c r="NGM984" s="336"/>
      <c r="NGN984" s="337"/>
      <c r="NGO984" s="336"/>
      <c r="NGP984" s="337"/>
      <c r="NGQ984" s="336"/>
      <c r="NGR984" s="337"/>
      <c r="NGS984" s="336"/>
      <c r="NGT984" s="337"/>
      <c r="NGU984" s="336"/>
      <c r="NGV984" s="337"/>
      <c r="NGW984" s="336"/>
      <c r="NGX984" s="337"/>
      <c r="NGY984" s="336"/>
      <c r="NGZ984" s="337"/>
      <c r="NHA984" s="336"/>
      <c r="NHB984" s="337"/>
      <c r="NHC984" s="336"/>
      <c r="NHD984" s="337"/>
      <c r="NHE984" s="336"/>
      <c r="NHF984" s="337"/>
      <c r="NHG984" s="336"/>
      <c r="NHH984" s="337"/>
      <c r="NHI984" s="336"/>
      <c r="NHJ984" s="337"/>
      <c r="NHK984" s="336"/>
      <c r="NHL984" s="337"/>
      <c r="NHM984" s="336"/>
      <c r="NHN984" s="337"/>
      <c r="NHO984" s="336"/>
      <c r="NHP984" s="337"/>
      <c r="NHQ984" s="336"/>
      <c r="NHR984" s="337"/>
      <c r="NHS984" s="336"/>
      <c r="NHT984" s="337"/>
      <c r="NHU984" s="336"/>
      <c r="NHV984" s="337"/>
      <c r="NHW984" s="336"/>
      <c r="NHX984" s="337"/>
      <c r="NHY984" s="336"/>
      <c r="NHZ984" s="337"/>
      <c r="NIA984" s="336"/>
      <c r="NIB984" s="337"/>
      <c r="NIC984" s="336"/>
      <c r="NID984" s="337"/>
      <c r="NIE984" s="336"/>
      <c r="NIF984" s="337"/>
      <c r="NIG984" s="336"/>
      <c r="NIH984" s="337"/>
      <c r="NII984" s="336"/>
      <c r="NIJ984" s="337"/>
      <c r="NIK984" s="336"/>
      <c r="NIL984" s="337"/>
      <c r="NIM984" s="336"/>
      <c r="NIN984" s="337"/>
      <c r="NIO984" s="336"/>
      <c r="NIP984" s="337"/>
      <c r="NIQ984" s="336"/>
      <c r="NIR984" s="337"/>
      <c r="NIS984" s="336"/>
      <c r="NIT984" s="337"/>
      <c r="NIU984" s="336"/>
      <c r="NIV984" s="337"/>
      <c r="NIW984" s="336"/>
      <c r="NIX984" s="337"/>
      <c r="NIY984" s="336"/>
      <c r="NIZ984" s="337"/>
      <c r="NJA984" s="336"/>
      <c r="NJB984" s="337"/>
      <c r="NJC984" s="336"/>
      <c r="NJD984" s="337"/>
      <c r="NJE984" s="336"/>
      <c r="NJF984" s="337"/>
      <c r="NJG984" s="336"/>
      <c r="NJH984" s="337"/>
      <c r="NJI984" s="336"/>
      <c r="NJJ984" s="337"/>
      <c r="NJK984" s="336"/>
      <c r="NJL984" s="337"/>
      <c r="NJM984" s="336"/>
      <c r="NJN984" s="337"/>
      <c r="NJO984" s="336"/>
      <c r="NJP984" s="337"/>
      <c r="NJQ984" s="336"/>
      <c r="NJR984" s="337"/>
      <c r="NJS984" s="336"/>
      <c r="NJT984" s="337"/>
      <c r="NJU984" s="336"/>
      <c r="NJV984" s="337"/>
      <c r="NJW984" s="336"/>
      <c r="NJX984" s="337"/>
      <c r="NJY984" s="336"/>
      <c r="NJZ984" s="337"/>
      <c r="NKA984" s="336"/>
      <c r="NKB984" s="337"/>
      <c r="NKC984" s="336"/>
      <c r="NKD984" s="337"/>
      <c r="NKE984" s="336"/>
      <c r="NKF984" s="337"/>
      <c r="NKG984" s="336"/>
      <c r="NKH984" s="337"/>
      <c r="NKI984" s="336"/>
      <c r="NKJ984" s="337"/>
      <c r="NKK984" s="336"/>
      <c r="NKL984" s="337"/>
      <c r="NKM984" s="336"/>
      <c r="NKN984" s="337"/>
      <c r="NKO984" s="336"/>
      <c r="NKP984" s="337"/>
      <c r="NKQ984" s="336"/>
      <c r="NKR984" s="337"/>
      <c r="NKS984" s="336"/>
      <c r="NKT984" s="337"/>
      <c r="NKU984" s="336"/>
      <c r="NKV984" s="337"/>
      <c r="NKW984" s="336"/>
      <c r="NKX984" s="337"/>
      <c r="NKY984" s="336"/>
      <c r="NKZ984" s="337"/>
      <c r="NLA984" s="336"/>
      <c r="NLB984" s="337"/>
      <c r="NLC984" s="336"/>
      <c r="NLD984" s="337"/>
      <c r="NLE984" s="336"/>
      <c r="NLF984" s="337"/>
      <c r="NLG984" s="336"/>
      <c r="NLH984" s="337"/>
      <c r="NLI984" s="336"/>
      <c r="NLJ984" s="337"/>
      <c r="NLK984" s="336"/>
      <c r="NLL984" s="337"/>
      <c r="NLM984" s="336"/>
      <c r="NLN984" s="337"/>
      <c r="NLO984" s="336"/>
      <c r="NLP984" s="337"/>
      <c r="NLQ984" s="336"/>
      <c r="NLR984" s="337"/>
      <c r="NLS984" s="336"/>
      <c r="NLT984" s="337"/>
      <c r="NLU984" s="336"/>
      <c r="NLV984" s="337"/>
      <c r="NLW984" s="336"/>
      <c r="NLX984" s="337"/>
      <c r="NLY984" s="336"/>
      <c r="NLZ984" s="337"/>
      <c r="NMA984" s="336"/>
      <c r="NMB984" s="337"/>
      <c r="NMC984" s="336"/>
      <c r="NMD984" s="337"/>
      <c r="NME984" s="336"/>
      <c r="NMF984" s="337"/>
      <c r="NMG984" s="336"/>
      <c r="NMH984" s="337"/>
      <c r="NMI984" s="336"/>
      <c r="NMJ984" s="337"/>
      <c r="NMK984" s="336"/>
      <c r="NML984" s="337"/>
      <c r="NMM984" s="336"/>
      <c r="NMN984" s="337"/>
      <c r="NMO984" s="336"/>
      <c r="NMP984" s="337"/>
      <c r="NMQ984" s="336"/>
      <c r="NMR984" s="337"/>
      <c r="NMS984" s="336"/>
      <c r="NMT984" s="337"/>
      <c r="NMU984" s="336"/>
      <c r="NMV984" s="337"/>
      <c r="NMW984" s="336"/>
      <c r="NMX984" s="337"/>
      <c r="NMY984" s="336"/>
      <c r="NMZ984" s="337"/>
      <c r="NNA984" s="336"/>
      <c r="NNB984" s="337"/>
      <c r="NNC984" s="336"/>
      <c r="NND984" s="337"/>
      <c r="NNE984" s="336"/>
      <c r="NNF984" s="337"/>
      <c r="NNG984" s="336"/>
      <c r="NNH984" s="337"/>
      <c r="NNI984" s="336"/>
      <c r="NNJ984" s="337"/>
      <c r="NNK984" s="336"/>
      <c r="NNL984" s="337"/>
      <c r="NNM984" s="336"/>
      <c r="NNN984" s="337"/>
      <c r="NNO984" s="336"/>
      <c r="NNP984" s="337"/>
      <c r="NNQ984" s="336"/>
      <c r="NNR984" s="337"/>
      <c r="NNS984" s="336"/>
      <c r="NNT984" s="337"/>
      <c r="NNU984" s="336"/>
      <c r="NNV984" s="337"/>
      <c r="NNW984" s="336"/>
      <c r="NNX984" s="337"/>
      <c r="NNY984" s="336"/>
      <c r="NNZ984" s="337"/>
      <c r="NOA984" s="336"/>
      <c r="NOB984" s="337"/>
      <c r="NOC984" s="336"/>
      <c r="NOD984" s="337"/>
      <c r="NOE984" s="336"/>
      <c r="NOF984" s="337"/>
      <c r="NOG984" s="336"/>
      <c r="NOH984" s="337"/>
      <c r="NOI984" s="336"/>
      <c r="NOJ984" s="337"/>
      <c r="NOK984" s="336"/>
      <c r="NOL984" s="337"/>
      <c r="NOM984" s="336"/>
      <c r="NON984" s="337"/>
      <c r="NOO984" s="336"/>
      <c r="NOP984" s="337"/>
      <c r="NOQ984" s="336"/>
      <c r="NOR984" s="337"/>
      <c r="NOS984" s="336"/>
      <c r="NOT984" s="337"/>
      <c r="NOU984" s="336"/>
      <c r="NOV984" s="337"/>
      <c r="NOW984" s="336"/>
      <c r="NOX984" s="337"/>
      <c r="NOY984" s="336"/>
      <c r="NOZ984" s="337"/>
      <c r="NPA984" s="336"/>
      <c r="NPB984" s="337"/>
      <c r="NPC984" s="336"/>
      <c r="NPD984" s="337"/>
      <c r="NPE984" s="336"/>
      <c r="NPF984" s="337"/>
      <c r="NPG984" s="336"/>
      <c r="NPH984" s="337"/>
      <c r="NPI984" s="336"/>
      <c r="NPJ984" s="337"/>
      <c r="NPK984" s="336"/>
      <c r="NPL984" s="337"/>
      <c r="NPM984" s="336"/>
      <c r="NPN984" s="337"/>
      <c r="NPO984" s="336"/>
      <c r="NPP984" s="337"/>
      <c r="NPQ984" s="336"/>
      <c r="NPR984" s="337"/>
      <c r="NPS984" s="336"/>
      <c r="NPT984" s="337"/>
      <c r="NPU984" s="336"/>
      <c r="NPV984" s="337"/>
      <c r="NPW984" s="336"/>
      <c r="NPX984" s="337"/>
      <c r="NPY984" s="336"/>
      <c r="NPZ984" s="337"/>
      <c r="NQA984" s="336"/>
      <c r="NQB984" s="337"/>
      <c r="NQC984" s="336"/>
      <c r="NQD984" s="337"/>
      <c r="NQE984" s="336"/>
      <c r="NQF984" s="337"/>
      <c r="NQG984" s="336"/>
      <c r="NQH984" s="337"/>
      <c r="NQI984" s="336"/>
      <c r="NQJ984" s="337"/>
      <c r="NQK984" s="336"/>
      <c r="NQL984" s="337"/>
      <c r="NQM984" s="336"/>
      <c r="NQN984" s="337"/>
      <c r="NQO984" s="336"/>
      <c r="NQP984" s="337"/>
      <c r="NQQ984" s="336"/>
      <c r="NQR984" s="337"/>
      <c r="NQS984" s="336"/>
      <c r="NQT984" s="337"/>
      <c r="NQU984" s="336"/>
      <c r="NQV984" s="337"/>
      <c r="NQW984" s="336"/>
      <c r="NQX984" s="337"/>
      <c r="NQY984" s="336"/>
      <c r="NQZ984" s="337"/>
      <c r="NRA984" s="336"/>
      <c r="NRB984" s="337"/>
      <c r="NRC984" s="336"/>
      <c r="NRD984" s="337"/>
      <c r="NRE984" s="336"/>
      <c r="NRF984" s="337"/>
      <c r="NRG984" s="336"/>
      <c r="NRH984" s="337"/>
      <c r="NRI984" s="336"/>
      <c r="NRJ984" s="337"/>
      <c r="NRK984" s="336"/>
      <c r="NRL984" s="337"/>
      <c r="NRM984" s="336"/>
      <c r="NRN984" s="337"/>
      <c r="NRO984" s="336"/>
      <c r="NRP984" s="337"/>
      <c r="NRQ984" s="336"/>
      <c r="NRR984" s="337"/>
      <c r="NRS984" s="336"/>
      <c r="NRT984" s="337"/>
      <c r="NRU984" s="336"/>
      <c r="NRV984" s="337"/>
      <c r="NRW984" s="336"/>
      <c r="NRX984" s="337"/>
      <c r="NRY984" s="336"/>
      <c r="NRZ984" s="337"/>
      <c r="NSA984" s="336"/>
      <c r="NSB984" s="337"/>
      <c r="NSC984" s="336"/>
      <c r="NSD984" s="337"/>
      <c r="NSE984" s="336"/>
      <c r="NSF984" s="337"/>
      <c r="NSG984" s="336"/>
      <c r="NSH984" s="337"/>
      <c r="NSI984" s="336"/>
      <c r="NSJ984" s="337"/>
      <c r="NSK984" s="336"/>
      <c r="NSL984" s="337"/>
      <c r="NSM984" s="336"/>
      <c r="NSN984" s="337"/>
      <c r="NSO984" s="336"/>
      <c r="NSP984" s="337"/>
      <c r="NSQ984" s="336"/>
      <c r="NSR984" s="337"/>
      <c r="NSS984" s="336"/>
      <c r="NST984" s="337"/>
      <c r="NSU984" s="336"/>
      <c r="NSV984" s="337"/>
      <c r="NSW984" s="336"/>
      <c r="NSX984" s="337"/>
      <c r="NSY984" s="336"/>
      <c r="NSZ984" s="337"/>
      <c r="NTA984" s="336"/>
      <c r="NTB984" s="337"/>
      <c r="NTC984" s="336"/>
      <c r="NTD984" s="337"/>
      <c r="NTE984" s="336"/>
      <c r="NTF984" s="337"/>
      <c r="NTG984" s="336"/>
      <c r="NTH984" s="337"/>
      <c r="NTI984" s="336"/>
      <c r="NTJ984" s="337"/>
      <c r="NTK984" s="336"/>
      <c r="NTL984" s="337"/>
      <c r="NTM984" s="336"/>
      <c r="NTN984" s="337"/>
      <c r="NTO984" s="336"/>
      <c r="NTP984" s="337"/>
      <c r="NTQ984" s="336"/>
      <c r="NTR984" s="337"/>
      <c r="NTS984" s="336"/>
      <c r="NTT984" s="337"/>
      <c r="NTU984" s="336"/>
      <c r="NTV984" s="337"/>
      <c r="NTW984" s="336"/>
      <c r="NTX984" s="337"/>
      <c r="NTY984" s="336"/>
      <c r="NTZ984" s="337"/>
      <c r="NUA984" s="336"/>
      <c r="NUB984" s="337"/>
      <c r="NUC984" s="336"/>
      <c r="NUD984" s="337"/>
      <c r="NUE984" s="336"/>
      <c r="NUF984" s="337"/>
      <c r="NUG984" s="336"/>
      <c r="NUH984" s="337"/>
      <c r="NUI984" s="336"/>
      <c r="NUJ984" s="337"/>
      <c r="NUK984" s="336"/>
      <c r="NUL984" s="337"/>
      <c r="NUM984" s="336"/>
      <c r="NUN984" s="337"/>
      <c r="NUO984" s="336"/>
      <c r="NUP984" s="337"/>
      <c r="NUQ984" s="336"/>
      <c r="NUR984" s="337"/>
      <c r="NUS984" s="336"/>
      <c r="NUT984" s="337"/>
      <c r="NUU984" s="336"/>
      <c r="NUV984" s="337"/>
      <c r="NUW984" s="336"/>
      <c r="NUX984" s="337"/>
      <c r="NUY984" s="336"/>
      <c r="NUZ984" s="337"/>
      <c r="NVA984" s="336"/>
      <c r="NVB984" s="337"/>
      <c r="NVC984" s="336"/>
      <c r="NVD984" s="337"/>
      <c r="NVE984" s="336"/>
      <c r="NVF984" s="337"/>
      <c r="NVG984" s="336"/>
      <c r="NVH984" s="337"/>
      <c r="NVI984" s="336"/>
      <c r="NVJ984" s="337"/>
      <c r="NVK984" s="336"/>
      <c r="NVL984" s="337"/>
      <c r="NVM984" s="336"/>
      <c r="NVN984" s="337"/>
      <c r="NVO984" s="336"/>
      <c r="NVP984" s="337"/>
      <c r="NVQ984" s="336"/>
      <c r="NVR984" s="337"/>
      <c r="NVS984" s="336"/>
      <c r="NVT984" s="337"/>
      <c r="NVU984" s="336"/>
      <c r="NVV984" s="337"/>
      <c r="NVW984" s="336"/>
      <c r="NVX984" s="337"/>
      <c r="NVY984" s="336"/>
      <c r="NVZ984" s="337"/>
      <c r="NWA984" s="336"/>
      <c r="NWB984" s="337"/>
      <c r="NWC984" s="336"/>
      <c r="NWD984" s="337"/>
      <c r="NWE984" s="336"/>
      <c r="NWF984" s="337"/>
      <c r="NWG984" s="336"/>
      <c r="NWH984" s="337"/>
      <c r="NWI984" s="336"/>
      <c r="NWJ984" s="337"/>
      <c r="NWK984" s="336"/>
      <c r="NWL984" s="337"/>
      <c r="NWM984" s="336"/>
      <c r="NWN984" s="337"/>
      <c r="NWO984" s="336"/>
      <c r="NWP984" s="337"/>
      <c r="NWQ984" s="336"/>
      <c r="NWR984" s="337"/>
      <c r="NWS984" s="336"/>
      <c r="NWT984" s="337"/>
      <c r="NWU984" s="336"/>
      <c r="NWV984" s="337"/>
      <c r="NWW984" s="336"/>
      <c r="NWX984" s="337"/>
      <c r="NWY984" s="336"/>
      <c r="NWZ984" s="337"/>
      <c r="NXA984" s="336"/>
      <c r="NXB984" s="337"/>
      <c r="NXC984" s="336"/>
      <c r="NXD984" s="337"/>
      <c r="NXE984" s="336"/>
      <c r="NXF984" s="337"/>
      <c r="NXG984" s="336"/>
      <c r="NXH984" s="337"/>
      <c r="NXI984" s="336"/>
      <c r="NXJ984" s="337"/>
      <c r="NXK984" s="336"/>
      <c r="NXL984" s="337"/>
      <c r="NXM984" s="336"/>
      <c r="NXN984" s="337"/>
      <c r="NXO984" s="336"/>
      <c r="NXP984" s="337"/>
      <c r="NXQ984" s="336"/>
      <c r="NXR984" s="337"/>
      <c r="NXS984" s="336"/>
      <c r="NXT984" s="337"/>
      <c r="NXU984" s="336"/>
      <c r="NXV984" s="337"/>
      <c r="NXW984" s="336"/>
      <c r="NXX984" s="337"/>
      <c r="NXY984" s="336"/>
      <c r="NXZ984" s="337"/>
      <c r="NYA984" s="336"/>
      <c r="NYB984" s="337"/>
      <c r="NYC984" s="336"/>
      <c r="NYD984" s="337"/>
      <c r="NYE984" s="336"/>
      <c r="NYF984" s="337"/>
      <c r="NYG984" s="336"/>
      <c r="NYH984" s="337"/>
      <c r="NYI984" s="336"/>
      <c r="NYJ984" s="337"/>
      <c r="NYK984" s="336"/>
      <c r="NYL984" s="337"/>
      <c r="NYM984" s="336"/>
      <c r="NYN984" s="337"/>
      <c r="NYO984" s="336"/>
      <c r="NYP984" s="337"/>
      <c r="NYQ984" s="336"/>
      <c r="NYR984" s="337"/>
      <c r="NYS984" s="336"/>
      <c r="NYT984" s="337"/>
      <c r="NYU984" s="336"/>
      <c r="NYV984" s="337"/>
      <c r="NYW984" s="336"/>
      <c r="NYX984" s="337"/>
      <c r="NYY984" s="336"/>
      <c r="NYZ984" s="337"/>
      <c r="NZA984" s="336"/>
      <c r="NZB984" s="337"/>
      <c r="NZC984" s="336"/>
      <c r="NZD984" s="337"/>
      <c r="NZE984" s="336"/>
      <c r="NZF984" s="337"/>
      <c r="NZG984" s="336"/>
      <c r="NZH984" s="337"/>
      <c r="NZI984" s="336"/>
      <c r="NZJ984" s="337"/>
      <c r="NZK984" s="336"/>
      <c r="NZL984" s="337"/>
      <c r="NZM984" s="336"/>
      <c r="NZN984" s="337"/>
      <c r="NZO984" s="336"/>
      <c r="NZP984" s="337"/>
      <c r="NZQ984" s="336"/>
      <c r="NZR984" s="337"/>
      <c r="NZS984" s="336"/>
      <c r="NZT984" s="337"/>
      <c r="NZU984" s="336"/>
      <c r="NZV984" s="337"/>
      <c r="NZW984" s="336"/>
      <c r="NZX984" s="337"/>
      <c r="NZY984" s="336"/>
      <c r="NZZ984" s="337"/>
      <c r="OAA984" s="336"/>
      <c r="OAB984" s="337"/>
      <c r="OAC984" s="336"/>
      <c r="OAD984" s="337"/>
      <c r="OAE984" s="336"/>
      <c r="OAF984" s="337"/>
      <c r="OAG984" s="336"/>
      <c r="OAH984" s="337"/>
      <c r="OAI984" s="336"/>
      <c r="OAJ984" s="337"/>
      <c r="OAK984" s="336"/>
      <c r="OAL984" s="337"/>
      <c r="OAM984" s="336"/>
      <c r="OAN984" s="337"/>
      <c r="OAO984" s="336"/>
      <c r="OAP984" s="337"/>
      <c r="OAQ984" s="336"/>
      <c r="OAR984" s="337"/>
      <c r="OAS984" s="336"/>
      <c r="OAT984" s="337"/>
      <c r="OAU984" s="336"/>
      <c r="OAV984" s="337"/>
      <c r="OAW984" s="336"/>
      <c r="OAX984" s="337"/>
      <c r="OAY984" s="336"/>
      <c r="OAZ984" s="337"/>
      <c r="OBA984" s="336"/>
      <c r="OBB984" s="337"/>
      <c r="OBC984" s="336"/>
      <c r="OBD984" s="337"/>
      <c r="OBE984" s="336"/>
      <c r="OBF984" s="337"/>
      <c r="OBG984" s="336"/>
      <c r="OBH984" s="337"/>
      <c r="OBI984" s="336"/>
      <c r="OBJ984" s="337"/>
      <c r="OBK984" s="336"/>
      <c r="OBL984" s="337"/>
      <c r="OBM984" s="336"/>
      <c r="OBN984" s="337"/>
      <c r="OBO984" s="336"/>
      <c r="OBP984" s="337"/>
      <c r="OBQ984" s="336"/>
      <c r="OBR984" s="337"/>
      <c r="OBS984" s="336"/>
      <c r="OBT984" s="337"/>
      <c r="OBU984" s="336"/>
      <c r="OBV984" s="337"/>
      <c r="OBW984" s="336"/>
      <c r="OBX984" s="337"/>
      <c r="OBY984" s="336"/>
      <c r="OBZ984" s="337"/>
      <c r="OCA984" s="336"/>
      <c r="OCB984" s="337"/>
      <c r="OCC984" s="336"/>
      <c r="OCD984" s="337"/>
      <c r="OCE984" s="336"/>
      <c r="OCF984" s="337"/>
      <c r="OCG984" s="336"/>
      <c r="OCH984" s="337"/>
      <c r="OCI984" s="336"/>
      <c r="OCJ984" s="337"/>
      <c r="OCK984" s="336"/>
      <c r="OCL984" s="337"/>
      <c r="OCM984" s="336"/>
      <c r="OCN984" s="337"/>
      <c r="OCO984" s="336"/>
      <c r="OCP984" s="337"/>
      <c r="OCQ984" s="336"/>
      <c r="OCR984" s="337"/>
      <c r="OCS984" s="336"/>
      <c r="OCT984" s="337"/>
      <c r="OCU984" s="336"/>
      <c r="OCV984" s="337"/>
      <c r="OCW984" s="336"/>
      <c r="OCX984" s="337"/>
      <c r="OCY984" s="336"/>
      <c r="OCZ984" s="337"/>
      <c r="ODA984" s="336"/>
      <c r="ODB984" s="337"/>
      <c r="ODC984" s="336"/>
      <c r="ODD984" s="337"/>
      <c r="ODE984" s="336"/>
      <c r="ODF984" s="337"/>
      <c r="ODG984" s="336"/>
      <c r="ODH984" s="337"/>
      <c r="ODI984" s="336"/>
      <c r="ODJ984" s="337"/>
      <c r="ODK984" s="336"/>
      <c r="ODL984" s="337"/>
      <c r="ODM984" s="336"/>
      <c r="ODN984" s="337"/>
      <c r="ODO984" s="336"/>
      <c r="ODP984" s="337"/>
      <c r="ODQ984" s="336"/>
      <c r="ODR984" s="337"/>
      <c r="ODS984" s="336"/>
      <c r="ODT984" s="337"/>
      <c r="ODU984" s="336"/>
      <c r="ODV984" s="337"/>
      <c r="ODW984" s="336"/>
      <c r="ODX984" s="337"/>
      <c r="ODY984" s="336"/>
      <c r="ODZ984" s="337"/>
      <c r="OEA984" s="336"/>
      <c r="OEB984" s="337"/>
      <c r="OEC984" s="336"/>
      <c r="OED984" s="337"/>
      <c r="OEE984" s="336"/>
      <c r="OEF984" s="337"/>
      <c r="OEG984" s="336"/>
      <c r="OEH984" s="337"/>
      <c r="OEI984" s="336"/>
      <c r="OEJ984" s="337"/>
      <c r="OEK984" s="336"/>
      <c r="OEL984" s="337"/>
      <c r="OEM984" s="336"/>
      <c r="OEN984" s="337"/>
      <c r="OEO984" s="336"/>
      <c r="OEP984" s="337"/>
      <c r="OEQ984" s="336"/>
      <c r="OER984" s="337"/>
      <c r="OES984" s="336"/>
      <c r="OET984" s="337"/>
      <c r="OEU984" s="336"/>
      <c r="OEV984" s="337"/>
      <c r="OEW984" s="336"/>
      <c r="OEX984" s="337"/>
      <c r="OEY984" s="336"/>
      <c r="OEZ984" s="337"/>
      <c r="OFA984" s="336"/>
      <c r="OFB984" s="337"/>
      <c r="OFC984" s="336"/>
      <c r="OFD984" s="337"/>
      <c r="OFE984" s="336"/>
      <c r="OFF984" s="337"/>
      <c r="OFG984" s="336"/>
      <c r="OFH984" s="337"/>
      <c r="OFI984" s="336"/>
      <c r="OFJ984" s="337"/>
      <c r="OFK984" s="336"/>
      <c r="OFL984" s="337"/>
      <c r="OFM984" s="336"/>
      <c r="OFN984" s="337"/>
      <c r="OFO984" s="336"/>
      <c r="OFP984" s="337"/>
      <c r="OFQ984" s="336"/>
      <c r="OFR984" s="337"/>
      <c r="OFS984" s="336"/>
      <c r="OFT984" s="337"/>
      <c r="OFU984" s="336"/>
      <c r="OFV984" s="337"/>
      <c r="OFW984" s="336"/>
      <c r="OFX984" s="337"/>
      <c r="OFY984" s="336"/>
      <c r="OFZ984" s="337"/>
      <c r="OGA984" s="336"/>
      <c r="OGB984" s="337"/>
      <c r="OGC984" s="336"/>
      <c r="OGD984" s="337"/>
      <c r="OGE984" s="336"/>
      <c r="OGF984" s="337"/>
      <c r="OGG984" s="336"/>
      <c r="OGH984" s="337"/>
      <c r="OGI984" s="336"/>
      <c r="OGJ984" s="337"/>
      <c r="OGK984" s="336"/>
      <c r="OGL984" s="337"/>
      <c r="OGM984" s="336"/>
      <c r="OGN984" s="337"/>
      <c r="OGO984" s="336"/>
      <c r="OGP984" s="337"/>
      <c r="OGQ984" s="336"/>
      <c r="OGR984" s="337"/>
      <c r="OGS984" s="336"/>
      <c r="OGT984" s="337"/>
      <c r="OGU984" s="336"/>
      <c r="OGV984" s="337"/>
      <c r="OGW984" s="336"/>
      <c r="OGX984" s="337"/>
      <c r="OGY984" s="336"/>
      <c r="OGZ984" s="337"/>
      <c r="OHA984" s="336"/>
      <c r="OHB984" s="337"/>
      <c r="OHC984" s="336"/>
      <c r="OHD984" s="337"/>
      <c r="OHE984" s="336"/>
      <c r="OHF984" s="337"/>
      <c r="OHG984" s="336"/>
      <c r="OHH984" s="337"/>
      <c r="OHI984" s="336"/>
      <c r="OHJ984" s="337"/>
      <c r="OHK984" s="336"/>
      <c r="OHL984" s="337"/>
      <c r="OHM984" s="336"/>
      <c r="OHN984" s="337"/>
      <c r="OHO984" s="336"/>
      <c r="OHP984" s="337"/>
      <c r="OHQ984" s="336"/>
      <c r="OHR984" s="337"/>
      <c r="OHS984" s="336"/>
      <c r="OHT984" s="337"/>
      <c r="OHU984" s="336"/>
      <c r="OHV984" s="337"/>
      <c r="OHW984" s="336"/>
      <c r="OHX984" s="337"/>
      <c r="OHY984" s="336"/>
      <c r="OHZ984" s="337"/>
      <c r="OIA984" s="336"/>
      <c r="OIB984" s="337"/>
      <c r="OIC984" s="336"/>
      <c r="OID984" s="337"/>
      <c r="OIE984" s="336"/>
      <c r="OIF984" s="337"/>
      <c r="OIG984" s="336"/>
      <c r="OIH984" s="337"/>
      <c r="OII984" s="336"/>
      <c r="OIJ984" s="337"/>
      <c r="OIK984" s="336"/>
      <c r="OIL984" s="337"/>
      <c r="OIM984" s="336"/>
      <c r="OIN984" s="337"/>
      <c r="OIO984" s="336"/>
      <c r="OIP984" s="337"/>
      <c r="OIQ984" s="336"/>
      <c r="OIR984" s="337"/>
      <c r="OIS984" s="336"/>
      <c r="OIT984" s="337"/>
      <c r="OIU984" s="336"/>
      <c r="OIV984" s="337"/>
      <c r="OIW984" s="336"/>
      <c r="OIX984" s="337"/>
      <c r="OIY984" s="336"/>
      <c r="OIZ984" s="337"/>
      <c r="OJA984" s="336"/>
      <c r="OJB984" s="337"/>
      <c r="OJC984" s="336"/>
      <c r="OJD984" s="337"/>
      <c r="OJE984" s="336"/>
      <c r="OJF984" s="337"/>
      <c r="OJG984" s="336"/>
      <c r="OJH984" s="337"/>
      <c r="OJI984" s="336"/>
      <c r="OJJ984" s="337"/>
      <c r="OJK984" s="336"/>
      <c r="OJL984" s="337"/>
      <c r="OJM984" s="336"/>
      <c r="OJN984" s="337"/>
      <c r="OJO984" s="336"/>
      <c r="OJP984" s="337"/>
      <c r="OJQ984" s="336"/>
      <c r="OJR984" s="337"/>
      <c r="OJS984" s="336"/>
      <c r="OJT984" s="337"/>
      <c r="OJU984" s="336"/>
      <c r="OJV984" s="337"/>
      <c r="OJW984" s="336"/>
      <c r="OJX984" s="337"/>
      <c r="OJY984" s="336"/>
      <c r="OJZ984" s="337"/>
      <c r="OKA984" s="336"/>
      <c r="OKB984" s="337"/>
      <c r="OKC984" s="336"/>
      <c r="OKD984" s="337"/>
      <c r="OKE984" s="336"/>
      <c r="OKF984" s="337"/>
      <c r="OKG984" s="336"/>
      <c r="OKH984" s="337"/>
      <c r="OKI984" s="336"/>
      <c r="OKJ984" s="337"/>
      <c r="OKK984" s="336"/>
      <c r="OKL984" s="337"/>
      <c r="OKM984" s="336"/>
      <c r="OKN984" s="337"/>
      <c r="OKO984" s="336"/>
      <c r="OKP984" s="337"/>
      <c r="OKQ984" s="336"/>
      <c r="OKR984" s="337"/>
      <c r="OKS984" s="336"/>
      <c r="OKT984" s="337"/>
      <c r="OKU984" s="336"/>
      <c r="OKV984" s="337"/>
      <c r="OKW984" s="336"/>
      <c r="OKX984" s="337"/>
      <c r="OKY984" s="336"/>
      <c r="OKZ984" s="337"/>
      <c r="OLA984" s="336"/>
      <c r="OLB984" s="337"/>
      <c r="OLC984" s="336"/>
      <c r="OLD984" s="337"/>
      <c r="OLE984" s="336"/>
      <c r="OLF984" s="337"/>
      <c r="OLG984" s="336"/>
      <c r="OLH984" s="337"/>
      <c r="OLI984" s="336"/>
      <c r="OLJ984" s="337"/>
      <c r="OLK984" s="336"/>
      <c r="OLL984" s="337"/>
      <c r="OLM984" s="336"/>
      <c r="OLN984" s="337"/>
      <c r="OLO984" s="336"/>
      <c r="OLP984" s="337"/>
      <c r="OLQ984" s="336"/>
      <c r="OLR984" s="337"/>
      <c r="OLS984" s="336"/>
      <c r="OLT984" s="337"/>
      <c r="OLU984" s="336"/>
      <c r="OLV984" s="337"/>
      <c r="OLW984" s="336"/>
      <c r="OLX984" s="337"/>
      <c r="OLY984" s="336"/>
      <c r="OLZ984" s="337"/>
      <c r="OMA984" s="336"/>
      <c r="OMB984" s="337"/>
      <c r="OMC984" s="336"/>
      <c r="OMD984" s="337"/>
      <c r="OME984" s="336"/>
      <c r="OMF984" s="337"/>
      <c r="OMG984" s="336"/>
      <c r="OMH984" s="337"/>
      <c r="OMI984" s="336"/>
      <c r="OMJ984" s="337"/>
      <c r="OMK984" s="336"/>
      <c r="OML984" s="337"/>
      <c r="OMM984" s="336"/>
      <c r="OMN984" s="337"/>
      <c r="OMO984" s="336"/>
      <c r="OMP984" s="337"/>
      <c r="OMQ984" s="336"/>
      <c r="OMR984" s="337"/>
      <c r="OMS984" s="336"/>
      <c r="OMT984" s="337"/>
      <c r="OMU984" s="336"/>
      <c r="OMV984" s="337"/>
      <c r="OMW984" s="336"/>
      <c r="OMX984" s="337"/>
      <c r="OMY984" s="336"/>
      <c r="OMZ984" s="337"/>
      <c r="ONA984" s="336"/>
      <c r="ONB984" s="337"/>
      <c r="ONC984" s="336"/>
      <c r="OND984" s="337"/>
      <c r="ONE984" s="336"/>
      <c r="ONF984" s="337"/>
      <c r="ONG984" s="336"/>
      <c r="ONH984" s="337"/>
      <c r="ONI984" s="336"/>
      <c r="ONJ984" s="337"/>
      <c r="ONK984" s="336"/>
      <c r="ONL984" s="337"/>
      <c r="ONM984" s="336"/>
      <c r="ONN984" s="337"/>
      <c r="ONO984" s="336"/>
      <c r="ONP984" s="337"/>
      <c r="ONQ984" s="336"/>
      <c r="ONR984" s="337"/>
      <c r="ONS984" s="336"/>
      <c r="ONT984" s="337"/>
      <c r="ONU984" s="336"/>
      <c r="ONV984" s="337"/>
      <c r="ONW984" s="336"/>
      <c r="ONX984" s="337"/>
      <c r="ONY984" s="336"/>
      <c r="ONZ984" s="337"/>
      <c r="OOA984" s="336"/>
      <c r="OOB984" s="337"/>
      <c r="OOC984" s="336"/>
      <c r="OOD984" s="337"/>
      <c r="OOE984" s="336"/>
      <c r="OOF984" s="337"/>
      <c r="OOG984" s="336"/>
      <c r="OOH984" s="337"/>
      <c r="OOI984" s="336"/>
      <c r="OOJ984" s="337"/>
      <c r="OOK984" s="336"/>
      <c r="OOL984" s="337"/>
      <c r="OOM984" s="336"/>
      <c r="OON984" s="337"/>
      <c r="OOO984" s="336"/>
      <c r="OOP984" s="337"/>
      <c r="OOQ984" s="336"/>
      <c r="OOR984" s="337"/>
      <c r="OOS984" s="336"/>
      <c r="OOT984" s="337"/>
      <c r="OOU984" s="336"/>
      <c r="OOV984" s="337"/>
      <c r="OOW984" s="336"/>
      <c r="OOX984" s="337"/>
      <c r="OOY984" s="336"/>
      <c r="OOZ984" s="337"/>
      <c r="OPA984" s="336"/>
      <c r="OPB984" s="337"/>
      <c r="OPC984" s="336"/>
      <c r="OPD984" s="337"/>
      <c r="OPE984" s="336"/>
      <c r="OPF984" s="337"/>
      <c r="OPG984" s="336"/>
      <c r="OPH984" s="337"/>
      <c r="OPI984" s="336"/>
      <c r="OPJ984" s="337"/>
      <c r="OPK984" s="336"/>
      <c r="OPL984" s="337"/>
      <c r="OPM984" s="336"/>
      <c r="OPN984" s="337"/>
      <c r="OPO984" s="336"/>
      <c r="OPP984" s="337"/>
      <c r="OPQ984" s="336"/>
      <c r="OPR984" s="337"/>
      <c r="OPS984" s="336"/>
      <c r="OPT984" s="337"/>
      <c r="OPU984" s="336"/>
      <c r="OPV984" s="337"/>
      <c r="OPW984" s="336"/>
      <c r="OPX984" s="337"/>
      <c r="OPY984" s="336"/>
      <c r="OPZ984" s="337"/>
      <c r="OQA984" s="336"/>
      <c r="OQB984" s="337"/>
      <c r="OQC984" s="336"/>
      <c r="OQD984" s="337"/>
      <c r="OQE984" s="336"/>
      <c r="OQF984" s="337"/>
      <c r="OQG984" s="336"/>
      <c r="OQH984" s="337"/>
      <c r="OQI984" s="336"/>
      <c r="OQJ984" s="337"/>
      <c r="OQK984" s="336"/>
      <c r="OQL984" s="337"/>
      <c r="OQM984" s="336"/>
      <c r="OQN984" s="337"/>
      <c r="OQO984" s="336"/>
      <c r="OQP984" s="337"/>
      <c r="OQQ984" s="336"/>
      <c r="OQR984" s="337"/>
      <c r="OQS984" s="336"/>
      <c r="OQT984" s="337"/>
      <c r="OQU984" s="336"/>
      <c r="OQV984" s="337"/>
      <c r="OQW984" s="336"/>
      <c r="OQX984" s="337"/>
      <c r="OQY984" s="336"/>
      <c r="OQZ984" s="337"/>
      <c r="ORA984" s="336"/>
      <c r="ORB984" s="337"/>
      <c r="ORC984" s="336"/>
      <c r="ORD984" s="337"/>
      <c r="ORE984" s="336"/>
      <c r="ORF984" s="337"/>
      <c r="ORG984" s="336"/>
      <c r="ORH984" s="337"/>
      <c r="ORI984" s="336"/>
      <c r="ORJ984" s="337"/>
      <c r="ORK984" s="336"/>
      <c r="ORL984" s="337"/>
      <c r="ORM984" s="336"/>
      <c r="ORN984" s="337"/>
      <c r="ORO984" s="336"/>
      <c r="ORP984" s="337"/>
      <c r="ORQ984" s="336"/>
      <c r="ORR984" s="337"/>
      <c r="ORS984" s="336"/>
      <c r="ORT984" s="337"/>
      <c r="ORU984" s="336"/>
      <c r="ORV984" s="337"/>
      <c r="ORW984" s="336"/>
      <c r="ORX984" s="337"/>
      <c r="ORY984" s="336"/>
      <c r="ORZ984" s="337"/>
      <c r="OSA984" s="336"/>
      <c r="OSB984" s="337"/>
      <c r="OSC984" s="336"/>
      <c r="OSD984" s="337"/>
      <c r="OSE984" s="336"/>
      <c r="OSF984" s="337"/>
      <c r="OSG984" s="336"/>
      <c r="OSH984" s="337"/>
      <c r="OSI984" s="336"/>
      <c r="OSJ984" s="337"/>
      <c r="OSK984" s="336"/>
      <c r="OSL984" s="337"/>
      <c r="OSM984" s="336"/>
      <c r="OSN984" s="337"/>
      <c r="OSO984" s="336"/>
      <c r="OSP984" s="337"/>
      <c r="OSQ984" s="336"/>
      <c r="OSR984" s="337"/>
      <c r="OSS984" s="336"/>
      <c r="OST984" s="337"/>
      <c r="OSU984" s="336"/>
      <c r="OSV984" s="337"/>
      <c r="OSW984" s="336"/>
      <c r="OSX984" s="337"/>
      <c r="OSY984" s="336"/>
      <c r="OSZ984" s="337"/>
      <c r="OTA984" s="336"/>
      <c r="OTB984" s="337"/>
      <c r="OTC984" s="336"/>
      <c r="OTD984" s="337"/>
      <c r="OTE984" s="336"/>
      <c r="OTF984" s="337"/>
      <c r="OTG984" s="336"/>
      <c r="OTH984" s="337"/>
      <c r="OTI984" s="336"/>
      <c r="OTJ984" s="337"/>
      <c r="OTK984" s="336"/>
      <c r="OTL984" s="337"/>
      <c r="OTM984" s="336"/>
      <c r="OTN984" s="337"/>
      <c r="OTO984" s="336"/>
      <c r="OTP984" s="337"/>
      <c r="OTQ984" s="336"/>
      <c r="OTR984" s="337"/>
      <c r="OTS984" s="336"/>
      <c r="OTT984" s="337"/>
      <c r="OTU984" s="336"/>
      <c r="OTV984" s="337"/>
      <c r="OTW984" s="336"/>
      <c r="OTX984" s="337"/>
      <c r="OTY984" s="336"/>
      <c r="OTZ984" s="337"/>
      <c r="OUA984" s="336"/>
      <c r="OUB984" s="337"/>
      <c r="OUC984" s="336"/>
      <c r="OUD984" s="337"/>
      <c r="OUE984" s="336"/>
      <c r="OUF984" s="337"/>
      <c r="OUG984" s="336"/>
      <c r="OUH984" s="337"/>
      <c r="OUI984" s="336"/>
      <c r="OUJ984" s="337"/>
      <c r="OUK984" s="336"/>
      <c r="OUL984" s="337"/>
      <c r="OUM984" s="336"/>
      <c r="OUN984" s="337"/>
      <c r="OUO984" s="336"/>
      <c r="OUP984" s="337"/>
      <c r="OUQ984" s="336"/>
      <c r="OUR984" s="337"/>
      <c r="OUS984" s="336"/>
      <c r="OUT984" s="337"/>
      <c r="OUU984" s="336"/>
      <c r="OUV984" s="337"/>
      <c r="OUW984" s="336"/>
      <c r="OUX984" s="337"/>
      <c r="OUY984" s="336"/>
      <c r="OUZ984" s="337"/>
      <c r="OVA984" s="336"/>
      <c r="OVB984" s="337"/>
      <c r="OVC984" s="336"/>
      <c r="OVD984" s="337"/>
      <c r="OVE984" s="336"/>
      <c r="OVF984" s="337"/>
      <c r="OVG984" s="336"/>
      <c r="OVH984" s="337"/>
      <c r="OVI984" s="336"/>
      <c r="OVJ984" s="337"/>
      <c r="OVK984" s="336"/>
      <c r="OVL984" s="337"/>
      <c r="OVM984" s="336"/>
      <c r="OVN984" s="337"/>
      <c r="OVO984" s="336"/>
      <c r="OVP984" s="337"/>
      <c r="OVQ984" s="336"/>
      <c r="OVR984" s="337"/>
      <c r="OVS984" s="336"/>
      <c r="OVT984" s="337"/>
      <c r="OVU984" s="336"/>
      <c r="OVV984" s="337"/>
      <c r="OVW984" s="336"/>
      <c r="OVX984" s="337"/>
      <c r="OVY984" s="336"/>
      <c r="OVZ984" s="337"/>
      <c r="OWA984" s="336"/>
      <c r="OWB984" s="337"/>
      <c r="OWC984" s="336"/>
      <c r="OWD984" s="337"/>
      <c r="OWE984" s="336"/>
      <c r="OWF984" s="337"/>
      <c r="OWG984" s="336"/>
      <c r="OWH984" s="337"/>
      <c r="OWI984" s="336"/>
      <c r="OWJ984" s="337"/>
      <c r="OWK984" s="336"/>
      <c r="OWL984" s="337"/>
      <c r="OWM984" s="336"/>
      <c r="OWN984" s="337"/>
      <c r="OWO984" s="336"/>
      <c r="OWP984" s="337"/>
      <c r="OWQ984" s="336"/>
      <c r="OWR984" s="337"/>
      <c r="OWS984" s="336"/>
      <c r="OWT984" s="337"/>
      <c r="OWU984" s="336"/>
      <c r="OWV984" s="337"/>
      <c r="OWW984" s="336"/>
      <c r="OWX984" s="337"/>
      <c r="OWY984" s="336"/>
      <c r="OWZ984" s="337"/>
      <c r="OXA984" s="336"/>
      <c r="OXB984" s="337"/>
      <c r="OXC984" s="336"/>
      <c r="OXD984" s="337"/>
      <c r="OXE984" s="336"/>
      <c r="OXF984" s="337"/>
      <c r="OXG984" s="336"/>
      <c r="OXH984" s="337"/>
      <c r="OXI984" s="336"/>
      <c r="OXJ984" s="337"/>
      <c r="OXK984" s="336"/>
      <c r="OXL984" s="337"/>
      <c r="OXM984" s="336"/>
      <c r="OXN984" s="337"/>
      <c r="OXO984" s="336"/>
      <c r="OXP984" s="337"/>
      <c r="OXQ984" s="336"/>
      <c r="OXR984" s="337"/>
      <c r="OXS984" s="336"/>
      <c r="OXT984" s="337"/>
      <c r="OXU984" s="336"/>
      <c r="OXV984" s="337"/>
      <c r="OXW984" s="336"/>
      <c r="OXX984" s="337"/>
      <c r="OXY984" s="336"/>
      <c r="OXZ984" s="337"/>
      <c r="OYA984" s="336"/>
      <c r="OYB984" s="337"/>
      <c r="OYC984" s="336"/>
      <c r="OYD984" s="337"/>
      <c r="OYE984" s="336"/>
      <c r="OYF984" s="337"/>
      <c r="OYG984" s="336"/>
      <c r="OYH984" s="337"/>
      <c r="OYI984" s="336"/>
      <c r="OYJ984" s="337"/>
      <c r="OYK984" s="336"/>
      <c r="OYL984" s="337"/>
      <c r="OYM984" s="336"/>
      <c r="OYN984" s="337"/>
      <c r="OYO984" s="336"/>
      <c r="OYP984" s="337"/>
      <c r="OYQ984" s="336"/>
      <c r="OYR984" s="337"/>
      <c r="OYS984" s="336"/>
      <c r="OYT984" s="337"/>
      <c r="OYU984" s="336"/>
      <c r="OYV984" s="337"/>
      <c r="OYW984" s="336"/>
      <c r="OYX984" s="337"/>
      <c r="OYY984" s="336"/>
      <c r="OYZ984" s="337"/>
      <c r="OZA984" s="336"/>
      <c r="OZB984" s="337"/>
      <c r="OZC984" s="336"/>
      <c r="OZD984" s="337"/>
      <c r="OZE984" s="336"/>
      <c r="OZF984" s="337"/>
      <c r="OZG984" s="336"/>
      <c r="OZH984" s="337"/>
      <c r="OZI984" s="336"/>
      <c r="OZJ984" s="337"/>
      <c r="OZK984" s="336"/>
      <c r="OZL984" s="337"/>
      <c r="OZM984" s="336"/>
      <c r="OZN984" s="337"/>
      <c r="OZO984" s="336"/>
      <c r="OZP984" s="337"/>
      <c r="OZQ984" s="336"/>
      <c r="OZR984" s="337"/>
      <c r="OZS984" s="336"/>
      <c r="OZT984" s="337"/>
      <c r="OZU984" s="336"/>
      <c r="OZV984" s="337"/>
      <c r="OZW984" s="336"/>
      <c r="OZX984" s="337"/>
      <c r="OZY984" s="336"/>
      <c r="OZZ984" s="337"/>
      <c r="PAA984" s="336"/>
      <c r="PAB984" s="337"/>
      <c r="PAC984" s="336"/>
      <c r="PAD984" s="337"/>
      <c r="PAE984" s="336"/>
      <c r="PAF984" s="337"/>
      <c r="PAG984" s="336"/>
      <c r="PAH984" s="337"/>
      <c r="PAI984" s="336"/>
      <c r="PAJ984" s="337"/>
      <c r="PAK984" s="336"/>
      <c r="PAL984" s="337"/>
      <c r="PAM984" s="336"/>
      <c r="PAN984" s="337"/>
      <c r="PAO984" s="336"/>
      <c r="PAP984" s="337"/>
      <c r="PAQ984" s="336"/>
      <c r="PAR984" s="337"/>
      <c r="PAS984" s="336"/>
      <c r="PAT984" s="337"/>
      <c r="PAU984" s="336"/>
      <c r="PAV984" s="337"/>
      <c r="PAW984" s="336"/>
      <c r="PAX984" s="337"/>
      <c r="PAY984" s="336"/>
      <c r="PAZ984" s="337"/>
      <c r="PBA984" s="336"/>
      <c r="PBB984" s="337"/>
      <c r="PBC984" s="336"/>
      <c r="PBD984" s="337"/>
      <c r="PBE984" s="336"/>
      <c r="PBF984" s="337"/>
      <c r="PBG984" s="336"/>
      <c r="PBH984" s="337"/>
      <c r="PBI984" s="336"/>
      <c r="PBJ984" s="337"/>
      <c r="PBK984" s="336"/>
      <c r="PBL984" s="337"/>
      <c r="PBM984" s="336"/>
      <c r="PBN984" s="337"/>
      <c r="PBO984" s="336"/>
      <c r="PBP984" s="337"/>
      <c r="PBQ984" s="336"/>
      <c r="PBR984" s="337"/>
      <c r="PBS984" s="336"/>
      <c r="PBT984" s="337"/>
      <c r="PBU984" s="336"/>
      <c r="PBV984" s="337"/>
      <c r="PBW984" s="336"/>
      <c r="PBX984" s="337"/>
      <c r="PBY984" s="336"/>
      <c r="PBZ984" s="337"/>
      <c r="PCA984" s="336"/>
      <c r="PCB984" s="337"/>
      <c r="PCC984" s="336"/>
      <c r="PCD984" s="337"/>
      <c r="PCE984" s="336"/>
      <c r="PCF984" s="337"/>
      <c r="PCG984" s="336"/>
      <c r="PCH984" s="337"/>
      <c r="PCI984" s="336"/>
      <c r="PCJ984" s="337"/>
      <c r="PCK984" s="336"/>
      <c r="PCL984" s="337"/>
      <c r="PCM984" s="336"/>
      <c r="PCN984" s="337"/>
      <c r="PCO984" s="336"/>
      <c r="PCP984" s="337"/>
      <c r="PCQ984" s="336"/>
      <c r="PCR984" s="337"/>
      <c r="PCS984" s="336"/>
      <c r="PCT984" s="337"/>
      <c r="PCU984" s="336"/>
      <c r="PCV984" s="337"/>
      <c r="PCW984" s="336"/>
      <c r="PCX984" s="337"/>
      <c r="PCY984" s="336"/>
      <c r="PCZ984" s="337"/>
      <c r="PDA984" s="336"/>
      <c r="PDB984" s="337"/>
      <c r="PDC984" s="336"/>
      <c r="PDD984" s="337"/>
      <c r="PDE984" s="336"/>
      <c r="PDF984" s="337"/>
      <c r="PDG984" s="336"/>
      <c r="PDH984" s="337"/>
      <c r="PDI984" s="336"/>
      <c r="PDJ984" s="337"/>
      <c r="PDK984" s="336"/>
      <c r="PDL984" s="337"/>
      <c r="PDM984" s="336"/>
      <c r="PDN984" s="337"/>
      <c r="PDO984" s="336"/>
      <c r="PDP984" s="337"/>
      <c r="PDQ984" s="336"/>
      <c r="PDR984" s="337"/>
      <c r="PDS984" s="336"/>
      <c r="PDT984" s="337"/>
      <c r="PDU984" s="336"/>
      <c r="PDV984" s="337"/>
      <c r="PDW984" s="336"/>
      <c r="PDX984" s="337"/>
      <c r="PDY984" s="336"/>
      <c r="PDZ984" s="337"/>
      <c r="PEA984" s="336"/>
      <c r="PEB984" s="337"/>
      <c r="PEC984" s="336"/>
      <c r="PED984" s="337"/>
      <c r="PEE984" s="336"/>
      <c r="PEF984" s="337"/>
      <c r="PEG984" s="336"/>
      <c r="PEH984" s="337"/>
      <c r="PEI984" s="336"/>
      <c r="PEJ984" s="337"/>
      <c r="PEK984" s="336"/>
      <c r="PEL984" s="337"/>
      <c r="PEM984" s="336"/>
      <c r="PEN984" s="337"/>
      <c r="PEO984" s="336"/>
      <c r="PEP984" s="337"/>
      <c r="PEQ984" s="336"/>
      <c r="PER984" s="337"/>
      <c r="PES984" s="336"/>
      <c r="PET984" s="337"/>
      <c r="PEU984" s="336"/>
      <c r="PEV984" s="337"/>
      <c r="PEW984" s="336"/>
      <c r="PEX984" s="337"/>
      <c r="PEY984" s="336"/>
      <c r="PEZ984" s="337"/>
      <c r="PFA984" s="336"/>
      <c r="PFB984" s="337"/>
      <c r="PFC984" s="336"/>
      <c r="PFD984" s="337"/>
      <c r="PFE984" s="336"/>
      <c r="PFF984" s="337"/>
      <c r="PFG984" s="336"/>
      <c r="PFH984" s="337"/>
      <c r="PFI984" s="336"/>
      <c r="PFJ984" s="337"/>
      <c r="PFK984" s="336"/>
      <c r="PFL984" s="337"/>
      <c r="PFM984" s="336"/>
      <c r="PFN984" s="337"/>
      <c r="PFO984" s="336"/>
      <c r="PFP984" s="337"/>
      <c r="PFQ984" s="336"/>
      <c r="PFR984" s="337"/>
      <c r="PFS984" s="336"/>
      <c r="PFT984" s="337"/>
      <c r="PFU984" s="336"/>
      <c r="PFV984" s="337"/>
      <c r="PFW984" s="336"/>
      <c r="PFX984" s="337"/>
      <c r="PFY984" s="336"/>
      <c r="PFZ984" s="337"/>
      <c r="PGA984" s="336"/>
      <c r="PGB984" s="337"/>
      <c r="PGC984" s="336"/>
      <c r="PGD984" s="337"/>
      <c r="PGE984" s="336"/>
      <c r="PGF984" s="337"/>
      <c r="PGG984" s="336"/>
      <c r="PGH984" s="337"/>
      <c r="PGI984" s="336"/>
      <c r="PGJ984" s="337"/>
      <c r="PGK984" s="336"/>
      <c r="PGL984" s="337"/>
      <c r="PGM984" s="336"/>
      <c r="PGN984" s="337"/>
      <c r="PGO984" s="336"/>
      <c r="PGP984" s="337"/>
      <c r="PGQ984" s="336"/>
      <c r="PGR984" s="337"/>
      <c r="PGS984" s="336"/>
      <c r="PGT984" s="337"/>
      <c r="PGU984" s="336"/>
      <c r="PGV984" s="337"/>
      <c r="PGW984" s="336"/>
      <c r="PGX984" s="337"/>
      <c r="PGY984" s="336"/>
      <c r="PGZ984" s="337"/>
      <c r="PHA984" s="336"/>
      <c r="PHB984" s="337"/>
      <c r="PHC984" s="336"/>
      <c r="PHD984" s="337"/>
      <c r="PHE984" s="336"/>
      <c r="PHF984" s="337"/>
      <c r="PHG984" s="336"/>
      <c r="PHH984" s="337"/>
      <c r="PHI984" s="336"/>
      <c r="PHJ984" s="337"/>
      <c r="PHK984" s="336"/>
      <c r="PHL984" s="337"/>
      <c r="PHM984" s="336"/>
      <c r="PHN984" s="337"/>
      <c r="PHO984" s="336"/>
      <c r="PHP984" s="337"/>
      <c r="PHQ984" s="336"/>
      <c r="PHR984" s="337"/>
      <c r="PHS984" s="336"/>
      <c r="PHT984" s="337"/>
      <c r="PHU984" s="336"/>
      <c r="PHV984" s="337"/>
      <c r="PHW984" s="336"/>
      <c r="PHX984" s="337"/>
      <c r="PHY984" s="336"/>
      <c r="PHZ984" s="337"/>
      <c r="PIA984" s="336"/>
      <c r="PIB984" s="337"/>
      <c r="PIC984" s="336"/>
      <c r="PID984" s="337"/>
      <c r="PIE984" s="336"/>
      <c r="PIF984" s="337"/>
      <c r="PIG984" s="336"/>
      <c r="PIH984" s="337"/>
      <c r="PII984" s="336"/>
      <c r="PIJ984" s="337"/>
      <c r="PIK984" s="336"/>
      <c r="PIL984" s="337"/>
      <c r="PIM984" s="336"/>
      <c r="PIN984" s="337"/>
      <c r="PIO984" s="336"/>
      <c r="PIP984" s="337"/>
      <c r="PIQ984" s="336"/>
      <c r="PIR984" s="337"/>
      <c r="PIS984" s="336"/>
      <c r="PIT984" s="337"/>
      <c r="PIU984" s="336"/>
      <c r="PIV984" s="337"/>
      <c r="PIW984" s="336"/>
      <c r="PIX984" s="337"/>
      <c r="PIY984" s="336"/>
      <c r="PIZ984" s="337"/>
      <c r="PJA984" s="336"/>
      <c r="PJB984" s="337"/>
      <c r="PJC984" s="336"/>
      <c r="PJD984" s="337"/>
      <c r="PJE984" s="336"/>
      <c r="PJF984" s="337"/>
      <c r="PJG984" s="336"/>
      <c r="PJH984" s="337"/>
      <c r="PJI984" s="336"/>
      <c r="PJJ984" s="337"/>
      <c r="PJK984" s="336"/>
      <c r="PJL984" s="337"/>
      <c r="PJM984" s="336"/>
      <c r="PJN984" s="337"/>
      <c r="PJO984" s="336"/>
      <c r="PJP984" s="337"/>
      <c r="PJQ984" s="336"/>
      <c r="PJR984" s="337"/>
      <c r="PJS984" s="336"/>
      <c r="PJT984" s="337"/>
      <c r="PJU984" s="336"/>
      <c r="PJV984" s="337"/>
      <c r="PJW984" s="336"/>
      <c r="PJX984" s="337"/>
      <c r="PJY984" s="336"/>
      <c r="PJZ984" s="337"/>
      <c r="PKA984" s="336"/>
      <c r="PKB984" s="337"/>
      <c r="PKC984" s="336"/>
      <c r="PKD984" s="337"/>
      <c r="PKE984" s="336"/>
      <c r="PKF984" s="337"/>
      <c r="PKG984" s="336"/>
      <c r="PKH984" s="337"/>
      <c r="PKI984" s="336"/>
      <c r="PKJ984" s="337"/>
      <c r="PKK984" s="336"/>
      <c r="PKL984" s="337"/>
      <c r="PKM984" s="336"/>
      <c r="PKN984" s="337"/>
      <c r="PKO984" s="336"/>
      <c r="PKP984" s="337"/>
      <c r="PKQ984" s="336"/>
      <c r="PKR984" s="337"/>
      <c r="PKS984" s="336"/>
      <c r="PKT984" s="337"/>
      <c r="PKU984" s="336"/>
      <c r="PKV984" s="337"/>
      <c r="PKW984" s="336"/>
      <c r="PKX984" s="337"/>
      <c r="PKY984" s="336"/>
      <c r="PKZ984" s="337"/>
      <c r="PLA984" s="336"/>
      <c r="PLB984" s="337"/>
      <c r="PLC984" s="336"/>
      <c r="PLD984" s="337"/>
      <c r="PLE984" s="336"/>
      <c r="PLF984" s="337"/>
      <c r="PLG984" s="336"/>
      <c r="PLH984" s="337"/>
      <c r="PLI984" s="336"/>
      <c r="PLJ984" s="337"/>
      <c r="PLK984" s="336"/>
      <c r="PLL984" s="337"/>
      <c r="PLM984" s="336"/>
      <c r="PLN984" s="337"/>
      <c r="PLO984" s="336"/>
      <c r="PLP984" s="337"/>
      <c r="PLQ984" s="336"/>
      <c r="PLR984" s="337"/>
      <c r="PLS984" s="336"/>
      <c r="PLT984" s="337"/>
      <c r="PLU984" s="336"/>
      <c r="PLV984" s="337"/>
      <c r="PLW984" s="336"/>
      <c r="PLX984" s="337"/>
      <c r="PLY984" s="336"/>
      <c r="PLZ984" s="337"/>
      <c r="PMA984" s="336"/>
      <c r="PMB984" s="337"/>
      <c r="PMC984" s="336"/>
      <c r="PMD984" s="337"/>
      <c r="PME984" s="336"/>
      <c r="PMF984" s="337"/>
      <c r="PMG984" s="336"/>
      <c r="PMH984" s="337"/>
      <c r="PMI984" s="336"/>
      <c r="PMJ984" s="337"/>
      <c r="PMK984" s="336"/>
      <c r="PML984" s="337"/>
      <c r="PMM984" s="336"/>
      <c r="PMN984" s="337"/>
      <c r="PMO984" s="336"/>
      <c r="PMP984" s="337"/>
      <c r="PMQ984" s="336"/>
      <c r="PMR984" s="337"/>
      <c r="PMS984" s="336"/>
      <c r="PMT984" s="337"/>
      <c r="PMU984" s="336"/>
      <c r="PMV984" s="337"/>
      <c r="PMW984" s="336"/>
      <c r="PMX984" s="337"/>
      <c r="PMY984" s="336"/>
      <c r="PMZ984" s="337"/>
      <c r="PNA984" s="336"/>
      <c r="PNB984" s="337"/>
      <c r="PNC984" s="336"/>
      <c r="PND984" s="337"/>
      <c r="PNE984" s="336"/>
      <c r="PNF984" s="337"/>
      <c r="PNG984" s="336"/>
      <c r="PNH984" s="337"/>
      <c r="PNI984" s="336"/>
      <c r="PNJ984" s="337"/>
      <c r="PNK984" s="336"/>
      <c r="PNL984" s="337"/>
      <c r="PNM984" s="336"/>
      <c r="PNN984" s="337"/>
      <c r="PNO984" s="336"/>
      <c r="PNP984" s="337"/>
      <c r="PNQ984" s="336"/>
      <c r="PNR984" s="337"/>
      <c r="PNS984" s="336"/>
      <c r="PNT984" s="337"/>
      <c r="PNU984" s="336"/>
      <c r="PNV984" s="337"/>
      <c r="PNW984" s="336"/>
      <c r="PNX984" s="337"/>
      <c r="PNY984" s="336"/>
      <c r="PNZ984" s="337"/>
      <c r="POA984" s="336"/>
      <c r="POB984" s="337"/>
      <c r="POC984" s="336"/>
      <c r="POD984" s="337"/>
      <c r="POE984" s="336"/>
      <c r="POF984" s="337"/>
      <c r="POG984" s="336"/>
      <c r="POH984" s="337"/>
      <c r="POI984" s="336"/>
      <c r="POJ984" s="337"/>
      <c r="POK984" s="336"/>
      <c r="POL984" s="337"/>
      <c r="POM984" s="336"/>
      <c r="PON984" s="337"/>
      <c r="POO984" s="336"/>
      <c r="POP984" s="337"/>
      <c r="POQ984" s="336"/>
      <c r="POR984" s="337"/>
      <c r="POS984" s="336"/>
      <c r="POT984" s="337"/>
      <c r="POU984" s="336"/>
      <c r="POV984" s="337"/>
      <c r="POW984" s="336"/>
      <c r="POX984" s="337"/>
      <c r="POY984" s="336"/>
      <c r="POZ984" s="337"/>
      <c r="PPA984" s="336"/>
      <c r="PPB984" s="337"/>
      <c r="PPC984" s="336"/>
      <c r="PPD984" s="337"/>
      <c r="PPE984" s="336"/>
      <c r="PPF984" s="337"/>
      <c r="PPG984" s="336"/>
      <c r="PPH984" s="337"/>
      <c r="PPI984" s="336"/>
      <c r="PPJ984" s="337"/>
      <c r="PPK984" s="336"/>
      <c r="PPL984" s="337"/>
      <c r="PPM984" s="336"/>
      <c r="PPN984" s="337"/>
      <c r="PPO984" s="336"/>
      <c r="PPP984" s="337"/>
      <c r="PPQ984" s="336"/>
      <c r="PPR984" s="337"/>
      <c r="PPS984" s="336"/>
      <c r="PPT984" s="337"/>
      <c r="PPU984" s="336"/>
      <c r="PPV984" s="337"/>
      <c r="PPW984" s="336"/>
      <c r="PPX984" s="337"/>
      <c r="PPY984" s="336"/>
      <c r="PPZ984" s="337"/>
      <c r="PQA984" s="336"/>
      <c r="PQB984" s="337"/>
      <c r="PQC984" s="336"/>
      <c r="PQD984" s="337"/>
      <c r="PQE984" s="336"/>
      <c r="PQF984" s="337"/>
      <c r="PQG984" s="336"/>
      <c r="PQH984" s="337"/>
      <c r="PQI984" s="336"/>
      <c r="PQJ984" s="337"/>
      <c r="PQK984" s="336"/>
      <c r="PQL984" s="337"/>
      <c r="PQM984" s="336"/>
      <c r="PQN984" s="337"/>
      <c r="PQO984" s="336"/>
      <c r="PQP984" s="337"/>
      <c r="PQQ984" s="336"/>
      <c r="PQR984" s="337"/>
      <c r="PQS984" s="336"/>
      <c r="PQT984" s="337"/>
      <c r="PQU984" s="336"/>
      <c r="PQV984" s="337"/>
      <c r="PQW984" s="336"/>
      <c r="PQX984" s="337"/>
      <c r="PQY984" s="336"/>
      <c r="PQZ984" s="337"/>
      <c r="PRA984" s="336"/>
      <c r="PRB984" s="337"/>
      <c r="PRC984" s="336"/>
      <c r="PRD984" s="337"/>
      <c r="PRE984" s="336"/>
      <c r="PRF984" s="337"/>
      <c r="PRG984" s="336"/>
      <c r="PRH984" s="337"/>
      <c r="PRI984" s="336"/>
      <c r="PRJ984" s="337"/>
      <c r="PRK984" s="336"/>
      <c r="PRL984" s="337"/>
      <c r="PRM984" s="336"/>
      <c r="PRN984" s="337"/>
      <c r="PRO984" s="336"/>
      <c r="PRP984" s="337"/>
      <c r="PRQ984" s="336"/>
      <c r="PRR984" s="337"/>
      <c r="PRS984" s="336"/>
      <c r="PRT984" s="337"/>
      <c r="PRU984" s="336"/>
      <c r="PRV984" s="337"/>
      <c r="PRW984" s="336"/>
      <c r="PRX984" s="337"/>
      <c r="PRY984" s="336"/>
      <c r="PRZ984" s="337"/>
      <c r="PSA984" s="336"/>
      <c r="PSB984" s="337"/>
      <c r="PSC984" s="336"/>
      <c r="PSD984" s="337"/>
      <c r="PSE984" s="336"/>
      <c r="PSF984" s="337"/>
      <c r="PSG984" s="336"/>
      <c r="PSH984" s="337"/>
      <c r="PSI984" s="336"/>
      <c r="PSJ984" s="337"/>
      <c r="PSK984" s="336"/>
      <c r="PSL984" s="337"/>
      <c r="PSM984" s="336"/>
      <c r="PSN984" s="337"/>
      <c r="PSO984" s="336"/>
      <c r="PSP984" s="337"/>
      <c r="PSQ984" s="336"/>
      <c r="PSR984" s="337"/>
      <c r="PSS984" s="336"/>
      <c r="PST984" s="337"/>
      <c r="PSU984" s="336"/>
      <c r="PSV984" s="337"/>
      <c r="PSW984" s="336"/>
      <c r="PSX984" s="337"/>
      <c r="PSY984" s="336"/>
      <c r="PSZ984" s="337"/>
      <c r="PTA984" s="336"/>
      <c r="PTB984" s="337"/>
      <c r="PTC984" s="336"/>
      <c r="PTD984" s="337"/>
      <c r="PTE984" s="336"/>
      <c r="PTF984" s="337"/>
      <c r="PTG984" s="336"/>
      <c r="PTH984" s="337"/>
      <c r="PTI984" s="336"/>
      <c r="PTJ984" s="337"/>
      <c r="PTK984" s="336"/>
      <c r="PTL984" s="337"/>
      <c r="PTM984" s="336"/>
      <c r="PTN984" s="337"/>
      <c r="PTO984" s="336"/>
      <c r="PTP984" s="337"/>
      <c r="PTQ984" s="336"/>
      <c r="PTR984" s="337"/>
      <c r="PTS984" s="336"/>
      <c r="PTT984" s="337"/>
      <c r="PTU984" s="336"/>
      <c r="PTV984" s="337"/>
      <c r="PTW984" s="336"/>
      <c r="PTX984" s="337"/>
      <c r="PTY984" s="336"/>
      <c r="PTZ984" s="337"/>
      <c r="PUA984" s="336"/>
      <c r="PUB984" s="337"/>
      <c r="PUC984" s="336"/>
      <c r="PUD984" s="337"/>
      <c r="PUE984" s="336"/>
      <c r="PUF984" s="337"/>
      <c r="PUG984" s="336"/>
      <c r="PUH984" s="337"/>
      <c r="PUI984" s="336"/>
      <c r="PUJ984" s="337"/>
      <c r="PUK984" s="336"/>
      <c r="PUL984" s="337"/>
      <c r="PUM984" s="336"/>
      <c r="PUN984" s="337"/>
      <c r="PUO984" s="336"/>
      <c r="PUP984" s="337"/>
      <c r="PUQ984" s="336"/>
      <c r="PUR984" s="337"/>
      <c r="PUS984" s="336"/>
      <c r="PUT984" s="337"/>
      <c r="PUU984" s="336"/>
      <c r="PUV984" s="337"/>
      <c r="PUW984" s="336"/>
      <c r="PUX984" s="337"/>
      <c r="PUY984" s="336"/>
      <c r="PUZ984" s="337"/>
      <c r="PVA984" s="336"/>
      <c r="PVB984" s="337"/>
      <c r="PVC984" s="336"/>
      <c r="PVD984" s="337"/>
      <c r="PVE984" s="336"/>
      <c r="PVF984" s="337"/>
      <c r="PVG984" s="336"/>
      <c r="PVH984" s="337"/>
      <c r="PVI984" s="336"/>
      <c r="PVJ984" s="337"/>
      <c r="PVK984" s="336"/>
      <c r="PVL984" s="337"/>
      <c r="PVM984" s="336"/>
      <c r="PVN984" s="337"/>
      <c r="PVO984" s="336"/>
      <c r="PVP984" s="337"/>
      <c r="PVQ984" s="336"/>
      <c r="PVR984" s="337"/>
      <c r="PVS984" s="336"/>
      <c r="PVT984" s="337"/>
      <c r="PVU984" s="336"/>
      <c r="PVV984" s="337"/>
      <c r="PVW984" s="336"/>
      <c r="PVX984" s="337"/>
      <c r="PVY984" s="336"/>
      <c r="PVZ984" s="337"/>
      <c r="PWA984" s="336"/>
      <c r="PWB984" s="337"/>
      <c r="PWC984" s="336"/>
      <c r="PWD984" s="337"/>
      <c r="PWE984" s="336"/>
      <c r="PWF984" s="337"/>
      <c r="PWG984" s="336"/>
      <c r="PWH984" s="337"/>
      <c r="PWI984" s="336"/>
      <c r="PWJ984" s="337"/>
      <c r="PWK984" s="336"/>
      <c r="PWL984" s="337"/>
      <c r="PWM984" s="336"/>
      <c r="PWN984" s="337"/>
      <c r="PWO984" s="336"/>
      <c r="PWP984" s="337"/>
      <c r="PWQ984" s="336"/>
      <c r="PWR984" s="337"/>
      <c r="PWS984" s="336"/>
      <c r="PWT984" s="337"/>
      <c r="PWU984" s="336"/>
      <c r="PWV984" s="337"/>
      <c r="PWW984" s="336"/>
      <c r="PWX984" s="337"/>
      <c r="PWY984" s="336"/>
      <c r="PWZ984" s="337"/>
      <c r="PXA984" s="336"/>
      <c r="PXB984" s="337"/>
      <c r="PXC984" s="336"/>
      <c r="PXD984" s="337"/>
      <c r="PXE984" s="336"/>
      <c r="PXF984" s="337"/>
      <c r="PXG984" s="336"/>
      <c r="PXH984" s="337"/>
      <c r="PXI984" s="336"/>
      <c r="PXJ984" s="337"/>
      <c r="PXK984" s="336"/>
      <c r="PXL984" s="337"/>
      <c r="PXM984" s="336"/>
      <c r="PXN984" s="337"/>
      <c r="PXO984" s="336"/>
      <c r="PXP984" s="337"/>
      <c r="PXQ984" s="336"/>
      <c r="PXR984" s="337"/>
      <c r="PXS984" s="336"/>
      <c r="PXT984" s="337"/>
      <c r="PXU984" s="336"/>
      <c r="PXV984" s="337"/>
      <c r="PXW984" s="336"/>
      <c r="PXX984" s="337"/>
      <c r="PXY984" s="336"/>
      <c r="PXZ984" s="337"/>
      <c r="PYA984" s="336"/>
      <c r="PYB984" s="337"/>
      <c r="PYC984" s="336"/>
      <c r="PYD984" s="337"/>
      <c r="PYE984" s="336"/>
      <c r="PYF984" s="337"/>
      <c r="PYG984" s="336"/>
      <c r="PYH984" s="337"/>
      <c r="PYI984" s="336"/>
      <c r="PYJ984" s="337"/>
      <c r="PYK984" s="336"/>
      <c r="PYL984" s="337"/>
      <c r="PYM984" s="336"/>
      <c r="PYN984" s="337"/>
      <c r="PYO984" s="336"/>
      <c r="PYP984" s="337"/>
      <c r="PYQ984" s="336"/>
      <c r="PYR984" s="337"/>
      <c r="PYS984" s="336"/>
      <c r="PYT984" s="337"/>
      <c r="PYU984" s="336"/>
      <c r="PYV984" s="337"/>
      <c r="PYW984" s="336"/>
      <c r="PYX984" s="337"/>
      <c r="PYY984" s="336"/>
      <c r="PYZ984" s="337"/>
      <c r="PZA984" s="336"/>
      <c r="PZB984" s="337"/>
      <c r="PZC984" s="336"/>
      <c r="PZD984" s="337"/>
      <c r="PZE984" s="336"/>
      <c r="PZF984" s="337"/>
      <c r="PZG984" s="336"/>
      <c r="PZH984" s="337"/>
      <c r="PZI984" s="336"/>
      <c r="PZJ984" s="337"/>
      <c r="PZK984" s="336"/>
      <c r="PZL984" s="337"/>
      <c r="PZM984" s="336"/>
      <c r="PZN984" s="337"/>
      <c r="PZO984" s="336"/>
      <c r="PZP984" s="337"/>
      <c r="PZQ984" s="336"/>
      <c r="PZR984" s="337"/>
      <c r="PZS984" s="336"/>
      <c r="PZT984" s="337"/>
      <c r="PZU984" s="336"/>
      <c r="PZV984" s="337"/>
      <c r="PZW984" s="336"/>
      <c r="PZX984" s="337"/>
      <c r="PZY984" s="336"/>
      <c r="PZZ984" s="337"/>
      <c r="QAA984" s="336"/>
      <c r="QAB984" s="337"/>
      <c r="QAC984" s="336"/>
      <c r="QAD984" s="337"/>
      <c r="QAE984" s="336"/>
      <c r="QAF984" s="337"/>
      <c r="QAG984" s="336"/>
      <c r="QAH984" s="337"/>
      <c r="QAI984" s="336"/>
      <c r="QAJ984" s="337"/>
      <c r="QAK984" s="336"/>
      <c r="QAL984" s="337"/>
      <c r="QAM984" s="336"/>
      <c r="QAN984" s="337"/>
      <c r="QAO984" s="336"/>
      <c r="QAP984" s="337"/>
      <c r="QAQ984" s="336"/>
      <c r="QAR984" s="337"/>
      <c r="QAS984" s="336"/>
      <c r="QAT984" s="337"/>
      <c r="QAU984" s="336"/>
      <c r="QAV984" s="337"/>
      <c r="QAW984" s="336"/>
      <c r="QAX984" s="337"/>
      <c r="QAY984" s="336"/>
      <c r="QAZ984" s="337"/>
      <c r="QBA984" s="336"/>
      <c r="QBB984" s="337"/>
      <c r="QBC984" s="336"/>
      <c r="QBD984" s="337"/>
      <c r="QBE984" s="336"/>
      <c r="QBF984" s="337"/>
      <c r="QBG984" s="336"/>
      <c r="QBH984" s="337"/>
      <c r="QBI984" s="336"/>
      <c r="QBJ984" s="337"/>
      <c r="QBK984" s="336"/>
      <c r="QBL984" s="337"/>
      <c r="QBM984" s="336"/>
      <c r="QBN984" s="337"/>
      <c r="QBO984" s="336"/>
      <c r="QBP984" s="337"/>
      <c r="QBQ984" s="336"/>
      <c r="QBR984" s="337"/>
      <c r="QBS984" s="336"/>
      <c r="QBT984" s="337"/>
      <c r="QBU984" s="336"/>
      <c r="QBV984" s="337"/>
      <c r="QBW984" s="336"/>
      <c r="QBX984" s="337"/>
      <c r="QBY984" s="336"/>
      <c r="QBZ984" s="337"/>
      <c r="QCA984" s="336"/>
      <c r="QCB984" s="337"/>
      <c r="QCC984" s="336"/>
      <c r="QCD984" s="337"/>
      <c r="QCE984" s="336"/>
      <c r="QCF984" s="337"/>
      <c r="QCG984" s="336"/>
      <c r="QCH984" s="337"/>
      <c r="QCI984" s="336"/>
      <c r="QCJ984" s="337"/>
      <c r="QCK984" s="336"/>
      <c r="QCL984" s="337"/>
      <c r="QCM984" s="336"/>
      <c r="QCN984" s="337"/>
      <c r="QCO984" s="336"/>
      <c r="QCP984" s="337"/>
      <c r="QCQ984" s="336"/>
      <c r="QCR984" s="337"/>
      <c r="QCS984" s="336"/>
      <c r="QCT984" s="337"/>
      <c r="QCU984" s="336"/>
      <c r="QCV984" s="337"/>
      <c r="QCW984" s="336"/>
      <c r="QCX984" s="337"/>
      <c r="QCY984" s="336"/>
      <c r="QCZ984" s="337"/>
      <c r="QDA984" s="336"/>
      <c r="QDB984" s="337"/>
      <c r="QDC984" s="336"/>
      <c r="QDD984" s="337"/>
      <c r="QDE984" s="336"/>
      <c r="QDF984" s="337"/>
      <c r="QDG984" s="336"/>
      <c r="QDH984" s="337"/>
      <c r="QDI984" s="336"/>
      <c r="QDJ984" s="337"/>
      <c r="QDK984" s="336"/>
      <c r="QDL984" s="337"/>
      <c r="QDM984" s="336"/>
      <c r="QDN984" s="337"/>
      <c r="QDO984" s="336"/>
      <c r="QDP984" s="337"/>
      <c r="QDQ984" s="336"/>
      <c r="QDR984" s="337"/>
      <c r="QDS984" s="336"/>
      <c r="QDT984" s="337"/>
      <c r="QDU984" s="336"/>
      <c r="QDV984" s="337"/>
      <c r="QDW984" s="336"/>
      <c r="QDX984" s="337"/>
      <c r="QDY984" s="336"/>
      <c r="QDZ984" s="337"/>
      <c r="QEA984" s="336"/>
      <c r="QEB984" s="337"/>
      <c r="QEC984" s="336"/>
      <c r="QED984" s="337"/>
      <c r="QEE984" s="336"/>
      <c r="QEF984" s="337"/>
      <c r="QEG984" s="336"/>
      <c r="QEH984" s="337"/>
      <c r="QEI984" s="336"/>
      <c r="QEJ984" s="337"/>
      <c r="QEK984" s="336"/>
      <c r="QEL984" s="337"/>
      <c r="QEM984" s="336"/>
      <c r="QEN984" s="337"/>
      <c r="QEO984" s="336"/>
      <c r="QEP984" s="337"/>
      <c r="QEQ984" s="336"/>
      <c r="QER984" s="337"/>
      <c r="QES984" s="336"/>
      <c r="QET984" s="337"/>
      <c r="QEU984" s="336"/>
      <c r="QEV984" s="337"/>
      <c r="QEW984" s="336"/>
      <c r="QEX984" s="337"/>
      <c r="QEY984" s="336"/>
      <c r="QEZ984" s="337"/>
      <c r="QFA984" s="336"/>
      <c r="QFB984" s="337"/>
      <c r="QFC984" s="336"/>
      <c r="QFD984" s="337"/>
      <c r="QFE984" s="336"/>
      <c r="QFF984" s="337"/>
      <c r="QFG984" s="336"/>
      <c r="QFH984" s="337"/>
      <c r="QFI984" s="336"/>
      <c r="QFJ984" s="337"/>
      <c r="QFK984" s="336"/>
      <c r="QFL984" s="337"/>
      <c r="QFM984" s="336"/>
      <c r="QFN984" s="337"/>
      <c r="QFO984" s="336"/>
      <c r="QFP984" s="337"/>
      <c r="QFQ984" s="336"/>
      <c r="QFR984" s="337"/>
      <c r="QFS984" s="336"/>
      <c r="QFT984" s="337"/>
      <c r="QFU984" s="336"/>
      <c r="QFV984" s="337"/>
      <c r="QFW984" s="336"/>
      <c r="QFX984" s="337"/>
      <c r="QFY984" s="336"/>
      <c r="QFZ984" s="337"/>
      <c r="QGA984" s="336"/>
      <c r="QGB984" s="337"/>
      <c r="QGC984" s="336"/>
      <c r="QGD984" s="337"/>
      <c r="QGE984" s="336"/>
      <c r="QGF984" s="337"/>
      <c r="QGG984" s="336"/>
      <c r="QGH984" s="337"/>
      <c r="QGI984" s="336"/>
      <c r="QGJ984" s="337"/>
      <c r="QGK984" s="336"/>
      <c r="QGL984" s="337"/>
      <c r="QGM984" s="336"/>
      <c r="QGN984" s="337"/>
      <c r="QGO984" s="336"/>
      <c r="QGP984" s="337"/>
      <c r="QGQ984" s="336"/>
      <c r="QGR984" s="337"/>
      <c r="QGS984" s="336"/>
      <c r="QGT984" s="337"/>
      <c r="QGU984" s="336"/>
      <c r="QGV984" s="337"/>
      <c r="QGW984" s="336"/>
      <c r="QGX984" s="337"/>
      <c r="QGY984" s="336"/>
      <c r="QGZ984" s="337"/>
      <c r="QHA984" s="336"/>
      <c r="QHB984" s="337"/>
      <c r="QHC984" s="336"/>
      <c r="QHD984" s="337"/>
      <c r="QHE984" s="336"/>
      <c r="QHF984" s="337"/>
      <c r="QHG984" s="336"/>
      <c r="QHH984" s="337"/>
      <c r="QHI984" s="336"/>
      <c r="QHJ984" s="337"/>
      <c r="QHK984" s="336"/>
      <c r="QHL984" s="337"/>
      <c r="QHM984" s="336"/>
      <c r="QHN984" s="337"/>
      <c r="QHO984" s="336"/>
      <c r="QHP984" s="337"/>
      <c r="QHQ984" s="336"/>
      <c r="QHR984" s="337"/>
      <c r="QHS984" s="336"/>
      <c r="QHT984" s="337"/>
      <c r="QHU984" s="336"/>
      <c r="QHV984" s="337"/>
      <c r="QHW984" s="336"/>
      <c r="QHX984" s="337"/>
      <c r="QHY984" s="336"/>
      <c r="QHZ984" s="337"/>
      <c r="QIA984" s="336"/>
      <c r="QIB984" s="337"/>
      <c r="QIC984" s="336"/>
      <c r="QID984" s="337"/>
      <c r="QIE984" s="336"/>
      <c r="QIF984" s="337"/>
      <c r="QIG984" s="336"/>
      <c r="QIH984" s="337"/>
      <c r="QII984" s="336"/>
      <c r="QIJ984" s="337"/>
      <c r="QIK984" s="336"/>
      <c r="QIL984" s="337"/>
      <c r="QIM984" s="336"/>
      <c r="QIN984" s="337"/>
      <c r="QIO984" s="336"/>
      <c r="QIP984" s="337"/>
      <c r="QIQ984" s="336"/>
      <c r="QIR984" s="337"/>
      <c r="QIS984" s="336"/>
      <c r="QIT984" s="337"/>
      <c r="QIU984" s="336"/>
      <c r="QIV984" s="337"/>
      <c r="QIW984" s="336"/>
      <c r="QIX984" s="337"/>
      <c r="QIY984" s="336"/>
      <c r="QIZ984" s="337"/>
      <c r="QJA984" s="336"/>
      <c r="QJB984" s="337"/>
      <c r="QJC984" s="336"/>
      <c r="QJD984" s="337"/>
      <c r="QJE984" s="336"/>
      <c r="QJF984" s="337"/>
      <c r="QJG984" s="336"/>
      <c r="QJH984" s="337"/>
      <c r="QJI984" s="336"/>
      <c r="QJJ984" s="337"/>
      <c r="QJK984" s="336"/>
      <c r="QJL984" s="337"/>
      <c r="QJM984" s="336"/>
      <c r="QJN984" s="337"/>
      <c r="QJO984" s="336"/>
      <c r="QJP984" s="337"/>
      <c r="QJQ984" s="336"/>
      <c r="QJR984" s="337"/>
      <c r="QJS984" s="336"/>
      <c r="QJT984" s="337"/>
      <c r="QJU984" s="336"/>
      <c r="QJV984" s="337"/>
      <c r="QJW984" s="336"/>
      <c r="QJX984" s="337"/>
      <c r="QJY984" s="336"/>
      <c r="QJZ984" s="337"/>
      <c r="QKA984" s="336"/>
      <c r="QKB984" s="337"/>
      <c r="QKC984" s="336"/>
      <c r="QKD984" s="337"/>
      <c r="QKE984" s="336"/>
      <c r="QKF984" s="337"/>
      <c r="QKG984" s="336"/>
      <c r="QKH984" s="337"/>
      <c r="QKI984" s="336"/>
      <c r="QKJ984" s="337"/>
      <c r="QKK984" s="336"/>
      <c r="QKL984" s="337"/>
      <c r="QKM984" s="336"/>
      <c r="QKN984" s="337"/>
      <c r="QKO984" s="336"/>
      <c r="QKP984" s="337"/>
      <c r="QKQ984" s="336"/>
      <c r="QKR984" s="337"/>
      <c r="QKS984" s="336"/>
      <c r="QKT984" s="337"/>
      <c r="QKU984" s="336"/>
      <c r="QKV984" s="337"/>
      <c r="QKW984" s="336"/>
      <c r="QKX984" s="337"/>
      <c r="QKY984" s="336"/>
      <c r="QKZ984" s="337"/>
      <c r="QLA984" s="336"/>
      <c r="QLB984" s="337"/>
      <c r="QLC984" s="336"/>
      <c r="QLD984" s="337"/>
      <c r="QLE984" s="336"/>
      <c r="QLF984" s="337"/>
      <c r="QLG984" s="336"/>
      <c r="QLH984" s="337"/>
      <c r="QLI984" s="336"/>
      <c r="QLJ984" s="337"/>
      <c r="QLK984" s="336"/>
      <c r="QLL984" s="337"/>
      <c r="QLM984" s="336"/>
      <c r="QLN984" s="337"/>
      <c r="QLO984" s="336"/>
      <c r="QLP984" s="337"/>
      <c r="QLQ984" s="336"/>
      <c r="QLR984" s="337"/>
      <c r="QLS984" s="336"/>
      <c r="QLT984" s="337"/>
      <c r="QLU984" s="336"/>
      <c r="QLV984" s="337"/>
      <c r="QLW984" s="336"/>
      <c r="QLX984" s="337"/>
      <c r="QLY984" s="336"/>
      <c r="QLZ984" s="337"/>
      <c r="QMA984" s="336"/>
      <c r="QMB984" s="337"/>
      <c r="QMC984" s="336"/>
      <c r="QMD984" s="337"/>
      <c r="QME984" s="336"/>
      <c r="QMF984" s="337"/>
      <c r="QMG984" s="336"/>
      <c r="QMH984" s="337"/>
      <c r="QMI984" s="336"/>
      <c r="QMJ984" s="337"/>
      <c r="QMK984" s="336"/>
      <c r="QML984" s="337"/>
      <c r="QMM984" s="336"/>
      <c r="QMN984" s="337"/>
      <c r="QMO984" s="336"/>
      <c r="QMP984" s="337"/>
      <c r="QMQ984" s="336"/>
      <c r="QMR984" s="337"/>
      <c r="QMS984" s="336"/>
      <c r="QMT984" s="337"/>
      <c r="QMU984" s="336"/>
      <c r="QMV984" s="337"/>
      <c r="QMW984" s="336"/>
      <c r="QMX984" s="337"/>
      <c r="QMY984" s="336"/>
      <c r="QMZ984" s="337"/>
      <c r="QNA984" s="336"/>
      <c r="QNB984" s="337"/>
      <c r="QNC984" s="336"/>
      <c r="QND984" s="337"/>
      <c r="QNE984" s="336"/>
      <c r="QNF984" s="337"/>
      <c r="QNG984" s="336"/>
      <c r="QNH984" s="337"/>
      <c r="QNI984" s="336"/>
      <c r="QNJ984" s="337"/>
      <c r="QNK984" s="336"/>
      <c r="QNL984" s="337"/>
      <c r="QNM984" s="336"/>
      <c r="QNN984" s="337"/>
      <c r="QNO984" s="336"/>
      <c r="QNP984" s="337"/>
      <c r="QNQ984" s="336"/>
      <c r="QNR984" s="337"/>
      <c r="QNS984" s="336"/>
      <c r="QNT984" s="337"/>
      <c r="QNU984" s="336"/>
      <c r="QNV984" s="337"/>
      <c r="QNW984" s="336"/>
      <c r="QNX984" s="337"/>
      <c r="QNY984" s="336"/>
      <c r="QNZ984" s="337"/>
      <c r="QOA984" s="336"/>
      <c r="QOB984" s="337"/>
      <c r="QOC984" s="336"/>
      <c r="QOD984" s="337"/>
      <c r="QOE984" s="336"/>
      <c r="QOF984" s="337"/>
      <c r="QOG984" s="336"/>
      <c r="QOH984" s="337"/>
      <c r="QOI984" s="336"/>
      <c r="QOJ984" s="337"/>
      <c r="QOK984" s="336"/>
      <c r="QOL984" s="337"/>
      <c r="QOM984" s="336"/>
      <c r="QON984" s="337"/>
      <c r="QOO984" s="336"/>
      <c r="QOP984" s="337"/>
      <c r="QOQ984" s="336"/>
      <c r="QOR984" s="337"/>
      <c r="QOS984" s="336"/>
      <c r="QOT984" s="337"/>
      <c r="QOU984" s="336"/>
      <c r="QOV984" s="337"/>
      <c r="QOW984" s="336"/>
      <c r="QOX984" s="337"/>
      <c r="QOY984" s="336"/>
      <c r="QOZ984" s="337"/>
      <c r="QPA984" s="336"/>
      <c r="QPB984" s="337"/>
      <c r="QPC984" s="336"/>
      <c r="QPD984" s="337"/>
      <c r="QPE984" s="336"/>
      <c r="QPF984" s="337"/>
      <c r="QPG984" s="336"/>
      <c r="QPH984" s="337"/>
      <c r="QPI984" s="336"/>
      <c r="QPJ984" s="337"/>
      <c r="QPK984" s="336"/>
      <c r="QPL984" s="337"/>
      <c r="QPM984" s="336"/>
      <c r="QPN984" s="337"/>
      <c r="QPO984" s="336"/>
      <c r="QPP984" s="337"/>
      <c r="QPQ984" s="336"/>
      <c r="QPR984" s="337"/>
      <c r="QPS984" s="336"/>
      <c r="QPT984" s="337"/>
      <c r="QPU984" s="336"/>
      <c r="QPV984" s="337"/>
      <c r="QPW984" s="336"/>
      <c r="QPX984" s="337"/>
      <c r="QPY984" s="336"/>
      <c r="QPZ984" s="337"/>
      <c r="QQA984" s="336"/>
      <c r="QQB984" s="337"/>
      <c r="QQC984" s="336"/>
      <c r="QQD984" s="337"/>
      <c r="QQE984" s="336"/>
      <c r="QQF984" s="337"/>
      <c r="QQG984" s="336"/>
      <c r="QQH984" s="337"/>
      <c r="QQI984" s="336"/>
      <c r="QQJ984" s="337"/>
      <c r="QQK984" s="336"/>
      <c r="QQL984" s="337"/>
      <c r="QQM984" s="336"/>
      <c r="QQN984" s="337"/>
      <c r="QQO984" s="336"/>
      <c r="QQP984" s="337"/>
      <c r="QQQ984" s="336"/>
      <c r="QQR984" s="337"/>
      <c r="QQS984" s="336"/>
      <c r="QQT984" s="337"/>
      <c r="QQU984" s="336"/>
      <c r="QQV984" s="337"/>
      <c r="QQW984" s="336"/>
      <c r="QQX984" s="337"/>
      <c r="QQY984" s="336"/>
      <c r="QQZ984" s="337"/>
      <c r="QRA984" s="336"/>
      <c r="QRB984" s="337"/>
      <c r="QRC984" s="336"/>
      <c r="QRD984" s="337"/>
      <c r="QRE984" s="336"/>
      <c r="QRF984" s="337"/>
      <c r="QRG984" s="336"/>
      <c r="QRH984" s="337"/>
      <c r="QRI984" s="336"/>
      <c r="QRJ984" s="337"/>
      <c r="QRK984" s="336"/>
      <c r="QRL984" s="337"/>
      <c r="QRM984" s="336"/>
      <c r="QRN984" s="337"/>
      <c r="QRO984" s="336"/>
      <c r="QRP984" s="337"/>
      <c r="QRQ984" s="336"/>
      <c r="QRR984" s="337"/>
      <c r="QRS984" s="336"/>
      <c r="QRT984" s="337"/>
      <c r="QRU984" s="336"/>
      <c r="QRV984" s="337"/>
      <c r="QRW984" s="336"/>
      <c r="QRX984" s="337"/>
      <c r="QRY984" s="336"/>
      <c r="QRZ984" s="337"/>
      <c r="QSA984" s="336"/>
      <c r="QSB984" s="337"/>
      <c r="QSC984" s="336"/>
      <c r="QSD984" s="337"/>
      <c r="QSE984" s="336"/>
      <c r="QSF984" s="337"/>
      <c r="QSG984" s="336"/>
      <c r="QSH984" s="337"/>
      <c r="QSI984" s="336"/>
      <c r="QSJ984" s="337"/>
      <c r="QSK984" s="336"/>
      <c r="QSL984" s="337"/>
      <c r="QSM984" s="336"/>
      <c r="QSN984" s="337"/>
      <c r="QSO984" s="336"/>
      <c r="QSP984" s="337"/>
      <c r="QSQ984" s="336"/>
      <c r="QSR984" s="337"/>
      <c r="QSS984" s="336"/>
      <c r="QST984" s="337"/>
      <c r="QSU984" s="336"/>
      <c r="QSV984" s="337"/>
      <c r="QSW984" s="336"/>
      <c r="QSX984" s="337"/>
      <c r="QSY984" s="336"/>
      <c r="QSZ984" s="337"/>
      <c r="QTA984" s="336"/>
      <c r="QTB984" s="337"/>
      <c r="QTC984" s="336"/>
      <c r="QTD984" s="337"/>
      <c r="QTE984" s="336"/>
      <c r="QTF984" s="337"/>
      <c r="QTG984" s="336"/>
      <c r="QTH984" s="337"/>
      <c r="QTI984" s="336"/>
      <c r="QTJ984" s="337"/>
      <c r="QTK984" s="336"/>
      <c r="QTL984" s="337"/>
      <c r="QTM984" s="336"/>
      <c r="QTN984" s="337"/>
      <c r="QTO984" s="336"/>
      <c r="QTP984" s="337"/>
      <c r="QTQ984" s="336"/>
      <c r="QTR984" s="337"/>
      <c r="QTS984" s="336"/>
      <c r="QTT984" s="337"/>
      <c r="QTU984" s="336"/>
      <c r="QTV984" s="337"/>
      <c r="QTW984" s="336"/>
      <c r="QTX984" s="337"/>
      <c r="QTY984" s="336"/>
      <c r="QTZ984" s="337"/>
      <c r="QUA984" s="336"/>
      <c r="QUB984" s="337"/>
      <c r="QUC984" s="336"/>
      <c r="QUD984" s="337"/>
      <c r="QUE984" s="336"/>
      <c r="QUF984" s="337"/>
      <c r="QUG984" s="336"/>
      <c r="QUH984" s="337"/>
      <c r="QUI984" s="336"/>
      <c r="QUJ984" s="337"/>
      <c r="QUK984" s="336"/>
      <c r="QUL984" s="337"/>
      <c r="QUM984" s="336"/>
      <c r="QUN984" s="337"/>
      <c r="QUO984" s="336"/>
      <c r="QUP984" s="337"/>
      <c r="QUQ984" s="336"/>
      <c r="QUR984" s="337"/>
      <c r="QUS984" s="336"/>
      <c r="QUT984" s="337"/>
      <c r="QUU984" s="336"/>
      <c r="QUV984" s="337"/>
      <c r="QUW984" s="336"/>
      <c r="QUX984" s="337"/>
      <c r="QUY984" s="336"/>
      <c r="QUZ984" s="337"/>
      <c r="QVA984" s="336"/>
      <c r="QVB984" s="337"/>
      <c r="QVC984" s="336"/>
      <c r="QVD984" s="337"/>
      <c r="QVE984" s="336"/>
      <c r="QVF984" s="337"/>
      <c r="QVG984" s="336"/>
      <c r="QVH984" s="337"/>
      <c r="QVI984" s="336"/>
      <c r="QVJ984" s="337"/>
      <c r="QVK984" s="336"/>
      <c r="QVL984" s="337"/>
      <c r="QVM984" s="336"/>
      <c r="QVN984" s="337"/>
      <c r="QVO984" s="336"/>
      <c r="QVP984" s="337"/>
      <c r="QVQ984" s="336"/>
      <c r="QVR984" s="337"/>
      <c r="QVS984" s="336"/>
      <c r="QVT984" s="337"/>
      <c r="QVU984" s="336"/>
      <c r="QVV984" s="337"/>
      <c r="QVW984" s="336"/>
      <c r="QVX984" s="337"/>
      <c r="QVY984" s="336"/>
      <c r="QVZ984" s="337"/>
      <c r="QWA984" s="336"/>
      <c r="QWB984" s="337"/>
      <c r="QWC984" s="336"/>
      <c r="QWD984" s="337"/>
      <c r="QWE984" s="336"/>
      <c r="QWF984" s="337"/>
      <c r="QWG984" s="336"/>
      <c r="QWH984" s="337"/>
      <c r="QWI984" s="336"/>
      <c r="QWJ984" s="337"/>
      <c r="QWK984" s="336"/>
      <c r="QWL984" s="337"/>
      <c r="QWM984" s="336"/>
      <c r="QWN984" s="337"/>
      <c r="QWO984" s="336"/>
      <c r="QWP984" s="337"/>
      <c r="QWQ984" s="336"/>
      <c r="QWR984" s="337"/>
      <c r="QWS984" s="336"/>
      <c r="QWT984" s="337"/>
      <c r="QWU984" s="336"/>
      <c r="QWV984" s="337"/>
      <c r="QWW984" s="336"/>
      <c r="QWX984" s="337"/>
      <c r="QWY984" s="336"/>
      <c r="QWZ984" s="337"/>
      <c r="QXA984" s="336"/>
      <c r="QXB984" s="337"/>
      <c r="QXC984" s="336"/>
      <c r="QXD984" s="337"/>
      <c r="QXE984" s="336"/>
      <c r="QXF984" s="337"/>
      <c r="QXG984" s="336"/>
      <c r="QXH984" s="337"/>
      <c r="QXI984" s="336"/>
      <c r="QXJ984" s="337"/>
      <c r="QXK984" s="336"/>
      <c r="QXL984" s="337"/>
      <c r="QXM984" s="336"/>
      <c r="QXN984" s="337"/>
      <c r="QXO984" s="336"/>
      <c r="QXP984" s="337"/>
      <c r="QXQ984" s="336"/>
      <c r="QXR984" s="337"/>
      <c r="QXS984" s="336"/>
      <c r="QXT984" s="337"/>
      <c r="QXU984" s="336"/>
      <c r="QXV984" s="337"/>
      <c r="QXW984" s="336"/>
      <c r="QXX984" s="337"/>
      <c r="QXY984" s="336"/>
      <c r="QXZ984" s="337"/>
      <c r="QYA984" s="336"/>
      <c r="QYB984" s="337"/>
      <c r="QYC984" s="336"/>
      <c r="QYD984" s="337"/>
      <c r="QYE984" s="336"/>
      <c r="QYF984" s="337"/>
      <c r="QYG984" s="336"/>
      <c r="QYH984" s="337"/>
      <c r="QYI984" s="336"/>
      <c r="QYJ984" s="337"/>
      <c r="QYK984" s="336"/>
      <c r="QYL984" s="337"/>
      <c r="QYM984" s="336"/>
      <c r="QYN984" s="337"/>
      <c r="QYO984" s="336"/>
      <c r="QYP984" s="337"/>
      <c r="QYQ984" s="336"/>
      <c r="QYR984" s="337"/>
      <c r="QYS984" s="336"/>
      <c r="QYT984" s="337"/>
      <c r="QYU984" s="336"/>
      <c r="QYV984" s="337"/>
      <c r="QYW984" s="336"/>
      <c r="QYX984" s="337"/>
      <c r="QYY984" s="336"/>
      <c r="QYZ984" s="337"/>
      <c r="QZA984" s="336"/>
      <c r="QZB984" s="337"/>
      <c r="QZC984" s="336"/>
      <c r="QZD984" s="337"/>
      <c r="QZE984" s="336"/>
      <c r="QZF984" s="337"/>
      <c r="QZG984" s="336"/>
      <c r="QZH984" s="337"/>
      <c r="QZI984" s="336"/>
      <c r="QZJ984" s="337"/>
      <c r="QZK984" s="336"/>
      <c r="QZL984" s="337"/>
      <c r="QZM984" s="336"/>
      <c r="QZN984" s="337"/>
      <c r="QZO984" s="336"/>
      <c r="QZP984" s="337"/>
      <c r="QZQ984" s="336"/>
      <c r="QZR984" s="337"/>
      <c r="QZS984" s="336"/>
      <c r="QZT984" s="337"/>
      <c r="QZU984" s="336"/>
      <c r="QZV984" s="337"/>
      <c r="QZW984" s="336"/>
      <c r="QZX984" s="337"/>
      <c r="QZY984" s="336"/>
      <c r="QZZ984" s="337"/>
      <c r="RAA984" s="336"/>
      <c r="RAB984" s="337"/>
      <c r="RAC984" s="336"/>
      <c r="RAD984" s="337"/>
      <c r="RAE984" s="336"/>
      <c r="RAF984" s="337"/>
      <c r="RAG984" s="336"/>
      <c r="RAH984" s="337"/>
      <c r="RAI984" s="336"/>
      <c r="RAJ984" s="337"/>
      <c r="RAK984" s="336"/>
      <c r="RAL984" s="337"/>
      <c r="RAM984" s="336"/>
      <c r="RAN984" s="337"/>
      <c r="RAO984" s="336"/>
      <c r="RAP984" s="337"/>
      <c r="RAQ984" s="336"/>
      <c r="RAR984" s="337"/>
      <c r="RAS984" s="336"/>
      <c r="RAT984" s="337"/>
      <c r="RAU984" s="336"/>
      <c r="RAV984" s="337"/>
      <c r="RAW984" s="336"/>
      <c r="RAX984" s="337"/>
      <c r="RAY984" s="336"/>
      <c r="RAZ984" s="337"/>
      <c r="RBA984" s="336"/>
      <c r="RBB984" s="337"/>
      <c r="RBC984" s="336"/>
      <c r="RBD984" s="337"/>
      <c r="RBE984" s="336"/>
      <c r="RBF984" s="337"/>
      <c r="RBG984" s="336"/>
      <c r="RBH984" s="337"/>
      <c r="RBI984" s="336"/>
      <c r="RBJ984" s="337"/>
      <c r="RBK984" s="336"/>
      <c r="RBL984" s="337"/>
      <c r="RBM984" s="336"/>
      <c r="RBN984" s="337"/>
      <c r="RBO984" s="336"/>
      <c r="RBP984" s="337"/>
      <c r="RBQ984" s="336"/>
      <c r="RBR984" s="337"/>
      <c r="RBS984" s="336"/>
      <c r="RBT984" s="337"/>
      <c r="RBU984" s="336"/>
      <c r="RBV984" s="337"/>
      <c r="RBW984" s="336"/>
      <c r="RBX984" s="337"/>
      <c r="RBY984" s="336"/>
      <c r="RBZ984" s="337"/>
      <c r="RCA984" s="336"/>
      <c r="RCB984" s="337"/>
      <c r="RCC984" s="336"/>
      <c r="RCD984" s="337"/>
      <c r="RCE984" s="336"/>
      <c r="RCF984" s="337"/>
      <c r="RCG984" s="336"/>
      <c r="RCH984" s="337"/>
      <c r="RCI984" s="336"/>
      <c r="RCJ984" s="337"/>
      <c r="RCK984" s="336"/>
      <c r="RCL984" s="337"/>
      <c r="RCM984" s="336"/>
      <c r="RCN984" s="337"/>
      <c r="RCO984" s="336"/>
      <c r="RCP984" s="337"/>
      <c r="RCQ984" s="336"/>
      <c r="RCR984" s="337"/>
      <c r="RCS984" s="336"/>
      <c r="RCT984" s="337"/>
      <c r="RCU984" s="336"/>
      <c r="RCV984" s="337"/>
      <c r="RCW984" s="336"/>
      <c r="RCX984" s="337"/>
      <c r="RCY984" s="336"/>
      <c r="RCZ984" s="337"/>
      <c r="RDA984" s="336"/>
      <c r="RDB984" s="337"/>
      <c r="RDC984" s="336"/>
      <c r="RDD984" s="337"/>
      <c r="RDE984" s="336"/>
      <c r="RDF984" s="337"/>
      <c r="RDG984" s="336"/>
      <c r="RDH984" s="337"/>
      <c r="RDI984" s="336"/>
      <c r="RDJ984" s="337"/>
      <c r="RDK984" s="336"/>
      <c r="RDL984" s="337"/>
      <c r="RDM984" s="336"/>
      <c r="RDN984" s="337"/>
      <c r="RDO984" s="336"/>
      <c r="RDP984" s="337"/>
      <c r="RDQ984" s="336"/>
      <c r="RDR984" s="337"/>
      <c r="RDS984" s="336"/>
      <c r="RDT984" s="337"/>
      <c r="RDU984" s="336"/>
      <c r="RDV984" s="337"/>
      <c r="RDW984" s="336"/>
      <c r="RDX984" s="337"/>
      <c r="RDY984" s="336"/>
      <c r="RDZ984" s="337"/>
      <c r="REA984" s="336"/>
      <c r="REB984" s="337"/>
      <c r="REC984" s="336"/>
      <c r="RED984" s="337"/>
      <c r="REE984" s="336"/>
      <c r="REF984" s="337"/>
      <c r="REG984" s="336"/>
      <c r="REH984" s="337"/>
      <c r="REI984" s="336"/>
      <c r="REJ984" s="337"/>
      <c r="REK984" s="336"/>
      <c r="REL984" s="337"/>
      <c r="REM984" s="336"/>
      <c r="REN984" s="337"/>
      <c r="REO984" s="336"/>
      <c r="REP984" s="337"/>
      <c r="REQ984" s="336"/>
      <c r="RER984" s="337"/>
      <c r="RES984" s="336"/>
      <c r="RET984" s="337"/>
      <c r="REU984" s="336"/>
      <c r="REV984" s="337"/>
      <c r="REW984" s="336"/>
      <c r="REX984" s="337"/>
      <c r="REY984" s="336"/>
      <c r="REZ984" s="337"/>
      <c r="RFA984" s="336"/>
      <c r="RFB984" s="337"/>
      <c r="RFC984" s="336"/>
      <c r="RFD984" s="337"/>
      <c r="RFE984" s="336"/>
      <c r="RFF984" s="337"/>
      <c r="RFG984" s="336"/>
      <c r="RFH984" s="337"/>
      <c r="RFI984" s="336"/>
      <c r="RFJ984" s="337"/>
      <c r="RFK984" s="336"/>
      <c r="RFL984" s="337"/>
      <c r="RFM984" s="336"/>
      <c r="RFN984" s="337"/>
      <c r="RFO984" s="336"/>
      <c r="RFP984" s="337"/>
      <c r="RFQ984" s="336"/>
      <c r="RFR984" s="337"/>
      <c r="RFS984" s="336"/>
      <c r="RFT984" s="337"/>
      <c r="RFU984" s="336"/>
      <c r="RFV984" s="337"/>
      <c r="RFW984" s="336"/>
      <c r="RFX984" s="337"/>
      <c r="RFY984" s="336"/>
      <c r="RFZ984" s="337"/>
      <c r="RGA984" s="336"/>
      <c r="RGB984" s="337"/>
      <c r="RGC984" s="336"/>
      <c r="RGD984" s="337"/>
      <c r="RGE984" s="336"/>
      <c r="RGF984" s="337"/>
      <c r="RGG984" s="336"/>
      <c r="RGH984" s="337"/>
      <c r="RGI984" s="336"/>
      <c r="RGJ984" s="337"/>
      <c r="RGK984" s="336"/>
      <c r="RGL984" s="337"/>
      <c r="RGM984" s="336"/>
      <c r="RGN984" s="337"/>
      <c r="RGO984" s="336"/>
      <c r="RGP984" s="337"/>
      <c r="RGQ984" s="336"/>
      <c r="RGR984" s="337"/>
      <c r="RGS984" s="336"/>
      <c r="RGT984" s="337"/>
      <c r="RGU984" s="336"/>
      <c r="RGV984" s="337"/>
      <c r="RGW984" s="336"/>
      <c r="RGX984" s="337"/>
      <c r="RGY984" s="336"/>
      <c r="RGZ984" s="337"/>
      <c r="RHA984" s="336"/>
      <c r="RHB984" s="337"/>
      <c r="RHC984" s="336"/>
      <c r="RHD984" s="337"/>
      <c r="RHE984" s="336"/>
      <c r="RHF984" s="337"/>
      <c r="RHG984" s="336"/>
      <c r="RHH984" s="337"/>
      <c r="RHI984" s="336"/>
      <c r="RHJ984" s="337"/>
      <c r="RHK984" s="336"/>
      <c r="RHL984" s="337"/>
      <c r="RHM984" s="336"/>
      <c r="RHN984" s="337"/>
      <c r="RHO984" s="336"/>
      <c r="RHP984" s="337"/>
      <c r="RHQ984" s="336"/>
      <c r="RHR984" s="337"/>
      <c r="RHS984" s="336"/>
      <c r="RHT984" s="337"/>
      <c r="RHU984" s="336"/>
      <c r="RHV984" s="337"/>
      <c r="RHW984" s="336"/>
      <c r="RHX984" s="337"/>
      <c r="RHY984" s="336"/>
      <c r="RHZ984" s="337"/>
      <c r="RIA984" s="336"/>
      <c r="RIB984" s="337"/>
      <c r="RIC984" s="336"/>
      <c r="RID984" s="337"/>
      <c r="RIE984" s="336"/>
      <c r="RIF984" s="337"/>
      <c r="RIG984" s="336"/>
      <c r="RIH984" s="337"/>
      <c r="RII984" s="336"/>
      <c r="RIJ984" s="337"/>
      <c r="RIK984" s="336"/>
      <c r="RIL984" s="337"/>
      <c r="RIM984" s="336"/>
      <c r="RIN984" s="337"/>
      <c r="RIO984" s="336"/>
      <c r="RIP984" s="337"/>
      <c r="RIQ984" s="336"/>
      <c r="RIR984" s="337"/>
      <c r="RIS984" s="336"/>
      <c r="RIT984" s="337"/>
      <c r="RIU984" s="336"/>
      <c r="RIV984" s="337"/>
      <c r="RIW984" s="336"/>
      <c r="RIX984" s="337"/>
      <c r="RIY984" s="336"/>
      <c r="RIZ984" s="337"/>
      <c r="RJA984" s="336"/>
      <c r="RJB984" s="337"/>
      <c r="RJC984" s="336"/>
      <c r="RJD984" s="337"/>
      <c r="RJE984" s="336"/>
      <c r="RJF984" s="337"/>
      <c r="RJG984" s="336"/>
      <c r="RJH984" s="337"/>
      <c r="RJI984" s="336"/>
      <c r="RJJ984" s="337"/>
      <c r="RJK984" s="336"/>
      <c r="RJL984" s="337"/>
      <c r="RJM984" s="336"/>
      <c r="RJN984" s="337"/>
      <c r="RJO984" s="336"/>
      <c r="RJP984" s="337"/>
      <c r="RJQ984" s="336"/>
      <c r="RJR984" s="337"/>
      <c r="RJS984" s="336"/>
      <c r="RJT984" s="337"/>
      <c r="RJU984" s="336"/>
      <c r="RJV984" s="337"/>
      <c r="RJW984" s="336"/>
      <c r="RJX984" s="337"/>
      <c r="RJY984" s="336"/>
      <c r="RJZ984" s="337"/>
      <c r="RKA984" s="336"/>
      <c r="RKB984" s="337"/>
      <c r="RKC984" s="336"/>
      <c r="RKD984" s="337"/>
      <c r="RKE984" s="336"/>
      <c r="RKF984" s="337"/>
      <c r="RKG984" s="336"/>
      <c r="RKH984" s="337"/>
      <c r="RKI984" s="336"/>
      <c r="RKJ984" s="337"/>
      <c r="RKK984" s="336"/>
      <c r="RKL984" s="337"/>
      <c r="RKM984" s="336"/>
      <c r="RKN984" s="337"/>
      <c r="RKO984" s="336"/>
      <c r="RKP984" s="337"/>
      <c r="RKQ984" s="336"/>
      <c r="RKR984" s="337"/>
      <c r="RKS984" s="336"/>
      <c r="RKT984" s="337"/>
      <c r="RKU984" s="336"/>
      <c r="RKV984" s="337"/>
      <c r="RKW984" s="336"/>
      <c r="RKX984" s="337"/>
      <c r="RKY984" s="336"/>
      <c r="RKZ984" s="337"/>
      <c r="RLA984" s="336"/>
      <c r="RLB984" s="337"/>
      <c r="RLC984" s="336"/>
      <c r="RLD984" s="337"/>
      <c r="RLE984" s="336"/>
      <c r="RLF984" s="337"/>
      <c r="RLG984" s="336"/>
      <c r="RLH984" s="337"/>
      <c r="RLI984" s="336"/>
      <c r="RLJ984" s="337"/>
      <c r="RLK984" s="336"/>
      <c r="RLL984" s="337"/>
      <c r="RLM984" s="336"/>
      <c r="RLN984" s="337"/>
      <c r="RLO984" s="336"/>
      <c r="RLP984" s="337"/>
      <c r="RLQ984" s="336"/>
      <c r="RLR984" s="337"/>
      <c r="RLS984" s="336"/>
      <c r="RLT984" s="337"/>
      <c r="RLU984" s="336"/>
      <c r="RLV984" s="337"/>
      <c r="RLW984" s="336"/>
      <c r="RLX984" s="337"/>
      <c r="RLY984" s="336"/>
      <c r="RLZ984" s="337"/>
      <c r="RMA984" s="336"/>
      <c r="RMB984" s="337"/>
      <c r="RMC984" s="336"/>
      <c r="RMD984" s="337"/>
      <c r="RME984" s="336"/>
      <c r="RMF984" s="337"/>
      <c r="RMG984" s="336"/>
      <c r="RMH984" s="337"/>
      <c r="RMI984" s="336"/>
      <c r="RMJ984" s="337"/>
      <c r="RMK984" s="336"/>
      <c r="RML984" s="337"/>
      <c r="RMM984" s="336"/>
      <c r="RMN984" s="337"/>
      <c r="RMO984" s="336"/>
      <c r="RMP984" s="337"/>
      <c r="RMQ984" s="336"/>
      <c r="RMR984" s="337"/>
      <c r="RMS984" s="336"/>
      <c r="RMT984" s="337"/>
      <c r="RMU984" s="336"/>
      <c r="RMV984" s="337"/>
      <c r="RMW984" s="336"/>
      <c r="RMX984" s="337"/>
      <c r="RMY984" s="336"/>
      <c r="RMZ984" s="337"/>
      <c r="RNA984" s="336"/>
      <c r="RNB984" s="337"/>
      <c r="RNC984" s="336"/>
      <c r="RND984" s="337"/>
      <c r="RNE984" s="336"/>
      <c r="RNF984" s="337"/>
      <c r="RNG984" s="336"/>
      <c r="RNH984" s="337"/>
      <c r="RNI984" s="336"/>
      <c r="RNJ984" s="337"/>
      <c r="RNK984" s="336"/>
      <c r="RNL984" s="337"/>
      <c r="RNM984" s="336"/>
      <c r="RNN984" s="337"/>
      <c r="RNO984" s="336"/>
      <c r="RNP984" s="337"/>
      <c r="RNQ984" s="336"/>
      <c r="RNR984" s="337"/>
      <c r="RNS984" s="336"/>
      <c r="RNT984" s="337"/>
      <c r="RNU984" s="336"/>
      <c r="RNV984" s="337"/>
      <c r="RNW984" s="336"/>
      <c r="RNX984" s="337"/>
      <c r="RNY984" s="336"/>
      <c r="RNZ984" s="337"/>
      <c r="ROA984" s="336"/>
      <c r="ROB984" s="337"/>
      <c r="ROC984" s="336"/>
      <c r="ROD984" s="337"/>
      <c r="ROE984" s="336"/>
      <c r="ROF984" s="337"/>
      <c r="ROG984" s="336"/>
      <c r="ROH984" s="337"/>
      <c r="ROI984" s="336"/>
      <c r="ROJ984" s="337"/>
      <c r="ROK984" s="336"/>
      <c r="ROL984" s="337"/>
      <c r="ROM984" s="336"/>
      <c r="RON984" s="337"/>
      <c r="ROO984" s="336"/>
      <c r="ROP984" s="337"/>
      <c r="ROQ984" s="336"/>
      <c r="ROR984" s="337"/>
      <c r="ROS984" s="336"/>
      <c r="ROT984" s="337"/>
      <c r="ROU984" s="336"/>
      <c r="ROV984" s="337"/>
      <c r="ROW984" s="336"/>
      <c r="ROX984" s="337"/>
      <c r="ROY984" s="336"/>
      <c r="ROZ984" s="337"/>
      <c r="RPA984" s="336"/>
      <c r="RPB984" s="337"/>
      <c r="RPC984" s="336"/>
      <c r="RPD984" s="337"/>
      <c r="RPE984" s="336"/>
      <c r="RPF984" s="337"/>
      <c r="RPG984" s="336"/>
      <c r="RPH984" s="337"/>
      <c r="RPI984" s="336"/>
      <c r="RPJ984" s="337"/>
      <c r="RPK984" s="336"/>
      <c r="RPL984" s="337"/>
      <c r="RPM984" s="336"/>
      <c r="RPN984" s="337"/>
      <c r="RPO984" s="336"/>
      <c r="RPP984" s="337"/>
      <c r="RPQ984" s="336"/>
      <c r="RPR984" s="337"/>
      <c r="RPS984" s="336"/>
      <c r="RPT984" s="337"/>
      <c r="RPU984" s="336"/>
      <c r="RPV984" s="337"/>
      <c r="RPW984" s="336"/>
      <c r="RPX984" s="337"/>
      <c r="RPY984" s="336"/>
      <c r="RPZ984" s="337"/>
      <c r="RQA984" s="336"/>
      <c r="RQB984" s="337"/>
      <c r="RQC984" s="336"/>
      <c r="RQD984" s="337"/>
      <c r="RQE984" s="336"/>
      <c r="RQF984" s="337"/>
      <c r="RQG984" s="336"/>
      <c r="RQH984" s="337"/>
      <c r="RQI984" s="336"/>
      <c r="RQJ984" s="337"/>
      <c r="RQK984" s="336"/>
      <c r="RQL984" s="337"/>
      <c r="RQM984" s="336"/>
      <c r="RQN984" s="337"/>
      <c r="RQO984" s="336"/>
      <c r="RQP984" s="337"/>
      <c r="RQQ984" s="336"/>
      <c r="RQR984" s="337"/>
      <c r="RQS984" s="336"/>
      <c r="RQT984" s="337"/>
      <c r="RQU984" s="336"/>
      <c r="RQV984" s="337"/>
      <c r="RQW984" s="336"/>
      <c r="RQX984" s="337"/>
      <c r="RQY984" s="336"/>
      <c r="RQZ984" s="337"/>
      <c r="RRA984" s="336"/>
      <c r="RRB984" s="337"/>
      <c r="RRC984" s="336"/>
      <c r="RRD984" s="337"/>
      <c r="RRE984" s="336"/>
      <c r="RRF984" s="337"/>
      <c r="RRG984" s="336"/>
      <c r="RRH984" s="337"/>
      <c r="RRI984" s="336"/>
      <c r="RRJ984" s="337"/>
      <c r="RRK984" s="336"/>
      <c r="RRL984" s="337"/>
      <c r="RRM984" s="336"/>
      <c r="RRN984" s="337"/>
      <c r="RRO984" s="336"/>
      <c r="RRP984" s="337"/>
      <c r="RRQ984" s="336"/>
      <c r="RRR984" s="337"/>
      <c r="RRS984" s="336"/>
      <c r="RRT984" s="337"/>
      <c r="RRU984" s="336"/>
      <c r="RRV984" s="337"/>
      <c r="RRW984" s="336"/>
      <c r="RRX984" s="337"/>
      <c r="RRY984" s="336"/>
      <c r="RRZ984" s="337"/>
      <c r="RSA984" s="336"/>
      <c r="RSB984" s="337"/>
      <c r="RSC984" s="336"/>
      <c r="RSD984" s="337"/>
      <c r="RSE984" s="336"/>
      <c r="RSF984" s="337"/>
      <c r="RSG984" s="336"/>
      <c r="RSH984" s="337"/>
      <c r="RSI984" s="336"/>
      <c r="RSJ984" s="337"/>
      <c r="RSK984" s="336"/>
      <c r="RSL984" s="337"/>
      <c r="RSM984" s="336"/>
      <c r="RSN984" s="337"/>
      <c r="RSO984" s="336"/>
      <c r="RSP984" s="337"/>
      <c r="RSQ984" s="336"/>
      <c r="RSR984" s="337"/>
      <c r="RSS984" s="336"/>
      <c r="RST984" s="337"/>
      <c r="RSU984" s="336"/>
      <c r="RSV984" s="337"/>
      <c r="RSW984" s="336"/>
      <c r="RSX984" s="337"/>
      <c r="RSY984" s="336"/>
      <c r="RSZ984" s="337"/>
      <c r="RTA984" s="336"/>
      <c r="RTB984" s="337"/>
      <c r="RTC984" s="336"/>
      <c r="RTD984" s="337"/>
      <c r="RTE984" s="336"/>
      <c r="RTF984" s="337"/>
      <c r="RTG984" s="336"/>
      <c r="RTH984" s="337"/>
      <c r="RTI984" s="336"/>
      <c r="RTJ984" s="337"/>
      <c r="RTK984" s="336"/>
      <c r="RTL984" s="337"/>
      <c r="RTM984" s="336"/>
      <c r="RTN984" s="337"/>
      <c r="RTO984" s="336"/>
      <c r="RTP984" s="337"/>
      <c r="RTQ984" s="336"/>
      <c r="RTR984" s="337"/>
      <c r="RTS984" s="336"/>
      <c r="RTT984" s="337"/>
      <c r="RTU984" s="336"/>
      <c r="RTV984" s="337"/>
      <c r="RTW984" s="336"/>
      <c r="RTX984" s="337"/>
      <c r="RTY984" s="336"/>
      <c r="RTZ984" s="337"/>
      <c r="RUA984" s="336"/>
      <c r="RUB984" s="337"/>
      <c r="RUC984" s="336"/>
      <c r="RUD984" s="337"/>
      <c r="RUE984" s="336"/>
      <c r="RUF984" s="337"/>
      <c r="RUG984" s="336"/>
      <c r="RUH984" s="337"/>
      <c r="RUI984" s="336"/>
      <c r="RUJ984" s="337"/>
      <c r="RUK984" s="336"/>
      <c r="RUL984" s="337"/>
      <c r="RUM984" s="336"/>
      <c r="RUN984" s="337"/>
      <c r="RUO984" s="336"/>
      <c r="RUP984" s="337"/>
      <c r="RUQ984" s="336"/>
      <c r="RUR984" s="337"/>
      <c r="RUS984" s="336"/>
      <c r="RUT984" s="337"/>
      <c r="RUU984" s="336"/>
      <c r="RUV984" s="337"/>
      <c r="RUW984" s="336"/>
      <c r="RUX984" s="337"/>
      <c r="RUY984" s="336"/>
      <c r="RUZ984" s="337"/>
      <c r="RVA984" s="336"/>
      <c r="RVB984" s="337"/>
      <c r="RVC984" s="336"/>
      <c r="RVD984" s="337"/>
      <c r="RVE984" s="336"/>
      <c r="RVF984" s="337"/>
      <c r="RVG984" s="336"/>
      <c r="RVH984" s="337"/>
      <c r="RVI984" s="336"/>
      <c r="RVJ984" s="337"/>
      <c r="RVK984" s="336"/>
      <c r="RVL984" s="337"/>
      <c r="RVM984" s="336"/>
      <c r="RVN984" s="337"/>
      <c r="RVO984" s="336"/>
      <c r="RVP984" s="337"/>
      <c r="RVQ984" s="336"/>
      <c r="RVR984" s="337"/>
      <c r="RVS984" s="336"/>
      <c r="RVT984" s="337"/>
      <c r="RVU984" s="336"/>
      <c r="RVV984" s="337"/>
      <c r="RVW984" s="336"/>
      <c r="RVX984" s="337"/>
      <c r="RVY984" s="336"/>
      <c r="RVZ984" s="337"/>
      <c r="RWA984" s="336"/>
      <c r="RWB984" s="337"/>
      <c r="RWC984" s="336"/>
      <c r="RWD984" s="337"/>
      <c r="RWE984" s="336"/>
      <c r="RWF984" s="337"/>
      <c r="RWG984" s="336"/>
      <c r="RWH984" s="337"/>
      <c r="RWI984" s="336"/>
      <c r="RWJ984" s="337"/>
      <c r="RWK984" s="336"/>
      <c r="RWL984" s="337"/>
      <c r="RWM984" s="336"/>
      <c r="RWN984" s="337"/>
      <c r="RWO984" s="336"/>
      <c r="RWP984" s="337"/>
      <c r="RWQ984" s="336"/>
      <c r="RWR984" s="337"/>
      <c r="RWS984" s="336"/>
      <c r="RWT984" s="337"/>
      <c r="RWU984" s="336"/>
      <c r="RWV984" s="337"/>
      <c r="RWW984" s="336"/>
      <c r="RWX984" s="337"/>
      <c r="RWY984" s="336"/>
      <c r="RWZ984" s="337"/>
      <c r="RXA984" s="336"/>
      <c r="RXB984" s="337"/>
      <c r="RXC984" s="336"/>
      <c r="RXD984" s="337"/>
      <c r="RXE984" s="336"/>
      <c r="RXF984" s="337"/>
      <c r="RXG984" s="336"/>
      <c r="RXH984" s="337"/>
      <c r="RXI984" s="336"/>
      <c r="RXJ984" s="337"/>
      <c r="RXK984" s="336"/>
      <c r="RXL984" s="337"/>
      <c r="RXM984" s="336"/>
      <c r="RXN984" s="337"/>
      <c r="RXO984" s="336"/>
      <c r="RXP984" s="337"/>
      <c r="RXQ984" s="336"/>
      <c r="RXR984" s="337"/>
      <c r="RXS984" s="336"/>
      <c r="RXT984" s="337"/>
      <c r="RXU984" s="336"/>
      <c r="RXV984" s="337"/>
      <c r="RXW984" s="336"/>
      <c r="RXX984" s="337"/>
      <c r="RXY984" s="336"/>
      <c r="RXZ984" s="337"/>
      <c r="RYA984" s="336"/>
      <c r="RYB984" s="337"/>
      <c r="RYC984" s="336"/>
      <c r="RYD984" s="337"/>
      <c r="RYE984" s="336"/>
      <c r="RYF984" s="337"/>
      <c r="RYG984" s="336"/>
      <c r="RYH984" s="337"/>
      <c r="RYI984" s="336"/>
      <c r="RYJ984" s="337"/>
      <c r="RYK984" s="336"/>
      <c r="RYL984" s="337"/>
      <c r="RYM984" s="336"/>
      <c r="RYN984" s="337"/>
      <c r="RYO984" s="336"/>
      <c r="RYP984" s="337"/>
      <c r="RYQ984" s="336"/>
      <c r="RYR984" s="337"/>
      <c r="RYS984" s="336"/>
      <c r="RYT984" s="337"/>
      <c r="RYU984" s="336"/>
      <c r="RYV984" s="337"/>
      <c r="RYW984" s="336"/>
      <c r="RYX984" s="337"/>
      <c r="RYY984" s="336"/>
      <c r="RYZ984" s="337"/>
      <c r="RZA984" s="336"/>
      <c r="RZB984" s="337"/>
      <c r="RZC984" s="336"/>
      <c r="RZD984" s="337"/>
      <c r="RZE984" s="336"/>
      <c r="RZF984" s="337"/>
      <c r="RZG984" s="336"/>
      <c r="RZH984" s="337"/>
      <c r="RZI984" s="336"/>
      <c r="RZJ984" s="337"/>
      <c r="RZK984" s="336"/>
      <c r="RZL984" s="337"/>
      <c r="RZM984" s="336"/>
      <c r="RZN984" s="337"/>
      <c r="RZO984" s="336"/>
      <c r="RZP984" s="337"/>
      <c r="RZQ984" s="336"/>
      <c r="RZR984" s="337"/>
      <c r="RZS984" s="336"/>
      <c r="RZT984" s="337"/>
      <c r="RZU984" s="336"/>
      <c r="RZV984" s="337"/>
      <c r="RZW984" s="336"/>
      <c r="RZX984" s="337"/>
      <c r="RZY984" s="336"/>
      <c r="RZZ984" s="337"/>
      <c r="SAA984" s="336"/>
      <c r="SAB984" s="337"/>
      <c r="SAC984" s="336"/>
      <c r="SAD984" s="337"/>
      <c r="SAE984" s="336"/>
      <c r="SAF984" s="337"/>
      <c r="SAG984" s="336"/>
      <c r="SAH984" s="337"/>
      <c r="SAI984" s="336"/>
      <c r="SAJ984" s="337"/>
      <c r="SAK984" s="336"/>
      <c r="SAL984" s="337"/>
      <c r="SAM984" s="336"/>
      <c r="SAN984" s="337"/>
      <c r="SAO984" s="336"/>
      <c r="SAP984" s="337"/>
      <c r="SAQ984" s="336"/>
      <c r="SAR984" s="337"/>
      <c r="SAS984" s="336"/>
      <c r="SAT984" s="337"/>
      <c r="SAU984" s="336"/>
      <c r="SAV984" s="337"/>
      <c r="SAW984" s="336"/>
      <c r="SAX984" s="337"/>
      <c r="SAY984" s="336"/>
      <c r="SAZ984" s="337"/>
      <c r="SBA984" s="336"/>
      <c r="SBB984" s="337"/>
      <c r="SBC984" s="336"/>
      <c r="SBD984" s="337"/>
      <c r="SBE984" s="336"/>
      <c r="SBF984" s="337"/>
      <c r="SBG984" s="336"/>
      <c r="SBH984" s="337"/>
      <c r="SBI984" s="336"/>
      <c r="SBJ984" s="337"/>
      <c r="SBK984" s="336"/>
      <c r="SBL984" s="337"/>
      <c r="SBM984" s="336"/>
      <c r="SBN984" s="337"/>
      <c r="SBO984" s="336"/>
      <c r="SBP984" s="337"/>
      <c r="SBQ984" s="336"/>
      <c r="SBR984" s="337"/>
      <c r="SBS984" s="336"/>
      <c r="SBT984" s="337"/>
      <c r="SBU984" s="336"/>
      <c r="SBV984" s="337"/>
      <c r="SBW984" s="336"/>
      <c r="SBX984" s="337"/>
      <c r="SBY984" s="336"/>
      <c r="SBZ984" s="337"/>
      <c r="SCA984" s="336"/>
      <c r="SCB984" s="337"/>
      <c r="SCC984" s="336"/>
      <c r="SCD984" s="337"/>
      <c r="SCE984" s="336"/>
      <c r="SCF984" s="337"/>
      <c r="SCG984" s="336"/>
      <c r="SCH984" s="337"/>
      <c r="SCI984" s="336"/>
      <c r="SCJ984" s="337"/>
      <c r="SCK984" s="336"/>
      <c r="SCL984" s="337"/>
      <c r="SCM984" s="336"/>
      <c r="SCN984" s="337"/>
      <c r="SCO984" s="336"/>
      <c r="SCP984" s="337"/>
      <c r="SCQ984" s="336"/>
      <c r="SCR984" s="337"/>
      <c r="SCS984" s="336"/>
      <c r="SCT984" s="337"/>
      <c r="SCU984" s="336"/>
      <c r="SCV984" s="337"/>
      <c r="SCW984" s="336"/>
      <c r="SCX984" s="337"/>
      <c r="SCY984" s="336"/>
      <c r="SCZ984" s="337"/>
      <c r="SDA984" s="336"/>
      <c r="SDB984" s="337"/>
      <c r="SDC984" s="336"/>
      <c r="SDD984" s="337"/>
      <c r="SDE984" s="336"/>
      <c r="SDF984" s="337"/>
      <c r="SDG984" s="336"/>
      <c r="SDH984" s="337"/>
      <c r="SDI984" s="336"/>
      <c r="SDJ984" s="337"/>
      <c r="SDK984" s="336"/>
      <c r="SDL984" s="337"/>
      <c r="SDM984" s="336"/>
      <c r="SDN984" s="337"/>
      <c r="SDO984" s="336"/>
      <c r="SDP984" s="337"/>
      <c r="SDQ984" s="336"/>
      <c r="SDR984" s="337"/>
      <c r="SDS984" s="336"/>
      <c r="SDT984" s="337"/>
      <c r="SDU984" s="336"/>
      <c r="SDV984" s="337"/>
      <c r="SDW984" s="336"/>
      <c r="SDX984" s="337"/>
      <c r="SDY984" s="336"/>
      <c r="SDZ984" s="337"/>
      <c r="SEA984" s="336"/>
      <c r="SEB984" s="337"/>
      <c r="SEC984" s="336"/>
      <c r="SED984" s="337"/>
      <c r="SEE984" s="336"/>
      <c r="SEF984" s="337"/>
      <c r="SEG984" s="336"/>
      <c r="SEH984" s="337"/>
      <c r="SEI984" s="336"/>
      <c r="SEJ984" s="337"/>
      <c r="SEK984" s="336"/>
      <c r="SEL984" s="337"/>
      <c r="SEM984" s="336"/>
      <c r="SEN984" s="337"/>
      <c r="SEO984" s="336"/>
      <c r="SEP984" s="337"/>
      <c r="SEQ984" s="336"/>
      <c r="SER984" s="337"/>
      <c r="SES984" s="336"/>
      <c r="SET984" s="337"/>
      <c r="SEU984" s="336"/>
      <c r="SEV984" s="337"/>
      <c r="SEW984" s="336"/>
      <c r="SEX984" s="337"/>
      <c r="SEY984" s="336"/>
      <c r="SEZ984" s="337"/>
      <c r="SFA984" s="336"/>
      <c r="SFB984" s="337"/>
      <c r="SFC984" s="336"/>
      <c r="SFD984" s="337"/>
      <c r="SFE984" s="336"/>
      <c r="SFF984" s="337"/>
      <c r="SFG984" s="336"/>
      <c r="SFH984" s="337"/>
      <c r="SFI984" s="336"/>
      <c r="SFJ984" s="337"/>
      <c r="SFK984" s="336"/>
      <c r="SFL984" s="337"/>
      <c r="SFM984" s="336"/>
      <c r="SFN984" s="337"/>
      <c r="SFO984" s="336"/>
      <c r="SFP984" s="337"/>
      <c r="SFQ984" s="336"/>
      <c r="SFR984" s="337"/>
      <c r="SFS984" s="336"/>
      <c r="SFT984" s="337"/>
      <c r="SFU984" s="336"/>
      <c r="SFV984" s="337"/>
      <c r="SFW984" s="336"/>
      <c r="SFX984" s="337"/>
      <c r="SFY984" s="336"/>
      <c r="SFZ984" s="337"/>
      <c r="SGA984" s="336"/>
      <c r="SGB984" s="337"/>
      <c r="SGC984" s="336"/>
      <c r="SGD984" s="337"/>
      <c r="SGE984" s="336"/>
      <c r="SGF984" s="337"/>
      <c r="SGG984" s="336"/>
      <c r="SGH984" s="337"/>
      <c r="SGI984" s="336"/>
      <c r="SGJ984" s="337"/>
      <c r="SGK984" s="336"/>
      <c r="SGL984" s="337"/>
      <c r="SGM984" s="336"/>
      <c r="SGN984" s="337"/>
      <c r="SGO984" s="336"/>
      <c r="SGP984" s="337"/>
      <c r="SGQ984" s="336"/>
      <c r="SGR984" s="337"/>
      <c r="SGS984" s="336"/>
      <c r="SGT984" s="337"/>
      <c r="SGU984" s="336"/>
      <c r="SGV984" s="337"/>
      <c r="SGW984" s="336"/>
      <c r="SGX984" s="337"/>
      <c r="SGY984" s="336"/>
      <c r="SGZ984" s="337"/>
      <c r="SHA984" s="336"/>
      <c r="SHB984" s="337"/>
      <c r="SHC984" s="336"/>
      <c r="SHD984" s="337"/>
      <c r="SHE984" s="336"/>
      <c r="SHF984" s="337"/>
      <c r="SHG984" s="336"/>
      <c r="SHH984" s="337"/>
      <c r="SHI984" s="336"/>
      <c r="SHJ984" s="337"/>
      <c r="SHK984" s="336"/>
      <c r="SHL984" s="337"/>
      <c r="SHM984" s="336"/>
      <c r="SHN984" s="337"/>
      <c r="SHO984" s="336"/>
      <c r="SHP984" s="337"/>
      <c r="SHQ984" s="336"/>
      <c r="SHR984" s="337"/>
      <c r="SHS984" s="336"/>
      <c r="SHT984" s="337"/>
      <c r="SHU984" s="336"/>
      <c r="SHV984" s="337"/>
      <c r="SHW984" s="336"/>
      <c r="SHX984" s="337"/>
      <c r="SHY984" s="336"/>
      <c r="SHZ984" s="337"/>
      <c r="SIA984" s="336"/>
      <c r="SIB984" s="337"/>
      <c r="SIC984" s="336"/>
      <c r="SID984" s="337"/>
      <c r="SIE984" s="336"/>
      <c r="SIF984" s="337"/>
      <c r="SIG984" s="336"/>
      <c r="SIH984" s="337"/>
      <c r="SII984" s="336"/>
      <c r="SIJ984" s="337"/>
      <c r="SIK984" s="336"/>
      <c r="SIL984" s="337"/>
      <c r="SIM984" s="336"/>
      <c r="SIN984" s="337"/>
      <c r="SIO984" s="336"/>
      <c r="SIP984" s="337"/>
      <c r="SIQ984" s="336"/>
      <c r="SIR984" s="337"/>
      <c r="SIS984" s="336"/>
      <c r="SIT984" s="337"/>
      <c r="SIU984" s="336"/>
      <c r="SIV984" s="337"/>
      <c r="SIW984" s="336"/>
      <c r="SIX984" s="337"/>
      <c r="SIY984" s="336"/>
      <c r="SIZ984" s="337"/>
      <c r="SJA984" s="336"/>
      <c r="SJB984" s="337"/>
      <c r="SJC984" s="336"/>
      <c r="SJD984" s="337"/>
      <c r="SJE984" s="336"/>
      <c r="SJF984" s="337"/>
      <c r="SJG984" s="336"/>
      <c r="SJH984" s="337"/>
      <c r="SJI984" s="336"/>
      <c r="SJJ984" s="337"/>
      <c r="SJK984" s="336"/>
      <c r="SJL984" s="337"/>
      <c r="SJM984" s="336"/>
      <c r="SJN984" s="337"/>
      <c r="SJO984" s="336"/>
      <c r="SJP984" s="337"/>
      <c r="SJQ984" s="336"/>
      <c r="SJR984" s="337"/>
      <c r="SJS984" s="336"/>
      <c r="SJT984" s="337"/>
      <c r="SJU984" s="336"/>
      <c r="SJV984" s="337"/>
      <c r="SJW984" s="336"/>
      <c r="SJX984" s="337"/>
      <c r="SJY984" s="336"/>
      <c r="SJZ984" s="337"/>
      <c r="SKA984" s="336"/>
      <c r="SKB984" s="337"/>
      <c r="SKC984" s="336"/>
      <c r="SKD984" s="337"/>
      <c r="SKE984" s="336"/>
      <c r="SKF984" s="337"/>
      <c r="SKG984" s="336"/>
      <c r="SKH984" s="337"/>
      <c r="SKI984" s="336"/>
      <c r="SKJ984" s="337"/>
      <c r="SKK984" s="336"/>
      <c r="SKL984" s="337"/>
      <c r="SKM984" s="336"/>
      <c r="SKN984" s="337"/>
      <c r="SKO984" s="336"/>
      <c r="SKP984" s="337"/>
      <c r="SKQ984" s="336"/>
      <c r="SKR984" s="337"/>
      <c r="SKS984" s="336"/>
      <c r="SKT984" s="337"/>
      <c r="SKU984" s="336"/>
      <c r="SKV984" s="337"/>
      <c r="SKW984" s="336"/>
      <c r="SKX984" s="337"/>
      <c r="SKY984" s="336"/>
      <c r="SKZ984" s="337"/>
      <c r="SLA984" s="336"/>
      <c r="SLB984" s="337"/>
      <c r="SLC984" s="336"/>
      <c r="SLD984" s="337"/>
      <c r="SLE984" s="336"/>
      <c r="SLF984" s="337"/>
      <c r="SLG984" s="336"/>
      <c r="SLH984" s="337"/>
      <c r="SLI984" s="336"/>
      <c r="SLJ984" s="337"/>
      <c r="SLK984" s="336"/>
      <c r="SLL984" s="337"/>
      <c r="SLM984" s="336"/>
      <c r="SLN984" s="337"/>
      <c r="SLO984" s="336"/>
      <c r="SLP984" s="337"/>
      <c r="SLQ984" s="336"/>
      <c r="SLR984" s="337"/>
      <c r="SLS984" s="336"/>
      <c r="SLT984" s="337"/>
      <c r="SLU984" s="336"/>
      <c r="SLV984" s="337"/>
      <c r="SLW984" s="336"/>
      <c r="SLX984" s="337"/>
      <c r="SLY984" s="336"/>
      <c r="SLZ984" s="337"/>
      <c r="SMA984" s="336"/>
      <c r="SMB984" s="337"/>
      <c r="SMC984" s="336"/>
      <c r="SMD984" s="337"/>
      <c r="SME984" s="336"/>
      <c r="SMF984" s="337"/>
      <c r="SMG984" s="336"/>
      <c r="SMH984" s="337"/>
      <c r="SMI984" s="336"/>
      <c r="SMJ984" s="337"/>
      <c r="SMK984" s="336"/>
      <c r="SML984" s="337"/>
      <c r="SMM984" s="336"/>
      <c r="SMN984" s="337"/>
      <c r="SMO984" s="336"/>
      <c r="SMP984" s="337"/>
      <c r="SMQ984" s="336"/>
      <c r="SMR984" s="337"/>
      <c r="SMS984" s="336"/>
      <c r="SMT984" s="337"/>
      <c r="SMU984" s="336"/>
      <c r="SMV984" s="337"/>
      <c r="SMW984" s="336"/>
      <c r="SMX984" s="337"/>
      <c r="SMY984" s="336"/>
      <c r="SMZ984" s="337"/>
      <c r="SNA984" s="336"/>
      <c r="SNB984" s="337"/>
      <c r="SNC984" s="336"/>
      <c r="SND984" s="337"/>
      <c r="SNE984" s="336"/>
      <c r="SNF984" s="337"/>
      <c r="SNG984" s="336"/>
      <c r="SNH984" s="337"/>
      <c r="SNI984" s="336"/>
      <c r="SNJ984" s="337"/>
      <c r="SNK984" s="336"/>
      <c r="SNL984" s="337"/>
      <c r="SNM984" s="336"/>
      <c r="SNN984" s="337"/>
      <c r="SNO984" s="336"/>
      <c r="SNP984" s="337"/>
      <c r="SNQ984" s="336"/>
      <c r="SNR984" s="337"/>
      <c r="SNS984" s="336"/>
      <c r="SNT984" s="337"/>
      <c r="SNU984" s="336"/>
      <c r="SNV984" s="337"/>
      <c r="SNW984" s="336"/>
      <c r="SNX984" s="337"/>
      <c r="SNY984" s="336"/>
      <c r="SNZ984" s="337"/>
      <c r="SOA984" s="336"/>
      <c r="SOB984" s="337"/>
      <c r="SOC984" s="336"/>
      <c r="SOD984" s="337"/>
      <c r="SOE984" s="336"/>
      <c r="SOF984" s="337"/>
      <c r="SOG984" s="336"/>
      <c r="SOH984" s="337"/>
      <c r="SOI984" s="336"/>
      <c r="SOJ984" s="337"/>
      <c r="SOK984" s="336"/>
      <c r="SOL984" s="337"/>
      <c r="SOM984" s="336"/>
      <c r="SON984" s="337"/>
      <c r="SOO984" s="336"/>
      <c r="SOP984" s="337"/>
      <c r="SOQ984" s="336"/>
      <c r="SOR984" s="337"/>
      <c r="SOS984" s="336"/>
      <c r="SOT984" s="337"/>
      <c r="SOU984" s="336"/>
      <c r="SOV984" s="337"/>
      <c r="SOW984" s="336"/>
      <c r="SOX984" s="337"/>
      <c r="SOY984" s="336"/>
      <c r="SOZ984" s="337"/>
      <c r="SPA984" s="336"/>
      <c r="SPB984" s="337"/>
      <c r="SPC984" s="336"/>
      <c r="SPD984" s="337"/>
      <c r="SPE984" s="336"/>
      <c r="SPF984" s="337"/>
      <c r="SPG984" s="336"/>
      <c r="SPH984" s="337"/>
      <c r="SPI984" s="336"/>
      <c r="SPJ984" s="337"/>
      <c r="SPK984" s="336"/>
      <c r="SPL984" s="337"/>
      <c r="SPM984" s="336"/>
      <c r="SPN984" s="337"/>
      <c r="SPO984" s="336"/>
      <c r="SPP984" s="337"/>
      <c r="SPQ984" s="336"/>
      <c r="SPR984" s="337"/>
      <c r="SPS984" s="336"/>
      <c r="SPT984" s="337"/>
      <c r="SPU984" s="336"/>
      <c r="SPV984" s="337"/>
      <c r="SPW984" s="336"/>
      <c r="SPX984" s="337"/>
      <c r="SPY984" s="336"/>
      <c r="SPZ984" s="337"/>
      <c r="SQA984" s="336"/>
      <c r="SQB984" s="337"/>
      <c r="SQC984" s="336"/>
      <c r="SQD984" s="337"/>
      <c r="SQE984" s="336"/>
      <c r="SQF984" s="337"/>
      <c r="SQG984" s="336"/>
      <c r="SQH984" s="337"/>
      <c r="SQI984" s="336"/>
      <c r="SQJ984" s="337"/>
      <c r="SQK984" s="336"/>
      <c r="SQL984" s="337"/>
      <c r="SQM984" s="336"/>
      <c r="SQN984" s="337"/>
      <c r="SQO984" s="336"/>
      <c r="SQP984" s="337"/>
      <c r="SQQ984" s="336"/>
      <c r="SQR984" s="337"/>
      <c r="SQS984" s="336"/>
      <c r="SQT984" s="337"/>
      <c r="SQU984" s="336"/>
      <c r="SQV984" s="337"/>
      <c r="SQW984" s="336"/>
      <c r="SQX984" s="337"/>
      <c r="SQY984" s="336"/>
      <c r="SQZ984" s="337"/>
      <c r="SRA984" s="336"/>
      <c r="SRB984" s="337"/>
      <c r="SRC984" s="336"/>
      <c r="SRD984" s="337"/>
      <c r="SRE984" s="336"/>
      <c r="SRF984" s="337"/>
      <c r="SRG984" s="336"/>
      <c r="SRH984" s="337"/>
      <c r="SRI984" s="336"/>
      <c r="SRJ984" s="337"/>
      <c r="SRK984" s="336"/>
      <c r="SRL984" s="337"/>
      <c r="SRM984" s="336"/>
      <c r="SRN984" s="337"/>
      <c r="SRO984" s="336"/>
      <c r="SRP984" s="337"/>
      <c r="SRQ984" s="336"/>
      <c r="SRR984" s="337"/>
      <c r="SRS984" s="336"/>
      <c r="SRT984" s="337"/>
      <c r="SRU984" s="336"/>
      <c r="SRV984" s="337"/>
      <c r="SRW984" s="336"/>
      <c r="SRX984" s="337"/>
      <c r="SRY984" s="336"/>
      <c r="SRZ984" s="337"/>
      <c r="SSA984" s="336"/>
      <c r="SSB984" s="337"/>
      <c r="SSC984" s="336"/>
      <c r="SSD984" s="337"/>
      <c r="SSE984" s="336"/>
      <c r="SSF984" s="337"/>
      <c r="SSG984" s="336"/>
      <c r="SSH984" s="337"/>
      <c r="SSI984" s="336"/>
      <c r="SSJ984" s="337"/>
      <c r="SSK984" s="336"/>
      <c r="SSL984" s="337"/>
      <c r="SSM984" s="336"/>
      <c r="SSN984" s="337"/>
      <c r="SSO984" s="336"/>
      <c r="SSP984" s="337"/>
      <c r="SSQ984" s="336"/>
      <c r="SSR984" s="337"/>
      <c r="SSS984" s="336"/>
      <c r="SST984" s="337"/>
      <c r="SSU984" s="336"/>
      <c r="SSV984" s="337"/>
      <c r="SSW984" s="336"/>
      <c r="SSX984" s="337"/>
      <c r="SSY984" s="336"/>
      <c r="SSZ984" s="337"/>
      <c r="STA984" s="336"/>
      <c r="STB984" s="337"/>
      <c r="STC984" s="336"/>
      <c r="STD984" s="337"/>
      <c r="STE984" s="336"/>
      <c r="STF984" s="337"/>
      <c r="STG984" s="336"/>
      <c r="STH984" s="337"/>
      <c r="STI984" s="336"/>
      <c r="STJ984" s="337"/>
      <c r="STK984" s="336"/>
      <c r="STL984" s="337"/>
      <c r="STM984" s="336"/>
      <c r="STN984" s="337"/>
      <c r="STO984" s="336"/>
      <c r="STP984" s="337"/>
      <c r="STQ984" s="336"/>
      <c r="STR984" s="337"/>
      <c r="STS984" s="336"/>
      <c r="STT984" s="337"/>
      <c r="STU984" s="336"/>
      <c r="STV984" s="337"/>
      <c r="STW984" s="336"/>
      <c r="STX984" s="337"/>
      <c r="STY984" s="336"/>
      <c r="STZ984" s="337"/>
      <c r="SUA984" s="336"/>
      <c r="SUB984" s="337"/>
      <c r="SUC984" s="336"/>
      <c r="SUD984" s="337"/>
      <c r="SUE984" s="336"/>
      <c r="SUF984" s="337"/>
      <c r="SUG984" s="336"/>
      <c r="SUH984" s="337"/>
      <c r="SUI984" s="336"/>
      <c r="SUJ984" s="337"/>
      <c r="SUK984" s="336"/>
      <c r="SUL984" s="337"/>
      <c r="SUM984" s="336"/>
      <c r="SUN984" s="337"/>
      <c r="SUO984" s="336"/>
      <c r="SUP984" s="337"/>
      <c r="SUQ984" s="336"/>
      <c r="SUR984" s="337"/>
      <c r="SUS984" s="336"/>
      <c r="SUT984" s="337"/>
      <c r="SUU984" s="336"/>
      <c r="SUV984" s="337"/>
      <c r="SUW984" s="336"/>
      <c r="SUX984" s="337"/>
      <c r="SUY984" s="336"/>
      <c r="SUZ984" s="337"/>
      <c r="SVA984" s="336"/>
      <c r="SVB984" s="337"/>
      <c r="SVC984" s="336"/>
      <c r="SVD984" s="337"/>
      <c r="SVE984" s="336"/>
      <c r="SVF984" s="337"/>
      <c r="SVG984" s="336"/>
      <c r="SVH984" s="337"/>
      <c r="SVI984" s="336"/>
      <c r="SVJ984" s="337"/>
      <c r="SVK984" s="336"/>
      <c r="SVL984" s="337"/>
      <c r="SVM984" s="336"/>
      <c r="SVN984" s="337"/>
      <c r="SVO984" s="336"/>
      <c r="SVP984" s="337"/>
      <c r="SVQ984" s="336"/>
      <c r="SVR984" s="337"/>
      <c r="SVS984" s="336"/>
      <c r="SVT984" s="337"/>
      <c r="SVU984" s="336"/>
      <c r="SVV984" s="337"/>
      <c r="SVW984" s="336"/>
      <c r="SVX984" s="337"/>
      <c r="SVY984" s="336"/>
      <c r="SVZ984" s="337"/>
      <c r="SWA984" s="336"/>
      <c r="SWB984" s="337"/>
      <c r="SWC984" s="336"/>
      <c r="SWD984" s="337"/>
      <c r="SWE984" s="336"/>
      <c r="SWF984" s="337"/>
      <c r="SWG984" s="336"/>
      <c r="SWH984" s="337"/>
      <c r="SWI984" s="336"/>
      <c r="SWJ984" s="337"/>
      <c r="SWK984" s="336"/>
      <c r="SWL984" s="337"/>
      <c r="SWM984" s="336"/>
      <c r="SWN984" s="337"/>
      <c r="SWO984" s="336"/>
      <c r="SWP984" s="337"/>
      <c r="SWQ984" s="336"/>
      <c r="SWR984" s="337"/>
      <c r="SWS984" s="336"/>
      <c r="SWT984" s="337"/>
      <c r="SWU984" s="336"/>
      <c r="SWV984" s="337"/>
      <c r="SWW984" s="336"/>
      <c r="SWX984" s="337"/>
      <c r="SWY984" s="336"/>
      <c r="SWZ984" s="337"/>
      <c r="SXA984" s="336"/>
      <c r="SXB984" s="337"/>
      <c r="SXC984" s="336"/>
      <c r="SXD984" s="337"/>
      <c r="SXE984" s="336"/>
      <c r="SXF984" s="337"/>
      <c r="SXG984" s="336"/>
      <c r="SXH984" s="337"/>
      <c r="SXI984" s="336"/>
      <c r="SXJ984" s="337"/>
      <c r="SXK984" s="336"/>
      <c r="SXL984" s="337"/>
      <c r="SXM984" s="336"/>
      <c r="SXN984" s="337"/>
      <c r="SXO984" s="336"/>
      <c r="SXP984" s="337"/>
      <c r="SXQ984" s="336"/>
      <c r="SXR984" s="337"/>
      <c r="SXS984" s="336"/>
      <c r="SXT984" s="337"/>
      <c r="SXU984" s="336"/>
      <c r="SXV984" s="337"/>
      <c r="SXW984" s="336"/>
      <c r="SXX984" s="337"/>
      <c r="SXY984" s="336"/>
      <c r="SXZ984" s="337"/>
      <c r="SYA984" s="336"/>
      <c r="SYB984" s="337"/>
      <c r="SYC984" s="336"/>
      <c r="SYD984" s="337"/>
      <c r="SYE984" s="336"/>
      <c r="SYF984" s="337"/>
      <c r="SYG984" s="336"/>
      <c r="SYH984" s="337"/>
      <c r="SYI984" s="336"/>
      <c r="SYJ984" s="337"/>
      <c r="SYK984" s="336"/>
      <c r="SYL984" s="337"/>
      <c r="SYM984" s="336"/>
      <c r="SYN984" s="337"/>
      <c r="SYO984" s="336"/>
      <c r="SYP984" s="337"/>
      <c r="SYQ984" s="336"/>
      <c r="SYR984" s="337"/>
      <c r="SYS984" s="336"/>
      <c r="SYT984" s="337"/>
      <c r="SYU984" s="336"/>
      <c r="SYV984" s="337"/>
      <c r="SYW984" s="336"/>
      <c r="SYX984" s="337"/>
      <c r="SYY984" s="336"/>
      <c r="SYZ984" s="337"/>
      <c r="SZA984" s="336"/>
      <c r="SZB984" s="337"/>
      <c r="SZC984" s="336"/>
      <c r="SZD984" s="337"/>
      <c r="SZE984" s="336"/>
      <c r="SZF984" s="337"/>
      <c r="SZG984" s="336"/>
      <c r="SZH984" s="337"/>
      <c r="SZI984" s="336"/>
      <c r="SZJ984" s="337"/>
      <c r="SZK984" s="336"/>
      <c r="SZL984" s="337"/>
      <c r="SZM984" s="336"/>
      <c r="SZN984" s="337"/>
      <c r="SZO984" s="336"/>
      <c r="SZP984" s="337"/>
      <c r="SZQ984" s="336"/>
      <c r="SZR984" s="337"/>
      <c r="SZS984" s="336"/>
      <c r="SZT984" s="337"/>
      <c r="SZU984" s="336"/>
      <c r="SZV984" s="337"/>
      <c r="SZW984" s="336"/>
      <c r="SZX984" s="337"/>
      <c r="SZY984" s="336"/>
      <c r="SZZ984" s="337"/>
      <c r="TAA984" s="336"/>
      <c r="TAB984" s="337"/>
      <c r="TAC984" s="336"/>
      <c r="TAD984" s="337"/>
      <c r="TAE984" s="336"/>
      <c r="TAF984" s="337"/>
      <c r="TAG984" s="336"/>
      <c r="TAH984" s="337"/>
      <c r="TAI984" s="336"/>
      <c r="TAJ984" s="337"/>
      <c r="TAK984" s="336"/>
      <c r="TAL984" s="337"/>
      <c r="TAM984" s="336"/>
      <c r="TAN984" s="337"/>
      <c r="TAO984" s="336"/>
      <c r="TAP984" s="337"/>
      <c r="TAQ984" s="336"/>
      <c r="TAR984" s="337"/>
      <c r="TAS984" s="336"/>
      <c r="TAT984" s="337"/>
      <c r="TAU984" s="336"/>
      <c r="TAV984" s="337"/>
      <c r="TAW984" s="336"/>
      <c r="TAX984" s="337"/>
      <c r="TAY984" s="336"/>
      <c r="TAZ984" s="337"/>
      <c r="TBA984" s="336"/>
      <c r="TBB984" s="337"/>
      <c r="TBC984" s="336"/>
      <c r="TBD984" s="337"/>
      <c r="TBE984" s="336"/>
      <c r="TBF984" s="337"/>
      <c r="TBG984" s="336"/>
      <c r="TBH984" s="337"/>
      <c r="TBI984" s="336"/>
      <c r="TBJ984" s="337"/>
      <c r="TBK984" s="336"/>
      <c r="TBL984" s="337"/>
      <c r="TBM984" s="336"/>
      <c r="TBN984" s="337"/>
      <c r="TBO984" s="336"/>
      <c r="TBP984" s="337"/>
      <c r="TBQ984" s="336"/>
      <c r="TBR984" s="337"/>
      <c r="TBS984" s="336"/>
      <c r="TBT984" s="337"/>
      <c r="TBU984" s="336"/>
      <c r="TBV984" s="337"/>
      <c r="TBW984" s="336"/>
      <c r="TBX984" s="337"/>
      <c r="TBY984" s="336"/>
      <c r="TBZ984" s="337"/>
      <c r="TCA984" s="336"/>
      <c r="TCB984" s="337"/>
      <c r="TCC984" s="336"/>
      <c r="TCD984" s="337"/>
      <c r="TCE984" s="336"/>
      <c r="TCF984" s="337"/>
      <c r="TCG984" s="336"/>
      <c r="TCH984" s="337"/>
      <c r="TCI984" s="336"/>
      <c r="TCJ984" s="337"/>
      <c r="TCK984" s="336"/>
      <c r="TCL984" s="337"/>
      <c r="TCM984" s="336"/>
      <c r="TCN984" s="337"/>
      <c r="TCO984" s="336"/>
      <c r="TCP984" s="337"/>
      <c r="TCQ984" s="336"/>
      <c r="TCR984" s="337"/>
      <c r="TCS984" s="336"/>
      <c r="TCT984" s="337"/>
      <c r="TCU984" s="336"/>
      <c r="TCV984" s="337"/>
      <c r="TCW984" s="336"/>
      <c r="TCX984" s="337"/>
      <c r="TCY984" s="336"/>
      <c r="TCZ984" s="337"/>
      <c r="TDA984" s="336"/>
      <c r="TDB984" s="337"/>
      <c r="TDC984" s="336"/>
      <c r="TDD984" s="337"/>
      <c r="TDE984" s="336"/>
      <c r="TDF984" s="337"/>
      <c r="TDG984" s="336"/>
      <c r="TDH984" s="337"/>
      <c r="TDI984" s="336"/>
      <c r="TDJ984" s="337"/>
      <c r="TDK984" s="336"/>
      <c r="TDL984" s="337"/>
      <c r="TDM984" s="336"/>
      <c r="TDN984" s="337"/>
      <c r="TDO984" s="336"/>
      <c r="TDP984" s="337"/>
      <c r="TDQ984" s="336"/>
      <c r="TDR984" s="337"/>
      <c r="TDS984" s="336"/>
      <c r="TDT984" s="337"/>
      <c r="TDU984" s="336"/>
      <c r="TDV984" s="337"/>
      <c r="TDW984" s="336"/>
      <c r="TDX984" s="337"/>
      <c r="TDY984" s="336"/>
      <c r="TDZ984" s="337"/>
      <c r="TEA984" s="336"/>
      <c r="TEB984" s="337"/>
      <c r="TEC984" s="336"/>
      <c r="TED984" s="337"/>
      <c r="TEE984" s="336"/>
      <c r="TEF984" s="337"/>
      <c r="TEG984" s="336"/>
      <c r="TEH984" s="337"/>
      <c r="TEI984" s="336"/>
      <c r="TEJ984" s="337"/>
      <c r="TEK984" s="336"/>
      <c r="TEL984" s="337"/>
      <c r="TEM984" s="336"/>
      <c r="TEN984" s="337"/>
      <c r="TEO984" s="336"/>
      <c r="TEP984" s="337"/>
      <c r="TEQ984" s="336"/>
      <c r="TER984" s="337"/>
      <c r="TES984" s="336"/>
      <c r="TET984" s="337"/>
      <c r="TEU984" s="336"/>
      <c r="TEV984" s="337"/>
      <c r="TEW984" s="336"/>
      <c r="TEX984" s="337"/>
      <c r="TEY984" s="336"/>
      <c r="TEZ984" s="337"/>
      <c r="TFA984" s="336"/>
      <c r="TFB984" s="337"/>
      <c r="TFC984" s="336"/>
      <c r="TFD984" s="337"/>
      <c r="TFE984" s="336"/>
      <c r="TFF984" s="337"/>
      <c r="TFG984" s="336"/>
      <c r="TFH984" s="337"/>
      <c r="TFI984" s="336"/>
      <c r="TFJ984" s="337"/>
      <c r="TFK984" s="336"/>
      <c r="TFL984" s="337"/>
      <c r="TFM984" s="336"/>
      <c r="TFN984" s="337"/>
      <c r="TFO984" s="336"/>
      <c r="TFP984" s="337"/>
      <c r="TFQ984" s="336"/>
      <c r="TFR984" s="337"/>
      <c r="TFS984" s="336"/>
      <c r="TFT984" s="337"/>
      <c r="TFU984" s="336"/>
      <c r="TFV984" s="337"/>
      <c r="TFW984" s="336"/>
      <c r="TFX984" s="337"/>
      <c r="TFY984" s="336"/>
      <c r="TFZ984" s="337"/>
      <c r="TGA984" s="336"/>
      <c r="TGB984" s="337"/>
      <c r="TGC984" s="336"/>
      <c r="TGD984" s="337"/>
      <c r="TGE984" s="336"/>
      <c r="TGF984" s="337"/>
      <c r="TGG984" s="336"/>
      <c r="TGH984" s="337"/>
      <c r="TGI984" s="336"/>
      <c r="TGJ984" s="337"/>
      <c r="TGK984" s="336"/>
      <c r="TGL984" s="337"/>
      <c r="TGM984" s="336"/>
      <c r="TGN984" s="337"/>
      <c r="TGO984" s="336"/>
      <c r="TGP984" s="337"/>
      <c r="TGQ984" s="336"/>
      <c r="TGR984" s="337"/>
      <c r="TGS984" s="336"/>
      <c r="TGT984" s="337"/>
      <c r="TGU984" s="336"/>
      <c r="TGV984" s="337"/>
      <c r="TGW984" s="336"/>
      <c r="TGX984" s="337"/>
      <c r="TGY984" s="336"/>
      <c r="TGZ984" s="337"/>
      <c r="THA984" s="336"/>
      <c r="THB984" s="337"/>
      <c r="THC984" s="336"/>
      <c r="THD984" s="337"/>
      <c r="THE984" s="336"/>
      <c r="THF984" s="337"/>
      <c r="THG984" s="336"/>
      <c r="THH984" s="337"/>
      <c r="THI984" s="336"/>
      <c r="THJ984" s="337"/>
      <c r="THK984" s="336"/>
      <c r="THL984" s="337"/>
      <c r="THM984" s="336"/>
      <c r="THN984" s="337"/>
      <c r="THO984" s="336"/>
      <c r="THP984" s="337"/>
      <c r="THQ984" s="336"/>
      <c r="THR984" s="337"/>
      <c r="THS984" s="336"/>
      <c r="THT984" s="337"/>
      <c r="THU984" s="336"/>
      <c r="THV984" s="337"/>
      <c r="THW984" s="336"/>
      <c r="THX984" s="337"/>
      <c r="THY984" s="336"/>
      <c r="THZ984" s="337"/>
      <c r="TIA984" s="336"/>
      <c r="TIB984" s="337"/>
      <c r="TIC984" s="336"/>
      <c r="TID984" s="337"/>
      <c r="TIE984" s="336"/>
      <c r="TIF984" s="337"/>
      <c r="TIG984" s="336"/>
      <c r="TIH984" s="337"/>
      <c r="TII984" s="336"/>
      <c r="TIJ984" s="337"/>
      <c r="TIK984" s="336"/>
      <c r="TIL984" s="337"/>
      <c r="TIM984" s="336"/>
      <c r="TIN984" s="337"/>
      <c r="TIO984" s="336"/>
      <c r="TIP984" s="337"/>
      <c r="TIQ984" s="336"/>
      <c r="TIR984" s="337"/>
      <c r="TIS984" s="336"/>
      <c r="TIT984" s="337"/>
      <c r="TIU984" s="336"/>
      <c r="TIV984" s="337"/>
      <c r="TIW984" s="336"/>
      <c r="TIX984" s="337"/>
      <c r="TIY984" s="336"/>
      <c r="TIZ984" s="337"/>
      <c r="TJA984" s="336"/>
      <c r="TJB984" s="337"/>
      <c r="TJC984" s="336"/>
      <c r="TJD984" s="337"/>
      <c r="TJE984" s="336"/>
      <c r="TJF984" s="337"/>
      <c r="TJG984" s="336"/>
      <c r="TJH984" s="337"/>
      <c r="TJI984" s="336"/>
      <c r="TJJ984" s="337"/>
      <c r="TJK984" s="336"/>
      <c r="TJL984" s="337"/>
      <c r="TJM984" s="336"/>
      <c r="TJN984" s="337"/>
      <c r="TJO984" s="336"/>
      <c r="TJP984" s="337"/>
      <c r="TJQ984" s="336"/>
      <c r="TJR984" s="337"/>
      <c r="TJS984" s="336"/>
      <c r="TJT984" s="337"/>
      <c r="TJU984" s="336"/>
      <c r="TJV984" s="337"/>
      <c r="TJW984" s="336"/>
      <c r="TJX984" s="337"/>
      <c r="TJY984" s="336"/>
      <c r="TJZ984" s="337"/>
      <c r="TKA984" s="336"/>
      <c r="TKB984" s="337"/>
      <c r="TKC984" s="336"/>
      <c r="TKD984" s="337"/>
      <c r="TKE984" s="336"/>
      <c r="TKF984" s="337"/>
      <c r="TKG984" s="336"/>
      <c r="TKH984" s="337"/>
      <c r="TKI984" s="336"/>
      <c r="TKJ984" s="337"/>
      <c r="TKK984" s="336"/>
      <c r="TKL984" s="337"/>
      <c r="TKM984" s="336"/>
      <c r="TKN984" s="337"/>
      <c r="TKO984" s="336"/>
      <c r="TKP984" s="337"/>
      <c r="TKQ984" s="336"/>
      <c r="TKR984" s="337"/>
      <c r="TKS984" s="336"/>
      <c r="TKT984" s="337"/>
      <c r="TKU984" s="336"/>
      <c r="TKV984" s="337"/>
      <c r="TKW984" s="336"/>
      <c r="TKX984" s="337"/>
      <c r="TKY984" s="336"/>
      <c r="TKZ984" s="337"/>
      <c r="TLA984" s="336"/>
      <c r="TLB984" s="337"/>
      <c r="TLC984" s="336"/>
      <c r="TLD984" s="337"/>
      <c r="TLE984" s="336"/>
      <c r="TLF984" s="337"/>
      <c r="TLG984" s="336"/>
      <c r="TLH984" s="337"/>
      <c r="TLI984" s="336"/>
      <c r="TLJ984" s="337"/>
      <c r="TLK984" s="336"/>
      <c r="TLL984" s="337"/>
      <c r="TLM984" s="336"/>
      <c r="TLN984" s="337"/>
      <c r="TLO984" s="336"/>
      <c r="TLP984" s="337"/>
      <c r="TLQ984" s="336"/>
      <c r="TLR984" s="337"/>
      <c r="TLS984" s="336"/>
      <c r="TLT984" s="337"/>
      <c r="TLU984" s="336"/>
      <c r="TLV984" s="337"/>
      <c r="TLW984" s="336"/>
      <c r="TLX984" s="337"/>
      <c r="TLY984" s="336"/>
      <c r="TLZ984" s="337"/>
      <c r="TMA984" s="336"/>
      <c r="TMB984" s="337"/>
      <c r="TMC984" s="336"/>
      <c r="TMD984" s="337"/>
      <c r="TME984" s="336"/>
      <c r="TMF984" s="337"/>
      <c r="TMG984" s="336"/>
      <c r="TMH984" s="337"/>
      <c r="TMI984" s="336"/>
      <c r="TMJ984" s="337"/>
      <c r="TMK984" s="336"/>
      <c r="TML984" s="337"/>
      <c r="TMM984" s="336"/>
      <c r="TMN984" s="337"/>
      <c r="TMO984" s="336"/>
      <c r="TMP984" s="337"/>
      <c r="TMQ984" s="336"/>
      <c r="TMR984" s="337"/>
      <c r="TMS984" s="336"/>
      <c r="TMT984" s="337"/>
      <c r="TMU984" s="336"/>
      <c r="TMV984" s="337"/>
      <c r="TMW984" s="336"/>
      <c r="TMX984" s="337"/>
      <c r="TMY984" s="336"/>
      <c r="TMZ984" s="337"/>
      <c r="TNA984" s="336"/>
      <c r="TNB984" s="337"/>
      <c r="TNC984" s="336"/>
      <c r="TND984" s="337"/>
      <c r="TNE984" s="336"/>
      <c r="TNF984" s="337"/>
      <c r="TNG984" s="336"/>
      <c r="TNH984" s="337"/>
      <c r="TNI984" s="336"/>
      <c r="TNJ984" s="337"/>
      <c r="TNK984" s="336"/>
      <c r="TNL984" s="337"/>
      <c r="TNM984" s="336"/>
      <c r="TNN984" s="337"/>
      <c r="TNO984" s="336"/>
      <c r="TNP984" s="337"/>
      <c r="TNQ984" s="336"/>
      <c r="TNR984" s="337"/>
      <c r="TNS984" s="336"/>
      <c r="TNT984" s="337"/>
      <c r="TNU984" s="336"/>
      <c r="TNV984" s="337"/>
      <c r="TNW984" s="336"/>
      <c r="TNX984" s="337"/>
      <c r="TNY984" s="336"/>
      <c r="TNZ984" s="337"/>
      <c r="TOA984" s="336"/>
      <c r="TOB984" s="337"/>
      <c r="TOC984" s="336"/>
      <c r="TOD984" s="337"/>
      <c r="TOE984" s="336"/>
      <c r="TOF984" s="337"/>
      <c r="TOG984" s="336"/>
      <c r="TOH984" s="337"/>
      <c r="TOI984" s="336"/>
      <c r="TOJ984" s="337"/>
      <c r="TOK984" s="336"/>
      <c r="TOL984" s="337"/>
      <c r="TOM984" s="336"/>
      <c r="TON984" s="337"/>
      <c r="TOO984" s="336"/>
      <c r="TOP984" s="337"/>
      <c r="TOQ984" s="336"/>
      <c r="TOR984" s="337"/>
      <c r="TOS984" s="336"/>
      <c r="TOT984" s="337"/>
      <c r="TOU984" s="336"/>
      <c r="TOV984" s="337"/>
      <c r="TOW984" s="336"/>
      <c r="TOX984" s="337"/>
      <c r="TOY984" s="336"/>
      <c r="TOZ984" s="337"/>
      <c r="TPA984" s="336"/>
      <c r="TPB984" s="337"/>
      <c r="TPC984" s="336"/>
      <c r="TPD984" s="337"/>
      <c r="TPE984" s="336"/>
      <c r="TPF984" s="337"/>
      <c r="TPG984" s="336"/>
      <c r="TPH984" s="337"/>
      <c r="TPI984" s="336"/>
      <c r="TPJ984" s="337"/>
      <c r="TPK984" s="336"/>
      <c r="TPL984" s="337"/>
      <c r="TPM984" s="336"/>
      <c r="TPN984" s="337"/>
      <c r="TPO984" s="336"/>
      <c r="TPP984" s="337"/>
      <c r="TPQ984" s="336"/>
      <c r="TPR984" s="337"/>
      <c r="TPS984" s="336"/>
      <c r="TPT984" s="337"/>
      <c r="TPU984" s="336"/>
      <c r="TPV984" s="337"/>
      <c r="TPW984" s="336"/>
      <c r="TPX984" s="337"/>
      <c r="TPY984" s="336"/>
      <c r="TPZ984" s="337"/>
      <c r="TQA984" s="336"/>
      <c r="TQB984" s="337"/>
      <c r="TQC984" s="336"/>
      <c r="TQD984" s="337"/>
      <c r="TQE984" s="336"/>
      <c r="TQF984" s="337"/>
      <c r="TQG984" s="336"/>
      <c r="TQH984" s="337"/>
      <c r="TQI984" s="336"/>
      <c r="TQJ984" s="337"/>
      <c r="TQK984" s="336"/>
      <c r="TQL984" s="337"/>
      <c r="TQM984" s="336"/>
      <c r="TQN984" s="337"/>
      <c r="TQO984" s="336"/>
      <c r="TQP984" s="337"/>
      <c r="TQQ984" s="336"/>
      <c r="TQR984" s="337"/>
      <c r="TQS984" s="336"/>
      <c r="TQT984" s="337"/>
      <c r="TQU984" s="336"/>
      <c r="TQV984" s="337"/>
      <c r="TQW984" s="336"/>
      <c r="TQX984" s="337"/>
      <c r="TQY984" s="336"/>
      <c r="TQZ984" s="337"/>
      <c r="TRA984" s="336"/>
      <c r="TRB984" s="337"/>
      <c r="TRC984" s="336"/>
      <c r="TRD984" s="337"/>
      <c r="TRE984" s="336"/>
      <c r="TRF984" s="337"/>
      <c r="TRG984" s="336"/>
      <c r="TRH984" s="337"/>
      <c r="TRI984" s="336"/>
      <c r="TRJ984" s="337"/>
      <c r="TRK984" s="336"/>
      <c r="TRL984" s="337"/>
      <c r="TRM984" s="336"/>
      <c r="TRN984" s="337"/>
      <c r="TRO984" s="336"/>
      <c r="TRP984" s="337"/>
      <c r="TRQ984" s="336"/>
      <c r="TRR984" s="337"/>
      <c r="TRS984" s="336"/>
      <c r="TRT984" s="337"/>
      <c r="TRU984" s="336"/>
      <c r="TRV984" s="337"/>
      <c r="TRW984" s="336"/>
      <c r="TRX984" s="337"/>
      <c r="TRY984" s="336"/>
      <c r="TRZ984" s="337"/>
      <c r="TSA984" s="336"/>
      <c r="TSB984" s="337"/>
      <c r="TSC984" s="336"/>
      <c r="TSD984" s="337"/>
      <c r="TSE984" s="336"/>
      <c r="TSF984" s="337"/>
      <c r="TSG984" s="336"/>
      <c r="TSH984" s="337"/>
      <c r="TSI984" s="336"/>
      <c r="TSJ984" s="337"/>
      <c r="TSK984" s="336"/>
      <c r="TSL984" s="337"/>
      <c r="TSM984" s="336"/>
      <c r="TSN984" s="337"/>
      <c r="TSO984" s="336"/>
      <c r="TSP984" s="337"/>
      <c r="TSQ984" s="336"/>
      <c r="TSR984" s="337"/>
      <c r="TSS984" s="336"/>
      <c r="TST984" s="337"/>
      <c r="TSU984" s="336"/>
      <c r="TSV984" s="337"/>
      <c r="TSW984" s="336"/>
      <c r="TSX984" s="337"/>
      <c r="TSY984" s="336"/>
      <c r="TSZ984" s="337"/>
      <c r="TTA984" s="336"/>
      <c r="TTB984" s="337"/>
      <c r="TTC984" s="336"/>
      <c r="TTD984" s="337"/>
      <c r="TTE984" s="336"/>
      <c r="TTF984" s="337"/>
      <c r="TTG984" s="336"/>
      <c r="TTH984" s="337"/>
      <c r="TTI984" s="336"/>
      <c r="TTJ984" s="337"/>
      <c r="TTK984" s="336"/>
      <c r="TTL984" s="337"/>
      <c r="TTM984" s="336"/>
      <c r="TTN984" s="337"/>
      <c r="TTO984" s="336"/>
      <c r="TTP984" s="337"/>
      <c r="TTQ984" s="336"/>
      <c r="TTR984" s="337"/>
      <c r="TTS984" s="336"/>
      <c r="TTT984" s="337"/>
      <c r="TTU984" s="336"/>
      <c r="TTV984" s="337"/>
      <c r="TTW984" s="336"/>
      <c r="TTX984" s="337"/>
      <c r="TTY984" s="336"/>
      <c r="TTZ984" s="337"/>
      <c r="TUA984" s="336"/>
      <c r="TUB984" s="337"/>
      <c r="TUC984" s="336"/>
      <c r="TUD984" s="337"/>
      <c r="TUE984" s="336"/>
      <c r="TUF984" s="337"/>
      <c r="TUG984" s="336"/>
      <c r="TUH984" s="337"/>
      <c r="TUI984" s="336"/>
      <c r="TUJ984" s="337"/>
      <c r="TUK984" s="336"/>
      <c r="TUL984" s="337"/>
      <c r="TUM984" s="336"/>
      <c r="TUN984" s="337"/>
      <c r="TUO984" s="336"/>
      <c r="TUP984" s="337"/>
      <c r="TUQ984" s="336"/>
      <c r="TUR984" s="337"/>
      <c r="TUS984" s="336"/>
      <c r="TUT984" s="337"/>
      <c r="TUU984" s="336"/>
      <c r="TUV984" s="337"/>
      <c r="TUW984" s="336"/>
      <c r="TUX984" s="337"/>
      <c r="TUY984" s="336"/>
      <c r="TUZ984" s="337"/>
      <c r="TVA984" s="336"/>
      <c r="TVB984" s="337"/>
      <c r="TVC984" s="336"/>
      <c r="TVD984" s="337"/>
      <c r="TVE984" s="336"/>
      <c r="TVF984" s="337"/>
      <c r="TVG984" s="336"/>
      <c r="TVH984" s="337"/>
      <c r="TVI984" s="336"/>
      <c r="TVJ984" s="337"/>
      <c r="TVK984" s="336"/>
      <c r="TVL984" s="337"/>
      <c r="TVM984" s="336"/>
      <c r="TVN984" s="337"/>
      <c r="TVO984" s="336"/>
      <c r="TVP984" s="337"/>
      <c r="TVQ984" s="336"/>
      <c r="TVR984" s="337"/>
      <c r="TVS984" s="336"/>
      <c r="TVT984" s="337"/>
      <c r="TVU984" s="336"/>
      <c r="TVV984" s="337"/>
      <c r="TVW984" s="336"/>
      <c r="TVX984" s="337"/>
      <c r="TVY984" s="336"/>
      <c r="TVZ984" s="337"/>
      <c r="TWA984" s="336"/>
      <c r="TWB984" s="337"/>
      <c r="TWC984" s="336"/>
      <c r="TWD984" s="337"/>
      <c r="TWE984" s="336"/>
      <c r="TWF984" s="337"/>
      <c r="TWG984" s="336"/>
      <c r="TWH984" s="337"/>
      <c r="TWI984" s="336"/>
      <c r="TWJ984" s="337"/>
      <c r="TWK984" s="336"/>
      <c r="TWL984" s="337"/>
      <c r="TWM984" s="336"/>
      <c r="TWN984" s="337"/>
      <c r="TWO984" s="336"/>
      <c r="TWP984" s="337"/>
      <c r="TWQ984" s="336"/>
      <c r="TWR984" s="337"/>
      <c r="TWS984" s="336"/>
      <c r="TWT984" s="337"/>
      <c r="TWU984" s="336"/>
      <c r="TWV984" s="337"/>
      <c r="TWW984" s="336"/>
      <c r="TWX984" s="337"/>
      <c r="TWY984" s="336"/>
      <c r="TWZ984" s="337"/>
      <c r="TXA984" s="336"/>
      <c r="TXB984" s="337"/>
      <c r="TXC984" s="336"/>
      <c r="TXD984" s="337"/>
      <c r="TXE984" s="336"/>
      <c r="TXF984" s="337"/>
      <c r="TXG984" s="336"/>
      <c r="TXH984" s="337"/>
      <c r="TXI984" s="336"/>
      <c r="TXJ984" s="337"/>
      <c r="TXK984" s="336"/>
      <c r="TXL984" s="337"/>
      <c r="TXM984" s="336"/>
      <c r="TXN984" s="337"/>
      <c r="TXO984" s="336"/>
      <c r="TXP984" s="337"/>
      <c r="TXQ984" s="336"/>
      <c r="TXR984" s="337"/>
      <c r="TXS984" s="336"/>
      <c r="TXT984" s="337"/>
      <c r="TXU984" s="336"/>
      <c r="TXV984" s="337"/>
      <c r="TXW984" s="336"/>
      <c r="TXX984" s="337"/>
      <c r="TXY984" s="336"/>
      <c r="TXZ984" s="337"/>
      <c r="TYA984" s="336"/>
      <c r="TYB984" s="337"/>
      <c r="TYC984" s="336"/>
      <c r="TYD984" s="337"/>
      <c r="TYE984" s="336"/>
      <c r="TYF984" s="337"/>
      <c r="TYG984" s="336"/>
      <c r="TYH984" s="337"/>
      <c r="TYI984" s="336"/>
      <c r="TYJ984" s="337"/>
      <c r="TYK984" s="336"/>
      <c r="TYL984" s="337"/>
      <c r="TYM984" s="336"/>
      <c r="TYN984" s="337"/>
      <c r="TYO984" s="336"/>
      <c r="TYP984" s="337"/>
      <c r="TYQ984" s="336"/>
      <c r="TYR984" s="337"/>
      <c r="TYS984" s="336"/>
      <c r="TYT984" s="337"/>
      <c r="TYU984" s="336"/>
      <c r="TYV984" s="337"/>
      <c r="TYW984" s="336"/>
      <c r="TYX984" s="337"/>
      <c r="TYY984" s="336"/>
      <c r="TYZ984" s="337"/>
      <c r="TZA984" s="336"/>
      <c r="TZB984" s="337"/>
      <c r="TZC984" s="336"/>
      <c r="TZD984" s="337"/>
      <c r="TZE984" s="336"/>
      <c r="TZF984" s="337"/>
      <c r="TZG984" s="336"/>
      <c r="TZH984" s="337"/>
      <c r="TZI984" s="336"/>
      <c r="TZJ984" s="337"/>
      <c r="TZK984" s="336"/>
      <c r="TZL984" s="337"/>
      <c r="TZM984" s="336"/>
      <c r="TZN984" s="337"/>
      <c r="TZO984" s="336"/>
      <c r="TZP984" s="337"/>
      <c r="TZQ984" s="336"/>
      <c r="TZR984" s="337"/>
      <c r="TZS984" s="336"/>
      <c r="TZT984" s="337"/>
      <c r="TZU984" s="336"/>
      <c r="TZV984" s="337"/>
      <c r="TZW984" s="336"/>
      <c r="TZX984" s="337"/>
      <c r="TZY984" s="336"/>
      <c r="TZZ984" s="337"/>
      <c r="UAA984" s="336"/>
      <c r="UAB984" s="337"/>
      <c r="UAC984" s="336"/>
      <c r="UAD984" s="337"/>
      <c r="UAE984" s="336"/>
      <c r="UAF984" s="337"/>
      <c r="UAG984" s="336"/>
      <c r="UAH984" s="337"/>
      <c r="UAI984" s="336"/>
      <c r="UAJ984" s="337"/>
      <c r="UAK984" s="336"/>
      <c r="UAL984" s="337"/>
      <c r="UAM984" s="336"/>
      <c r="UAN984" s="337"/>
      <c r="UAO984" s="336"/>
      <c r="UAP984" s="337"/>
      <c r="UAQ984" s="336"/>
      <c r="UAR984" s="337"/>
      <c r="UAS984" s="336"/>
      <c r="UAT984" s="337"/>
      <c r="UAU984" s="336"/>
      <c r="UAV984" s="337"/>
      <c r="UAW984" s="336"/>
      <c r="UAX984" s="337"/>
      <c r="UAY984" s="336"/>
      <c r="UAZ984" s="337"/>
      <c r="UBA984" s="336"/>
      <c r="UBB984" s="337"/>
      <c r="UBC984" s="336"/>
      <c r="UBD984" s="337"/>
      <c r="UBE984" s="336"/>
      <c r="UBF984" s="337"/>
      <c r="UBG984" s="336"/>
      <c r="UBH984" s="337"/>
      <c r="UBI984" s="336"/>
      <c r="UBJ984" s="337"/>
      <c r="UBK984" s="336"/>
      <c r="UBL984" s="337"/>
      <c r="UBM984" s="336"/>
      <c r="UBN984" s="337"/>
      <c r="UBO984" s="336"/>
      <c r="UBP984" s="337"/>
      <c r="UBQ984" s="336"/>
      <c r="UBR984" s="337"/>
      <c r="UBS984" s="336"/>
      <c r="UBT984" s="337"/>
      <c r="UBU984" s="336"/>
      <c r="UBV984" s="337"/>
      <c r="UBW984" s="336"/>
      <c r="UBX984" s="337"/>
      <c r="UBY984" s="336"/>
      <c r="UBZ984" s="337"/>
      <c r="UCA984" s="336"/>
      <c r="UCB984" s="337"/>
      <c r="UCC984" s="336"/>
      <c r="UCD984" s="337"/>
      <c r="UCE984" s="336"/>
      <c r="UCF984" s="337"/>
      <c r="UCG984" s="336"/>
      <c r="UCH984" s="337"/>
      <c r="UCI984" s="336"/>
      <c r="UCJ984" s="337"/>
      <c r="UCK984" s="336"/>
      <c r="UCL984" s="337"/>
      <c r="UCM984" s="336"/>
      <c r="UCN984" s="337"/>
      <c r="UCO984" s="336"/>
      <c r="UCP984" s="337"/>
      <c r="UCQ984" s="336"/>
      <c r="UCR984" s="337"/>
      <c r="UCS984" s="336"/>
      <c r="UCT984" s="337"/>
      <c r="UCU984" s="336"/>
      <c r="UCV984" s="337"/>
      <c r="UCW984" s="336"/>
      <c r="UCX984" s="337"/>
      <c r="UCY984" s="336"/>
      <c r="UCZ984" s="337"/>
      <c r="UDA984" s="336"/>
      <c r="UDB984" s="337"/>
      <c r="UDC984" s="336"/>
      <c r="UDD984" s="337"/>
      <c r="UDE984" s="336"/>
      <c r="UDF984" s="337"/>
      <c r="UDG984" s="336"/>
      <c r="UDH984" s="337"/>
      <c r="UDI984" s="336"/>
      <c r="UDJ984" s="337"/>
      <c r="UDK984" s="336"/>
      <c r="UDL984" s="337"/>
      <c r="UDM984" s="336"/>
      <c r="UDN984" s="337"/>
      <c r="UDO984" s="336"/>
      <c r="UDP984" s="337"/>
      <c r="UDQ984" s="336"/>
      <c r="UDR984" s="337"/>
      <c r="UDS984" s="336"/>
      <c r="UDT984" s="337"/>
      <c r="UDU984" s="336"/>
      <c r="UDV984" s="337"/>
      <c r="UDW984" s="336"/>
      <c r="UDX984" s="337"/>
      <c r="UDY984" s="336"/>
      <c r="UDZ984" s="337"/>
      <c r="UEA984" s="336"/>
      <c r="UEB984" s="337"/>
      <c r="UEC984" s="336"/>
      <c r="UED984" s="337"/>
      <c r="UEE984" s="336"/>
      <c r="UEF984" s="337"/>
      <c r="UEG984" s="336"/>
      <c r="UEH984" s="337"/>
      <c r="UEI984" s="336"/>
      <c r="UEJ984" s="337"/>
      <c r="UEK984" s="336"/>
      <c r="UEL984" s="337"/>
      <c r="UEM984" s="336"/>
      <c r="UEN984" s="337"/>
      <c r="UEO984" s="336"/>
      <c r="UEP984" s="337"/>
      <c r="UEQ984" s="336"/>
      <c r="UER984" s="337"/>
      <c r="UES984" s="336"/>
      <c r="UET984" s="337"/>
      <c r="UEU984" s="336"/>
      <c r="UEV984" s="337"/>
      <c r="UEW984" s="336"/>
      <c r="UEX984" s="337"/>
      <c r="UEY984" s="336"/>
      <c r="UEZ984" s="337"/>
      <c r="UFA984" s="336"/>
      <c r="UFB984" s="337"/>
      <c r="UFC984" s="336"/>
      <c r="UFD984" s="337"/>
      <c r="UFE984" s="336"/>
      <c r="UFF984" s="337"/>
      <c r="UFG984" s="336"/>
      <c r="UFH984" s="337"/>
      <c r="UFI984" s="336"/>
      <c r="UFJ984" s="337"/>
      <c r="UFK984" s="336"/>
      <c r="UFL984" s="337"/>
      <c r="UFM984" s="336"/>
      <c r="UFN984" s="337"/>
      <c r="UFO984" s="336"/>
      <c r="UFP984" s="337"/>
      <c r="UFQ984" s="336"/>
      <c r="UFR984" s="337"/>
      <c r="UFS984" s="336"/>
      <c r="UFT984" s="337"/>
      <c r="UFU984" s="336"/>
      <c r="UFV984" s="337"/>
      <c r="UFW984" s="336"/>
      <c r="UFX984" s="337"/>
      <c r="UFY984" s="336"/>
      <c r="UFZ984" s="337"/>
      <c r="UGA984" s="336"/>
      <c r="UGB984" s="337"/>
      <c r="UGC984" s="336"/>
      <c r="UGD984" s="337"/>
      <c r="UGE984" s="336"/>
      <c r="UGF984" s="337"/>
      <c r="UGG984" s="336"/>
      <c r="UGH984" s="337"/>
      <c r="UGI984" s="336"/>
      <c r="UGJ984" s="337"/>
      <c r="UGK984" s="336"/>
      <c r="UGL984" s="337"/>
      <c r="UGM984" s="336"/>
      <c r="UGN984" s="337"/>
      <c r="UGO984" s="336"/>
      <c r="UGP984" s="337"/>
      <c r="UGQ984" s="336"/>
      <c r="UGR984" s="337"/>
      <c r="UGS984" s="336"/>
      <c r="UGT984" s="337"/>
      <c r="UGU984" s="336"/>
      <c r="UGV984" s="337"/>
      <c r="UGW984" s="336"/>
      <c r="UGX984" s="337"/>
      <c r="UGY984" s="336"/>
      <c r="UGZ984" s="337"/>
      <c r="UHA984" s="336"/>
      <c r="UHB984" s="337"/>
      <c r="UHC984" s="336"/>
      <c r="UHD984" s="337"/>
      <c r="UHE984" s="336"/>
      <c r="UHF984" s="337"/>
      <c r="UHG984" s="336"/>
      <c r="UHH984" s="337"/>
      <c r="UHI984" s="336"/>
      <c r="UHJ984" s="337"/>
      <c r="UHK984" s="336"/>
      <c r="UHL984" s="337"/>
      <c r="UHM984" s="336"/>
      <c r="UHN984" s="337"/>
      <c r="UHO984" s="336"/>
      <c r="UHP984" s="337"/>
      <c r="UHQ984" s="336"/>
      <c r="UHR984" s="337"/>
      <c r="UHS984" s="336"/>
      <c r="UHT984" s="337"/>
      <c r="UHU984" s="336"/>
      <c r="UHV984" s="337"/>
      <c r="UHW984" s="336"/>
      <c r="UHX984" s="337"/>
      <c r="UHY984" s="336"/>
      <c r="UHZ984" s="337"/>
      <c r="UIA984" s="336"/>
      <c r="UIB984" s="337"/>
      <c r="UIC984" s="336"/>
      <c r="UID984" s="337"/>
      <c r="UIE984" s="336"/>
      <c r="UIF984" s="337"/>
      <c r="UIG984" s="336"/>
      <c r="UIH984" s="337"/>
      <c r="UII984" s="336"/>
      <c r="UIJ984" s="337"/>
      <c r="UIK984" s="336"/>
      <c r="UIL984" s="337"/>
      <c r="UIM984" s="336"/>
      <c r="UIN984" s="337"/>
      <c r="UIO984" s="336"/>
      <c r="UIP984" s="337"/>
      <c r="UIQ984" s="336"/>
      <c r="UIR984" s="337"/>
      <c r="UIS984" s="336"/>
      <c r="UIT984" s="337"/>
      <c r="UIU984" s="336"/>
      <c r="UIV984" s="337"/>
      <c r="UIW984" s="336"/>
      <c r="UIX984" s="337"/>
      <c r="UIY984" s="336"/>
      <c r="UIZ984" s="337"/>
      <c r="UJA984" s="336"/>
      <c r="UJB984" s="337"/>
      <c r="UJC984" s="336"/>
      <c r="UJD984" s="337"/>
      <c r="UJE984" s="336"/>
      <c r="UJF984" s="337"/>
      <c r="UJG984" s="336"/>
      <c r="UJH984" s="337"/>
      <c r="UJI984" s="336"/>
      <c r="UJJ984" s="337"/>
      <c r="UJK984" s="336"/>
      <c r="UJL984" s="337"/>
      <c r="UJM984" s="336"/>
      <c r="UJN984" s="337"/>
      <c r="UJO984" s="336"/>
      <c r="UJP984" s="337"/>
      <c r="UJQ984" s="336"/>
      <c r="UJR984" s="337"/>
      <c r="UJS984" s="336"/>
      <c r="UJT984" s="337"/>
      <c r="UJU984" s="336"/>
      <c r="UJV984" s="337"/>
      <c r="UJW984" s="336"/>
      <c r="UJX984" s="337"/>
      <c r="UJY984" s="336"/>
      <c r="UJZ984" s="337"/>
      <c r="UKA984" s="336"/>
      <c r="UKB984" s="337"/>
      <c r="UKC984" s="336"/>
      <c r="UKD984" s="337"/>
      <c r="UKE984" s="336"/>
      <c r="UKF984" s="337"/>
      <c r="UKG984" s="336"/>
      <c r="UKH984" s="337"/>
      <c r="UKI984" s="336"/>
      <c r="UKJ984" s="337"/>
      <c r="UKK984" s="336"/>
      <c r="UKL984" s="337"/>
      <c r="UKM984" s="336"/>
      <c r="UKN984" s="337"/>
      <c r="UKO984" s="336"/>
      <c r="UKP984" s="337"/>
      <c r="UKQ984" s="336"/>
      <c r="UKR984" s="337"/>
      <c r="UKS984" s="336"/>
      <c r="UKT984" s="337"/>
      <c r="UKU984" s="336"/>
      <c r="UKV984" s="337"/>
      <c r="UKW984" s="336"/>
      <c r="UKX984" s="337"/>
      <c r="UKY984" s="336"/>
      <c r="UKZ984" s="337"/>
      <c r="ULA984" s="336"/>
      <c r="ULB984" s="337"/>
      <c r="ULC984" s="336"/>
      <c r="ULD984" s="337"/>
      <c r="ULE984" s="336"/>
      <c r="ULF984" s="337"/>
      <c r="ULG984" s="336"/>
      <c r="ULH984" s="337"/>
      <c r="ULI984" s="336"/>
      <c r="ULJ984" s="337"/>
      <c r="ULK984" s="336"/>
      <c r="ULL984" s="337"/>
      <c r="ULM984" s="336"/>
      <c r="ULN984" s="337"/>
      <c r="ULO984" s="336"/>
      <c r="ULP984" s="337"/>
      <c r="ULQ984" s="336"/>
      <c r="ULR984" s="337"/>
      <c r="ULS984" s="336"/>
      <c r="ULT984" s="337"/>
      <c r="ULU984" s="336"/>
      <c r="ULV984" s="337"/>
      <c r="ULW984" s="336"/>
      <c r="ULX984" s="337"/>
      <c r="ULY984" s="336"/>
      <c r="ULZ984" s="337"/>
      <c r="UMA984" s="336"/>
      <c r="UMB984" s="337"/>
      <c r="UMC984" s="336"/>
      <c r="UMD984" s="337"/>
      <c r="UME984" s="336"/>
      <c r="UMF984" s="337"/>
      <c r="UMG984" s="336"/>
      <c r="UMH984" s="337"/>
      <c r="UMI984" s="336"/>
      <c r="UMJ984" s="337"/>
      <c r="UMK984" s="336"/>
      <c r="UML984" s="337"/>
      <c r="UMM984" s="336"/>
      <c r="UMN984" s="337"/>
      <c r="UMO984" s="336"/>
      <c r="UMP984" s="337"/>
      <c r="UMQ984" s="336"/>
      <c r="UMR984" s="337"/>
      <c r="UMS984" s="336"/>
      <c r="UMT984" s="337"/>
      <c r="UMU984" s="336"/>
      <c r="UMV984" s="337"/>
      <c r="UMW984" s="336"/>
      <c r="UMX984" s="337"/>
      <c r="UMY984" s="336"/>
      <c r="UMZ984" s="337"/>
      <c r="UNA984" s="336"/>
      <c r="UNB984" s="337"/>
      <c r="UNC984" s="336"/>
      <c r="UND984" s="337"/>
      <c r="UNE984" s="336"/>
      <c r="UNF984" s="337"/>
      <c r="UNG984" s="336"/>
      <c r="UNH984" s="337"/>
      <c r="UNI984" s="336"/>
      <c r="UNJ984" s="337"/>
      <c r="UNK984" s="336"/>
      <c r="UNL984" s="337"/>
      <c r="UNM984" s="336"/>
      <c r="UNN984" s="337"/>
      <c r="UNO984" s="336"/>
      <c r="UNP984" s="337"/>
      <c r="UNQ984" s="336"/>
      <c r="UNR984" s="337"/>
      <c r="UNS984" s="336"/>
      <c r="UNT984" s="337"/>
      <c r="UNU984" s="336"/>
      <c r="UNV984" s="337"/>
      <c r="UNW984" s="336"/>
      <c r="UNX984" s="337"/>
      <c r="UNY984" s="336"/>
      <c r="UNZ984" s="337"/>
      <c r="UOA984" s="336"/>
      <c r="UOB984" s="337"/>
      <c r="UOC984" s="336"/>
      <c r="UOD984" s="337"/>
      <c r="UOE984" s="336"/>
      <c r="UOF984" s="337"/>
      <c r="UOG984" s="336"/>
      <c r="UOH984" s="337"/>
      <c r="UOI984" s="336"/>
      <c r="UOJ984" s="337"/>
      <c r="UOK984" s="336"/>
      <c r="UOL984" s="337"/>
      <c r="UOM984" s="336"/>
      <c r="UON984" s="337"/>
      <c r="UOO984" s="336"/>
      <c r="UOP984" s="337"/>
      <c r="UOQ984" s="336"/>
      <c r="UOR984" s="337"/>
      <c r="UOS984" s="336"/>
      <c r="UOT984" s="337"/>
      <c r="UOU984" s="336"/>
      <c r="UOV984" s="337"/>
      <c r="UOW984" s="336"/>
      <c r="UOX984" s="337"/>
      <c r="UOY984" s="336"/>
      <c r="UOZ984" s="337"/>
      <c r="UPA984" s="336"/>
      <c r="UPB984" s="337"/>
      <c r="UPC984" s="336"/>
      <c r="UPD984" s="337"/>
      <c r="UPE984" s="336"/>
      <c r="UPF984" s="337"/>
      <c r="UPG984" s="336"/>
      <c r="UPH984" s="337"/>
      <c r="UPI984" s="336"/>
      <c r="UPJ984" s="337"/>
      <c r="UPK984" s="336"/>
      <c r="UPL984" s="337"/>
      <c r="UPM984" s="336"/>
      <c r="UPN984" s="337"/>
      <c r="UPO984" s="336"/>
      <c r="UPP984" s="337"/>
      <c r="UPQ984" s="336"/>
      <c r="UPR984" s="337"/>
      <c r="UPS984" s="336"/>
      <c r="UPT984" s="337"/>
      <c r="UPU984" s="336"/>
      <c r="UPV984" s="337"/>
      <c r="UPW984" s="336"/>
      <c r="UPX984" s="337"/>
      <c r="UPY984" s="336"/>
      <c r="UPZ984" s="337"/>
      <c r="UQA984" s="336"/>
      <c r="UQB984" s="337"/>
      <c r="UQC984" s="336"/>
      <c r="UQD984" s="337"/>
      <c r="UQE984" s="336"/>
      <c r="UQF984" s="337"/>
      <c r="UQG984" s="336"/>
      <c r="UQH984" s="337"/>
      <c r="UQI984" s="336"/>
      <c r="UQJ984" s="337"/>
      <c r="UQK984" s="336"/>
      <c r="UQL984" s="337"/>
      <c r="UQM984" s="336"/>
      <c r="UQN984" s="337"/>
      <c r="UQO984" s="336"/>
      <c r="UQP984" s="337"/>
      <c r="UQQ984" s="336"/>
      <c r="UQR984" s="337"/>
      <c r="UQS984" s="336"/>
      <c r="UQT984" s="337"/>
      <c r="UQU984" s="336"/>
      <c r="UQV984" s="337"/>
      <c r="UQW984" s="336"/>
      <c r="UQX984" s="337"/>
      <c r="UQY984" s="336"/>
      <c r="UQZ984" s="337"/>
      <c r="URA984" s="336"/>
      <c r="URB984" s="337"/>
      <c r="URC984" s="336"/>
      <c r="URD984" s="337"/>
      <c r="URE984" s="336"/>
      <c r="URF984" s="337"/>
      <c r="URG984" s="336"/>
      <c r="URH984" s="337"/>
      <c r="URI984" s="336"/>
      <c r="URJ984" s="337"/>
      <c r="URK984" s="336"/>
      <c r="URL984" s="337"/>
      <c r="URM984" s="336"/>
      <c r="URN984" s="337"/>
      <c r="URO984" s="336"/>
      <c r="URP984" s="337"/>
      <c r="URQ984" s="336"/>
      <c r="URR984" s="337"/>
      <c r="URS984" s="336"/>
      <c r="URT984" s="337"/>
      <c r="URU984" s="336"/>
      <c r="URV984" s="337"/>
      <c r="URW984" s="336"/>
      <c r="URX984" s="337"/>
      <c r="URY984" s="336"/>
      <c r="URZ984" s="337"/>
      <c r="USA984" s="336"/>
      <c r="USB984" s="337"/>
      <c r="USC984" s="336"/>
      <c r="USD984" s="337"/>
      <c r="USE984" s="336"/>
      <c r="USF984" s="337"/>
      <c r="USG984" s="336"/>
      <c r="USH984" s="337"/>
      <c r="USI984" s="336"/>
      <c r="USJ984" s="337"/>
      <c r="USK984" s="336"/>
      <c r="USL984" s="337"/>
      <c r="USM984" s="336"/>
      <c r="USN984" s="337"/>
      <c r="USO984" s="336"/>
      <c r="USP984" s="337"/>
      <c r="USQ984" s="336"/>
      <c r="USR984" s="337"/>
      <c r="USS984" s="336"/>
      <c r="UST984" s="337"/>
      <c r="USU984" s="336"/>
      <c r="USV984" s="337"/>
      <c r="USW984" s="336"/>
      <c r="USX984" s="337"/>
      <c r="USY984" s="336"/>
      <c r="USZ984" s="337"/>
      <c r="UTA984" s="336"/>
      <c r="UTB984" s="337"/>
      <c r="UTC984" s="336"/>
      <c r="UTD984" s="337"/>
      <c r="UTE984" s="336"/>
      <c r="UTF984" s="337"/>
      <c r="UTG984" s="336"/>
      <c r="UTH984" s="337"/>
      <c r="UTI984" s="336"/>
      <c r="UTJ984" s="337"/>
      <c r="UTK984" s="336"/>
      <c r="UTL984" s="337"/>
      <c r="UTM984" s="336"/>
      <c r="UTN984" s="337"/>
      <c r="UTO984" s="336"/>
      <c r="UTP984" s="337"/>
      <c r="UTQ984" s="336"/>
      <c r="UTR984" s="337"/>
      <c r="UTS984" s="336"/>
      <c r="UTT984" s="337"/>
      <c r="UTU984" s="336"/>
      <c r="UTV984" s="337"/>
      <c r="UTW984" s="336"/>
      <c r="UTX984" s="337"/>
      <c r="UTY984" s="336"/>
      <c r="UTZ984" s="337"/>
      <c r="UUA984" s="336"/>
      <c r="UUB984" s="337"/>
      <c r="UUC984" s="336"/>
      <c r="UUD984" s="337"/>
      <c r="UUE984" s="336"/>
      <c r="UUF984" s="337"/>
      <c r="UUG984" s="336"/>
      <c r="UUH984" s="337"/>
      <c r="UUI984" s="336"/>
      <c r="UUJ984" s="337"/>
      <c r="UUK984" s="336"/>
      <c r="UUL984" s="337"/>
      <c r="UUM984" s="336"/>
      <c r="UUN984" s="337"/>
      <c r="UUO984" s="336"/>
      <c r="UUP984" s="337"/>
      <c r="UUQ984" s="336"/>
      <c r="UUR984" s="337"/>
      <c r="UUS984" s="336"/>
      <c r="UUT984" s="337"/>
      <c r="UUU984" s="336"/>
      <c r="UUV984" s="337"/>
      <c r="UUW984" s="336"/>
      <c r="UUX984" s="337"/>
      <c r="UUY984" s="336"/>
      <c r="UUZ984" s="337"/>
      <c r="UVA984" s="336"/>
      <c r="UVB984" s="337"/>
      <c r="UVC984" s="336"/>
      <c r="UVD984" s="337"/>
      <c r="UVE984" s="336"/>
      <c r="UVF984" s="337"/>
      <c r="UVG984" s="336"/>
      <c r="UVH984" s="337"/>
      <c r="UVI984" s="336"/>
      <c r="UVJ984" s="337"/>
      <c r="UVK984" s="336"/>
      <c r="UVL984" s="337"/>
      <c r="UVM984" s="336"/>
      <c r="UVN984" s="337"/>
      <c r="UVO984" s="336"/>
      <c r="UVP984" s="337"/>
      <c r="UVQ984" s="336"/>
      <c r="UVR984" s="337"/>
      <c r="UVS984" s="336"/>
      <c r="UVT984" s="337"/>
      <c r="UVU984" s="336"/>
      <c r="UVV984" s="337"/>
      <c r="UVW984" s="336"/>
      <c r="UVX984" s="337"/>
      <c r="UVY984" s="336"/>
      <c r="UVZ984" s="337"/>
      <c r="UWA984" s="336"/>
      <c r="UWB984" s="337"/>
      <c r="UWC984" s="336"/>
      <c r="UWD984" s="337"/>
      <c r="UWE984" s="336"/>
      <c r="UWF984" s="337"/>
      <c r="UWG984" s="336"/>
      <c r="UWH984" s="337"/>
      <c r="UWI984" s="336"/>
      <c r="UWJ984" s="337"/>
      <c r="UWK984" s="336"/>
      <c r="UWL984" s="337"/>
      <c r="UWM984" s="336"/>
      <c r="UWN984" s="337"/>
      <c r="UWO984" s="336"/>
      <c r="UWP984" s="337"/>
      <c r="UWQ984" s="336"/>
      <c r="UWR984" s="337"/>
      <c r="UWS984" s="336"/>
      <c r="UWT984" s="337"/>
      <c r="UWU984" s="336"/>
      <c r="UWV984" s="337"/>
      <c r="UWW984" s="336"/>
      <c r="UWX984" s="337"/>
      <c r="UWY984" s="336"/>
      <c r="UWZ984" s="337"/>
      <c r="UXA984" s="336"/>
      <c r="UXB984" s="337"/>
      <c r="UXC984" s="336"/>
      <c r="UXD984" s="337"/>
      <c r="UXE984" s="336"/>
      <c r="UXF984" s="337"/>
      <c r="UXG984" s="336"/>
      <c r="UXH984" s="337"/>
      <c r="UXI984" s="336"/>
      <c r="UXJ984" s="337"/>
      <c r="UXK984" s="336"/>
      <c r="UXL984" s="337"/>
      <c r="UXM984" s="336"/>
      <c r="UXN984" s="337"/>
      <c r="UXO984" s="336"/>
      <c r="UXP984" s="337"/>
      <c r="UXQ984" s="336"/>
      <c r="UXR984" s="337"/>
      <c r="UXS984" s="336"/>
      <c r="UXT984" s="337"/>
      <c r="UXU984" s="336"/>
      <c r="UXV984" s="337"/>
      <c r="UXW984" s="336"/>
      <c r="UXX984" s="337"/>
      <c r="UXY984" s="336"/>
      <c r="UXZ984" s="337"/>
      <c r="UYA984" s="336"/>
      <c r="UYB984" s="337"/>
      <c r="UYC984" s="336"/>
      <c r="UYD984" s="337"/>
      <c r="UYE984" s="336"/>
      <c r="UYF984" s="337"/>
      <c r="UYG984" s="336"/>
      <c r="UYH984" s="337"/>
      <c r="UYI984" s="336"/>
      <c r="UYJ984" s="337"/>
      <c r="UYK984" s="336"/>
      <c r="UYL984" s="337"/>
      <c r="UYM984" s="336"/>
      <c r="UYN984" s="337"/>
      <c r="UYO984" s="336"/>
      <c r="UYP984" s="337"/>
      <c r="UYQ984" s="336"/>
      <c r="UYR984" s="337"/>
      <c r="UYS984" s="336"/>
      <c r="UYT984" s="337"/>
      <c r="UYU984" s="336"/>
      <c r="UYV984" s="337"/>
      <c r="UYW984" s="336"/>
      <c r="UYX984" s="337"/>
      <c r="UYY984" s="336"/>
      <c r="UYZ984" s="337"/>
      <c r="UZA984" s="336"/>
      <c r="UZB984" s="337"/>
      <c r="UZC984" s="336"/>
      <c r="UZD984" s="337"/>
      <c r="UZE984" s="336"/>
      <c r="UZF984" s="337"/>
      <c r="UZG984" s="336"/>
      <c r="UZH984" s="337"/>
      <c r="UZI984" s="336"/>
      <c r="UZJ984" s="337"/>
      <c r="UZK984" s="336"/>
      <c r="UZL984" s="337"/>
      <c r="UZM984" s="336"/>
      <c r="UZN984" s="337"/>
      <c r="UZO984" s="336"/>
      <c r="UZP984" s="337"/>
      <c r="UZQ984" s="336"/>
      <c r="UZR984" s="337"/>
      <c r="UZS984" s="336"/>
      <c r="UZT984" s="337"/>
      <c r="UZU984" s="336"/>
      <c r="UZV984" s="337"/>
      <c r="UZW984" s="336"/>
      <c r="UZX984" s="337"/>
      <c r="UZY984" s="336"/>
      <c r="UZZ984" s="337"/>
      <c r="VAA984" s="336"/>
      <c r="VAB984" s="337"/>
      <c r="VAC984" s="336"/>
      <c r="VAD984" s="337"/>
      <c r="VAE984" s="336"/>
      <c r="VAF984" s="337"/>
      <c r="VAG984" s="336"/>
      <c r="VAH984" s="337"/>
      <c r="VAI984" s="336"/>
      <c r="VAJ984" s="337"/>
      <c r="VAK984" s="336"/>
      <c r="VAL984" s="337"/>
      <c r="VAM984" s="336"/>
      <c r="VAN984" s="337"/>
      <c r="VAO984" s="336"/>
      <c r="VAP984" s="337"/>
      <c r="VAQ984" s="336"/>
      <c r="VAR984" s="337"/>
      <c r="VAS984" s="336"/>
      <c r="VAT984" s="337"/>
      <c r="VAU984" s="336"/>
      <c r="VAV984" s="337"/>
      <c r="VAW984" s="336"/>
      <c r="VAX984" s="337"/>
      <c r="VAY984" s="336"/>
      <c r="VAZ984" s="337"/>
      <c r="VBA984" s="336"/>
      <c r="VBB984" s="337"/>
      <c r="VBC984" s="336"/>
      <c r="VBD984" s="337"/>
      <c r="VBE984" s="336"/>
      <c r="VBF984" s="337"/>
      <c r="VBG984" s="336"/>
      <c r="VBH984" s="337"/>
      <c r="VBI984" s="336"/>
      <c r="VBJ984" s="337"/>
      <c r="VBK984" s="336"/>
      <c r="VBL984" s="337"/>
      <c r="VBM984" s="336"/>
      <c r="VBN984" s="337"/>
      <c r="VBO984" s="336"/>
      <c r="VBP984" s="337"/>
      <c r="VBQ984" s="336"/>
      <c r="VBR984" s="337"/>
      <c r="VBS984" s="336"/>
      <c r="VBT984" s="337"/>
      <c r="VBU984" s="336"/>
      <c r="VBV984" s="337"/>
      <c r="VBW984" s="336"/>
      <c r="VBX984" s="337"/>
      <c r="VBY984" s="336"/>
      <c r="VBZ984" s="337"/>
      <c r="VCA984" s="336"/>
      <c r="VCB984" s="337"/>
      <c r="VCC984" s="336"/>
      <c r="VCD984" s="337"/>
      <c r="VCE984" s="336"/>
      <c r="VCF984" s="337"/>
      <c r="VCG984" s="336"/>
      <c r="VCH984" s="337"/>
      <c r="VCI984" s="336"/>
      <c r="VCJ984" s="337"/>
      <c r="VCK984" s="336"/>
      <c r="VCL984" s="337"/>
      <c r="VCM984" s="336"/>
      <c r="VCN984" s="337"/>
      <c r="VCO984" s="336"/>
      <c r="VCP984" s="337"/>
      <c r="VCQ984" s="336"/>
      <c r="VCR984" s="337"/>
      <c r="VCS984" s="336"/>
      <c r="VCT984" s="337"/>
      <c r="VCU984" s="336"/>
      <c r="VCV984" s="337"/>
      <c r="VCW984" s="336"/>
      <c r="VCX984" s="337"/>
      <c r="VCY984" s="336"/>
      <c r="VCZ984" s="337"/>
      <c r="VDA984" s="336"/>
      <c r="VDB984" s="337"/>
      <c r="VDC984" s="336"/>
      <c r="VDD984" s="337"/>
      <c r="VDE984" s="336"/>
      <c r="VDF984" s="337"/>
      <c r="VDG984" s="336"/>
      <c r="VDH984" s="337"/>
      <c r="VDI984" s="336"/>
      <c r="VDJ984" s="337"/>
      <c r="VDK984" s="336"/>
      <c r="VDL984" s="337"/>
      <c r="VDM984" s="336"/>
      <c r="VDN984" s="337"/>
      <c r="VDO984" s="336"/>
      <c r="VDP984" s="337"/>
      <c r="VDQ984" s="336"/>
      <c r="VDR984" s="337"/>
      <c r="VDS984" s="336"/>
      <c r="VDT984" s="337"/>
      <c r="VDU984" s="336"/>
      <c r="VDV984" s="337"/>
      <c r="VDW984" s="336"/>
      <c r="VDX984" s="337"/>
      <c r="VDY984" s="336"/>
      <c r="VDZ984" s="337"/>
      <c r="VEA984" s="336"/>
      <c r="VEB984" s="337"/>
      <c r="VEC984" s="336"/>
      <c r="VED984" s="337"/>
      <c r="VEE984" s="336"/>
      <c r="VEF984" s="337"/>
      <c r="VEG984" s="336"/>
      <c r="VEH984" s="337"/>
      <c r="VEI984" s="336"/>
      <c r="VEJ984" s="337"/>
      <c r="VEK984" s="336"/>
      <c r="VEL984" s="337"/>
      <c r="VEM984" s="336"/>
      <c r="VEN984" s="337"/>
      <c r="VEO984" s="336"/>
      <c r="VEP984" s="337"/>
      <c r="VEQ984" s="336"/>
      <c r="VER984" s="337"/>
      <c r="VES984" s="336"/>
      <c r="VET984" s="337"/>
      <c r="VEU984" s="336"/>
      <c r="VEV984" s="337"/>
      <c r="VEW984" s="336"/>
      <c r="VEX984" s="337"/>
      <c r="VEY984" s="336"/>
      <c r="VEZ984" s="337"/>
      <c r="VFA984" s="336"/>
      <c r="VFB984" s="337"/>
      <c r="VFC984" s="336"/>
      <c r="VFD984" s="337"/>
      <c r="VFE984" s="336"/>
      <c r="VFF984" s="337"/>
      <c r="VFG984" s="336"/>
      <c r="VFH984" s="337"/>
      <c r="VFI984" s="336"/>
      <c r="VFJ984" s="337"/>
      <c r="VFK984" s="336"/>
      <c r="VFL984" s="337"/>
      <c r="VFM984" s="336"/>
      <c r="VFN984" s="337"/>
      <c r="VFO984" s="336"/>
      <c r="VFP984" s="337"/>
      <c r="VFQ984" s="336"/>
      <c r="VFR984" s="337"/>
      <c r="VFS984" s="336"/>
      <c r="VFT984" s="337"/>
      <c r="VFU984" s="336"/>
      <c r="VFV984" s="337"/>
      <c r="VFW984" s="336"/>
      <c r="VFX984" s="337"/>
      <c r="VFY984" s="336"/>
      <c r="VFZ984" s="337"/>
      <c r="VGA984" s="336"/>
      <c r="VGB984" s="337"/>
      <c r="VGC984" s="336"/>
      <c r="VGD984" s="337"/>
      <c r="VGE984" s="336"/>
      <c r="VGF984" s="337"/>
      <c r="VGG984" s="336"/>
      <c r="VGH984" s="337"/>
      <c r="VGI984" s="336"/>
      <c r="VGJ984" s="337"/>
      <c r="VGK984" s="336"/>
      <c r="VGL984" s="337"/>
      <c r="VGM984" s="336"/>
      <c r="VGN984" s="337"/>
      <c r="VGO984" s="336"/>
      <c r="VGP984" s="337"/>
      <c r="VGQ984" s="336"/>
      <c r="VGR984" s="337"/>
      <c r="VGS984" s="336"/>
      <c r="VGT984" s="337"/>
      <c r="VGU984" s="336"/>
      <c r="VGV984" s="337"/>
      <c r="VGW984" s="336"/>
      <c r="VGX984" s="337"/>
      <c r="VGY984" s="336"/>
      <c r="VGZ984" s="337"/>
      <c r="VHA984" s="336"/>
      <c r="VHB984" s="337"/>
      <c r="VHC984" s="336"/>
      <c r="VHD984" s="337"/>
      <c r="VHE984" s="336"/>
      <c r="VHF984" s="337"/>
      <c r="VHG984" s="336"/>
      <c r="VHH984" s="337"/>
      <c r="VHI984" s="336"/>
      <c r="VHJ984" s="337"/>
      <c r="VHK984" s="336"/>
      <c r="VHL984" s="337"/>
      <c r="VHM984" s="336"/>
      <c r="VHN984" s="337"/>
      <c r="VHO984" s="336"/>
      <c r="VHP984" s="337"/>
      <c r="VHQ984" s="336"/>
      <c r="VHR984" s="337"/>
      <c r="VHS984" s="336"/>
      <c r="VHT984" s="337"/>
      <c r="VHU984" s="336"/>
      <c r="VHV984" s="337"/>
      <c r="VHW984" s="336"/>
      <c r="VHX984" s="337"/>
      <c r="VHY984" s="336"/>
      <c r="VHZ984" s="337"/>
      <c r="VIA984" s="336"/>
      <c r="VIB984" s="337"/>
      <c r="VIC984" s="336"/>
      <c r="VID984" s="337"/>
      <c r="VIE984" s="336"/>
      <c r="VIF984" s="337"/>
      <c r="VIG984" s="336"/>
      <c r="VIH984" s="337"/>
      <c r="VII984" s="336"/>
      <c r="VIJ984" s="337"/>
      <c r="VIK984" s="336"/>
      <c r="VIL984" s="337"/>
      <c r="VIM984" s="336"/>
      <c r="VIN984" s="337"/>
      <c r="VIO984" s="336"/>
      <c r="VIP984" s="337"/>
      <c r="VIQ984" s="336"/>
      <c r="VIR984" s="337"/>
      <c r="VIS984" s="336"/>
      <c r="VIT984" s="337"/>
      <c r="VIU984" s="336"/>
      <c r="VIV984" s="337"/>
      <c r="VIW984" s="336"/>
      <c r="VIX984" s="337"/>
      <c r="VIY984" s="336"/>
      <c r="VIZ984" s="337"/>
      <c r="VJA984" s="336"/>
      <c r="VJB984" s="337"/>
      <c r="VJC984" s="336"/>
      <c r="VJD984" s="337"/>
      <c r="VJE984" s="336"/>
      <c r="VJF984" s="337"/>
      <c r="VJG984" s="336"/>
      <c r="VJH984" s="337"/>
      <c r="VJI984" s="336"/>
      <c r="VJJ984" s="337"/>
      <c r="VJK984" s="336"/>
      <c r="VJL984" s="337"/>
      <c r="VJM984" s="336"/>
      <c r="VJN984" s="337"/>
      <c r="VJO984" s="336"/>
      <c r="VJP984" s="337"/>
      <c r="VJQ984" s="336"/>
      <c r="VJR984" s="337"/>
      <c r="VJS984" s="336"/>
      <c r="VJT984" s="337"/>
      <c r="VJU984" s="336"/>
      <c r="VJV984" s="337"/>
      <c r="VJW984" s="336"/>
      <c r="VJX984" s="337"/>
      <c r="VJY984" s="336"/>
      <c r="VJZ984" s="337"/>
      <c r="VKA984" s="336"/>
      <c r="VKB984" s="337"/>
      <c r="VKC984" s="336"/>
      <c r="VKD984" s="337"/>
      <c r="VKE984" s="336"/>
      <c r="VKF984" s="337"/>
      <c r="VKG984" s="336"/>
      <c r="VKH984" s="337"/>
      <c r="VKI984" s="336"/>
      <c r="VKJ984" s="337"/>
      <c r="VKK984" s="336"/>
      <c r="VKL984" s="337"/>
      <c r="VKM984" s="336"/>
      <c r="VKN984" s="337"/>
      <c r="VKO984" s="336"/>
      <c r="VKP984" s="337"/>
      <c r="VKQ984" s="336"/>
      <c r="VKR984" s="337"/>
      <c r="VKS984" s="336"/>
      <c r="VKT984" s="337"/>
      <c r="VKU984" s="336"/>
      <c r="VKV984" s="337"/>
      <c r="VKW984" s="336"/>
      <c r="VKX984" s="337"/>
      <c r="VKY984" s="336"/>
      <c r="VKZ984" s="337"/>
      <c r="VLA984" s="336"/>
      <c r="VLB984" s="337"/>
      <c r="VLC984" s="336"/>
      <c r="VLD984" s="337"/>
      <c r="VLE984" s="336"/>
      <c r="VLF984" s="337"/>
      <c r="VLG984" s="336"/>
      <c r="VLH984" s="337"/>
      <c r="VLI984" s="336"/>
      <c r="VLJ984" s="337"/>
      <c r="VLK984" s="336"/>
      <c r="VLL984" s="337"/>
      <c r="VLM984" s="336"/>
      <c r="VLN984" s="337"/>
      <c r="VLO984" s="336"/>
      <c r="VLP984" s="337"/>
      <c r="VLQ984" s="336"/>
      <c r="VLR984" s="337"/>
      <c r="VLS984" s="336"/>
      <c r="VLT984" s="337"/>
      <c r="VLU984" s="336"/>
      <c r="VLV984" s="337"/>
      <c r="VLW984" s="336"/>
      <c r="VLX984" s="337"/>
      <c r="VLY984" s="336"/>
      <c r="VLZ984" s="337"/>
      <c r="VMA984" s="336"/>
      <c r="VMB984" s="337"/>
      <c r="VMC984" s="336"/>
      <c r="VMD984" s="337"/>
      <c r="VME984" s="336"/>
      <c r="VMF984" s="337"/>
      <c r="VMG984" s="336"/>
      <c r="VMH984" s="337"/>
      <c r="VMI984" s="336"/>
      <c r="VMJ984" s="337"/>
      <c r="VMK984" s="336"/>
      <c r="VML984" s="337"/>
      <c r="VMM984" s="336"/>
      <c r="VMN984" s="337"/>
      <c r="VMO984" s="336"/>
      <c r="VMP984" s="337"/>
      <c r="VMQ984" s="336"/>
      <c r="VMR984" s="337"/>
      <c r="VMS984" s="336"/>
      <c r="VMT984" s="337"/>
      <c r="VMU984" s="336"/>
      <c r="VMV984" s="337"/>
      <c r="VMW984" s="336"/>
      <c r="VMX984" s="337"/>
      <c r="VMY984" s="336"/>
      <c r="VMZ984" s="337"/>
      <c r="VNA984" s="336"/>
      <c r="VNB984" s="337"/>
      <c r="VNC984" s="336"/>
      <c r="VND984" s="337"/>
      <c r="VNE984" s="336"/>
      <c r="VNF984" s="337"/>
      <c r="VNG984" s="336"/>
      <c r="VNH984" s="337"/>
      <c r="VNI984" s="336"/>
      <c r="VNJ984" s="337"/>
      <c r="VNK984" s="336"/>
      <c r="VNL984" s="337"/>
      <c r="VNM984" s="336"/>
      <c r="VNN984" s="337"/>
      <c r="VNO984" s="336"/>
      <c r="VNP984" s="337"/>
      <c r="VNQ984" s="336"/>
      <c r="VNR984" s="337"/>
      <c r="VNS984" s="336"/>
      <c r="VNT984" s="337"/>
      <c r="VNU984" s="336"/>
      <c r="VNV984" s="337"/>
      <c r="VNW984" s="336"/>
      <c r="VNX984" s="337"/>
      <c r="VNY984" s="336"/>
      <c r="VNZ984" s="337"/>
      <c r="VOA984" s="336"/>
      <c r="VOB984" s="337"/>
      <c r="VOC984" s="336"/>
      <c r="VOD984" s="337"/>
      <c r="VOE984" s="336"/>
      <c r="VOF984" s="337"/>
      <c r="VOG984" s="336"/>
      <c r="VOH984" s="337"/>
      <c r="VOI984" s="336"/>
      <c r="VOJ984" s="337"/>
      <c r="VOK984" s="336"/>
      <c r="VOL984" s="337"/>
      <c r="VOM984" s="336"/>
      <c r="VON984" s="337"/>
      <c r="VOO984" s="336"/>
      <c r="VOP984" s="337"/>
      <c r="VOQ984" s="336"/>
      <c r="VOR984" s="337"/>
      <c r="VOS984" s="336"/>
      <c r="VOT984" s="337"/>
      <c r="VOU984" s="336"/>
      <c r="VOV984" s="337"/>
      <c r="VOW984" s="336"/>
      <c r="VOX984" s="337"/>
      <c r="VOY984" s="336"/>
      <c r="VOZ984" s="337"/>
      <c r="VPA984" s="336"/>
      <c r="VPB984" s="337"/>
      <c r="VPC984" s="336"/>
      <c r="VPD984" s="337"/>
      <c r="VPE984" s="336"/>
      <c r="VPF984" s="337"/>
      <c r="VPG984" s="336"/>
      <c r="VPH984" s="337"/>
      <c r="VPI984" s="336"/>
      <c r="VPJ984" s="337"/>
      <c r="VPK984" s="336"/>
      <c r="VPL984" s="337"/>
      <c r="VPM984" s="336"/>
      <c r="VPN984" s="337"/>
      <c r="VPO984" s="336"/>
      <c r="VPP984" s="337"/>
      <c r="VPQ984" s="336"/>
      <c r="VPR984" s="337"/>
      <c r="VPS984" s="336"/>
      <c r="VPT984" s="337"/>
      <c r="VPU984" s="336"/>
      <c r="VPV984" s="337"/>
      <c r="VPW984" s="336"/>
      <c r="VPX984" s="337"/>
      <c r="VPY984" s="336"/>
      <c r="VPZ984" s="337"/>
      <c r="VQA984" s="336"/>
      <c r="VQB984" s="337"/>
      <c r="VQC984" s="336"/>
      <c r="VQD984" s="337"/>
      <c r="VQE984" s="336"/>
      <c r="VQF984" s="337"/>
      <c r="VQG984" s="336"/>
      <c r="VQH984" s="337"/>
      <c r="VQI984" s="336"/>
      <c r="VQJ984" s="337"/>
      <c r="VQK984" s="336"/>
      <c r="VQL984" s="337"/>
      <c r="VQM984" s="336"/>
      <c r="VQN984" s="337"/>
      <c r="VQO984" s="336"/>
      <c r="VQP984" s="337"/>
      <c r="VQQ984" s="336"/>
      <c r="VQR984" s="337"/>
      <c r="VQS984" s="336"/>
      <c r="VQT984" s="337"/>
      <c r="VQU984" s="336"/>
      <c r="VQV984" s="337"/>
      <c r="VQW984" s="336"/>
      <c r="VQX984" s="337"/>
      <c r="VQY984" s="336"/>
      <c r="VQZ984" s="337"/>
      <c r="VRA984" s="336"/>
      <c r="VRB984" s="337"/>
      <c r="VRC984" s="336"/>
      <c r="VRD984" s="337"/>
      <c r="VRE984" s="336"/>
      <c r="VRF984" s="337"/>
      <c r="VRG984" s="336"/>
      <c r="VRH984" s="337"/>
      <c r="VRI984" s="336"/>
      <c r="VRJ984" s="337"/>
      <c r="VRK984" s="336"/>
      <c r="VRL984" s="337"/>
      <c r="VRM984" s="336"/>
      <c r="VRN984" s="337"/>
      <c r="VRO984" s="336"/>
      <c r="VRP984" s="337"/>
      <c r="VRQ984" s="336"/>
      <c r="VRR984" s="337"/>
      <c r="VRS984" s="336"/>
      <c r="VRT984" s="337"/>
      <c r="VRU984" s="336"/>
      <c r="VRV984" s="337"/>
      <c r="VRW984" s="336"/>
      <c r="VRX984" s="337"/>
      <c r="VRY984" s="336"/>
      <c r="VRZ984" s="337"/>
      <c r="VSA984" s="336"/>
      <c r="VSB984" s="337"/>
      <c r="VSC984" s="336"/>
      <c r="VSD984" s="337"/>
      <c r="VSE984" s="336"/>
      <c r="VSF984" s="337"/>
      <c r="VSG984" s="336"/>
      <c r="VSH984" s="337"/>
      <c r="VSI984" s="336"/>
      <c r="VSJ984" s="337"/>
      <c r="VSK984" s="336"/>
      <c r="VSL984" s="337"/>
      <c r="VSM984" s="336"/>
      <c r="VSN984" s="337"/>
      <c r="VSO984" s="336"/>
      <c r="VSP984" s="337"/>
      <c r="VSQ984" s="336"/>
      <c r="VSR984" s="337"/>
      <c r="VSS984" s="336"/>
      <c r="VST984" s="337"/>
      <c r="VSU984" s="336"/>
      <c r="VSV984" s="337"/>
      <c r="VSW984" s="336"/>
      <c r="VSX984" s="337"/>
      <c r="VSY984" s="336"/>
      <c r="VSZ984" s="337"/>
      <c r="VTA984" s="336"/>
      <c r="VTB984" s="337"/>
      <c r="VTC984" s="336"/>
      <c r="VTD984" s="337"/>
      <c r="VTE984" s="336"/>
      <c r="VTF984" s="337"/>
      <c r="VTG984" s="336"/>
      <c r="VTH984" s="337"/>
      <c r="VTI984" s="336"/>
      <c r="VTJ984" s="337"/>
      <c r="VTK984" s="336"/>
      <c r="VTL984" s="337"/>
      <c r="VTM984" s="336"/>
      <c r="VTN984" s="337"/>
      <c r="VTO984" s="336"/>
      <c r="VTP984" s="337"/>
      <c r="VTQ984" s="336"/>
      <c r="VTR984" s="337"/>
      <c r="VTS984" s="336"/>
      <c r="VTT984" s="337"/>
      <c r="VTU984" s="336"/>
      <c r="VTV984" s="337"/>
      <c r="VTW984" s="336"/>
      <c r="VTX984" s="337"/>
      <c r="VTY984" s="336"/>
      <c r="VTZ984" s="337"/>
      <c r="VUA984" s="336"/>
      <c r="VUB984" s="337"/>
      <c r="VUC984" s="336"/>
      <c r="VUD984" s="337"/>
      <c r="VUE984" s="336"/>
      <c r="VUF984" s="337"/>
      <c r="VUG984" s="336"/>
      <c r="VUH984" s="337"/>
      <c r="VUI984" s="336"/>
      <c r="VUJ984" s="337"/>
      <c r="VUK984" s="336"/>
      <c r="VUL984" s="337"/>
      <c r="VUM984" s="336"/>
      <c r="VUN984" s="337"/>
      <c r="VUO984" s="336"/>
      <c r="VUP984" s="337"/>
      <c r="VUQ984" s="336"/>
      <c r="VUR984" s="337"/>
      <c r="VUS984" s="336"/>
      <c r="VUT984" s="337"/>
      <c r="VUU984" s="336"/>
      <c r="VUV984" s="337"/>
      <c r="VUW984" s="336"/>
      <c r="VUX984" s="337"/>
      <c r="VUY984" s="336"/>
      <c r="VUZ984" s="337"/>
      <c r="VVA984" s="336"/>
      <c r="VVB984" s="337"/>
      <c r="VVC984" s="336"/>
      <c r="VVD984" s="337"/>
      <c r="VVE984" s="336"/>
      <c r="VVF984" s="337"/>
      <c r="VVG984" s="336"/>
      <c r="VVH984" s="337"/>
      <c r="VVI984" s="336"/>
      <c r="VVJ984" s="337"/>
      <c r="VVK984" s="336"/>
      <c r="VVL984" s="337"/>
      <c r="VVM984" s="336"/>
      <c r="VVN984" s="337"/>
      <c r="VVO984" s="336"/>
      <c r="VVP984" s="337"/>
      <c r="VVQ984" s="336"/>
      <c r="VVR984" s="337"/>
      <c r="VVS984" s="336"/>
      <c r="VVT984" s="337"/>
      <c r="VVU984" s="336"/>
      <c r="VVV984" s="337"/>
      <c r="VVW984" s="336"/>
      <c r="VVX984" s="337"/>
      <c r="VVY984" s="336"/>
      <c r="VVZ984" s="337"/>
      <c r="VWA984" s="336"/>
      <c r="VWB984" s="337"/>
      <c r="VWC984" s="336"/>
      <c r="VWD984" s="337"/>
      <c r="VWE984" s="336"/>
      <c r="VWF984" s="337"/>
      <c r="VWG984" s="336"/>
      <c r="VWH984" s="337"/>
      <c r="VWI984" s="336"/>
      <c r="VWJ984" s="337"/>
      <c r="VWK984" s="336"/>
      <c r="VWL984" s="337"/>
      <c r="VWM984" s="336"/>
      <c r="VWN984" s="337"/>
      <c r="VWO984" s="336"/>
      <c r="VWP984" s="337"/>
      <c r="VWQ984" s="336"/>
      <c r="VWR984" s="337"/>
      <c r="VWS984" s="336"/>
      <c r="VWT984" s="337"/>
      <c r="VWU984" s="336"/>
      <c r="VWV984" s="337"/>
      <c r="VWW984" s="336"/>
      <c r="VWX984" s="337"/>
      <c r="VWY984" s="336"/>
      <c r="VWZ984" s="337"/>
      <c r="VXA984" s="336"/>
      <c r="VXB984" s="337"/>
      <c r="VXC984" s="336"/>
      <c r="VXD984" s="337"/>
      <c r="VXE984" s="336"/>
      <c r="VXF984" s="337"/>
      <c r="VXG984" s="336"/>
      <c r="VXH984" s="337"/>
      <c r="VXI984" s="336"/>
      <c r="VXJ984" s="337"/>
      <c r="VXK984" s="336"/>
      <c r="VXL984" s="337"/>
      <c r="VXM984" s="336"/>
      <c r="VXN984" s="337"/>
      <c r="VXO984" s="336"/>
      <c r="VXP984" s="337"/>
      <c r="VXQ984" s="336"/>
      <c r="VXR984" s="337"/>
      <c r="VXS984" s="336"/>
      <c r="VXT984" s="337"/>
      <c r="VXU984" s="336"/>
      <c r="VXV984" s="337"/>
      <c r="VXW984" s="336"/>
      <c r="VXX984" s="337"/>
      <c r="VXY984" s="336"/>
      <c r="VXZ984" s="337"/>
      <c r="VYA984" s="336"/>
      <c r="VYB984" s="337"/>
      <c r="VYC984" s="336"/>
      <c r="VYD984" s="337"/>
      <c r="VYE984" s="336"/>
      <c r="VYF984" s="337"/>
      <c r="VYG984" s="336"/>
      <c r="VYH984" s="337"/>
      <c r="VYI984" s="336"/>
      <c r="VYJ984" s="337"/>
      <c r="VYK984" s="336"/>
      <c r="VYL984" s="337"/>
      <c r="VYM984" s="336"/>
      <c r="VYN984" s="337"/>
      <c r="VYO984" s="336"/>
      <c r="VYP984" s="337"/>
      <c r="VYQ984" s="336"/>
      <c r="VYR984" s="337"/>
      <c r="VYS984" s="336"/>
      <c r="VYT984" s="337"/>
      <c r="VYU984" s="336"/>
      <c r="VYV984" s="337"/>
      <c r="VYW984" s="336"/>
      <c r="VYX984" s="337"/>
      <c r="VYY984" s="336"/>
      <c r="VYZ984" s="337"/>
      <c r="VZA984" s="336"/>
      <c r="VZB984" s="337"/>
      <c r="VZC984" s="336"/>
      <c r="VZD984" s="337"/>
      <c r="VZE984" s="336"/>
      <c r="VZF984" s="337"/>
      <c r="VZG984" s="336"/>
      <c r="VZH984" s="337"/>
      <c r="VZI984" s="336"/>
      <c r="VZJ984" s="337"/>
      <c r="VZK984" s="336"/>
      <c r="VZL984" s="337"/>
      <c r="VZM984" s="336"/>
      <c r="VZN984" s="337"/>
      <c r="VZO984" s="336"/>
      <c r="VZP984" s="337"/>
      <c r="VZQ984" s="336"/>
      <c r="VZR984" s="337"/>
      <c r="VZS984" s="336"/>
      <c r="VZT984" s="337"/>
      <c r="VZU984" s="336"/>
      <c r="VZV984" s="337"/>
      <c r="VZW984" s="336"/>
      <c r="VZX984" s="337"/>
      <c r="VZY984" s="336"/>
      <c r="VZZ984" s="337"/>
      <c r="WAA984" s="336"/>
      <c r="WAB984" s="337"/>
      <c r="WAC984" s="336"/>
      <c r="WAD984" s="337"/>
      <c r="WAE984" s="336"/>
      <c r="WAF984" s="337"/>
      <c r="WAG984" s="336"/>
      <c r="WAH984" s="337"/>
      <c r="WAI984" s="336"/>
      <c r="WAJ984" s="337"/>
      <c r="WAK984" s="336"/>
      <c r="WAL984" s="337"/>
      <c r="WAM984" s="336"/>
      <c r="WAN984" s="337"/>
      <c r="WAO984" s="336"/>
      <c r="WAP984" s="337"/>
      <c r="WAQ984" s="336"/>
      <c r="WAR984" s="337"/>
      <c r="WAS984" s="336"/>
      <c r="WAT984" s="337"/>
      <c r="WAU984" s="336"/>
      <c r="WAV984" s="337"/>
      <c r="WAW984" s="336"/>
      <c r="WAX984" s="337"/>
      <c r="WAY984" s="336"/>
      <c r="WAZ984" s="337"/>
      <c r="WBA984" s="336"/>
      <c r="WBB984" s="337"/>
      <c r="WBC984" s="336"/>
      <c r="WBD984" s="337"/>
      <c r="WBE984" s="336"/>
      <c r="WBF984" s="337"/>
      <c r="WBG984" s="336"/>
      <c r="WBH984" s="337"/>
      <c r="WBI984" s="336"/>
      <c r="WBJ984" s="337"/>
      <c r="WBK984" s="336"/>
      <c r="WBL984" s="337"/>
      <c r="WBM984" s="336"/>
      <c r="WBN984" s="337"/>
      <c r="WBO984" s="336"/>
      <c r="WBP984" s="337"/>
      <c r="WBQ984" s="336"/>
      <c r="WBR984" s="337"/>
      <c r="WBS984" s="336"/>
      <c r="WBT984" s="337"/>
      <c r="WBU984" s="336"/>
      <c r="WBV984" s="337"/>
      <c r="WBW984" s="336"/>
      <c r="WBX984" s="337"/>
      <c r="WBY984" s="336"/>
      <c r="WBZ984" s="337"/>
      <c r="WCA984" s="336"/>
      <c r="WCB984" s="337"/>
      <c r="WCC984" s="336"/>
      <c r="WCD984" s="337"/>
      <c r="WCE984" s="336"/>
      <c r="WCF984" s="337"/>
      <c r="WCG984" s="336"/>
      <c r="WCH984" s="337"/>
      <c r="WCI984" s="336"/>
      <c r="WCJ984" s="337"/>
      <c r="WCK984" s="336"/>
      <c r="WCL984" s="337"/>
      <c r="WCM984" s="336"/>
      <c r="WCN984" s="337"/>
      <c r="WCO984" s="336"/>
      <c r="WCP984" s="337"/>
      <c r="WCQ984" s="336"/>
      <c r="WCR984" s="337"/>
      <c r="WCS984" s="336"/>
      <c r="WCT984" s="337"/>
      <c r="WCU984" s="336"/>
      <c r="WCV984" s="337"/>
      <c r="WCW984" s="336"/>
      <c r="WCX984" s="337"/>
      <c r="WCY984" s="336"/>
      <c r="WCZ984" s="337"/>
      <c r="WDA984" s="336"/>
      <c r="WDB984" s="337"/>
      <c r="WDC984" s="336"/>
      <c r="WDD984" s="337"/>
      <c r="WDE984" s="336"/>
      <c r="WDF984" s="337"/>
      <c r="WDG984" s="336"/>
      <c r="WDH984" s="337"/>
      <c r="WDI984" s="336"/>
      <c r="WDJ984" s="337"/>
      <c r="WDK984" s="336"/>
      <c r="WDL984" s="337"/>
      <c r="WDM984" s="336"/>
      <c r="WDN984" s="337"/>
      <c r="WDO984" s="336"/>
      <c r="WDP984" s="337"/>
      <c r="WDQ984" s="336"/>
      <c r="WDR984" s="337"/>
      <c r="WDS984" s="336"/>
      <c r="WDT984" s="337"/>
      <c r="WDU984" s="336"/>
      <c r="WDV984" s="337"/>
      <c r="WDW984" s="336"/>
      <c r="WDX984" s="337"/>
      <c r="WDY984" s="336"/>
      <c r="WDZ984" s="337"/>
      <c r="WEA984" s="336"/>
      <c r="WEB984" s="337"/>
      <c r="WEC984" s="336"/>
      <c r="WED984" s="337"/>
      <c r="WEE984" s="336"/>
      <c r="WEF984" s="337"/>
      <c r="WEG984" s="336"/>
      <c r="WEH984" s="337"/>
      <c r="WEI984" s="336"/>
      <c r="WEJ984" s="337"/>
      <c r="WEK984" s="336"/>
      <c r="WEL984" s="337"/>
      <c r="WEM984" s="336"/>
      <c r="WEN984" s="337"/>
      <c r="WEO984" s="336"/>
      <c r="WEP984" s="337"/>
      <c r="WEQ984" s="336"/>
      <c r="WER984" s="337"/>
      <c r="WES984" s="336"/>
      <c r="WET984" s="337"/>
      <c r="WEU984" s="336"/>
      <c r="WEV984" s="337"/>
      <c r="WEW984" s="336"/>
      <c r="WEX984" s="337"/>
      <c r="WEY984" s="336"/>
      <c r="WEZ984" s="337"/>
      <c r="WFA984" s="336"/>
      <c r="WFB984" s="337"/>
      <c r="WFC984" s="336"/>
      <c r="WFD984" s="337"/>
      <c r="WFE984" s="336"/>
      <c r="WFF984" s="337"/>
      <c r="WFG984" s="336"/>
      <c r="WFH984" s="337"/>
      <c r="WFI984" s="336"/>
      <c r="WFJ984" s="337"/>
      <c r="WFK984" s="336"/>
      <c r="WFL984" s="337"/>
      <c r="WFM984" s="336"/>
      <c r="WFN984" s="337"/>
      <c r="WFO984" s="336"/>
      <c r="WFP984" s="337"/>
      <c r="WFQ984" s="336"/>
      <c r="WFR984" s="337"/>
      <c r="WFS984" s="336"/>
      <c r="WFT984" s="337"/>
      <c r="WFU984" s="336"/>
      <c r="WFV984" s="337"/>
      <c r="WFW984" s="336"/>
      <c r="WFX984" s="337"/>
      <c r="WFY984" s="336"/>
      <c r="WFZ984" s="337"/>
      <c r="WGA984" s="336"/>
      <c r="WGB984" s="337"/>
      <c r="WGC984" s="336"/>
      <c r="WGD984" s="337"/>
      <c r="WGE984" s="336"/>
      <c r="WGF984" s="337"/>
      <c r="WGG984" s="336"/>
      <c r="WGH984" s="337"/>
      <c r="WGI984" s="336"/>
      <c r="WGJ984" s="337"/>
      <c r="WGK984" s="336"/>
      <c r="WGL984" s="337"/>
      <c r="WGM984" s="336"/>
      <c r="WGN984" s="337"/>
      <c r="WGO984" s="336"/>
      <c r="WGP984" s="337"/>
      <c r="WGQ984" s="336"/>
      <c r="WGR984" s="337"/>
      <c r="WGS984" s="336"/>
      <c r="WGT984" s="337"/>
      <c r="WGU984" s="336"/>
      <c r="WGV984" s="337"/>
      <c r="WGW984" s="336"/>
      <c r="WGX984" s="337"/>
      <c r="WGY984" s="336"/>
      <c r="WGZ984" s="337"/>
      <c r="WHA984" s="336"/>
      <c r="WHB984" s="337"/>
      <c r="WHC984" s="336"/>
      <c r="WHD984" s="337"/>
      <c r="WHE984" s="336"/>
      <c r="WHF984" s="337"/>
      <c r="WHG984" s="336"/>
      <c r="WHH984" s="337"/>
      <c r="WHI984" s="336"/>
      <c r="WHJ984" s="337"/>
      <c r="WHK984" s="336"/>
      <c r="WHL984" s="337"/>
      <c r="WHM984" s="336"/>
      <c r="WHN984" s="337"/>
      <c r="WHO984" s="336"/>
      <c r="WHP984" s="337"/>
      <c r="WHQ984" s="336"/>
      <c r="WHR984" s="337"/>
      <c r="WHS984" s="336"/>
      <c r="WHT984" s="337"/>
      <c r="WHU984" s="336"/>
      <c r="WHV984" s="337"/>
      <c r="WHW984" s="336"/>
      <c r="WHX984" s="337"/>
      <c r="WHY984" s="336"/>
      <c r="WHZ984" s="337"/>
      <c r="WIA984" s="336"/>
      <c r="WIB984" s="337"/>
      <c r="WIC984" s="336"/>
      <c r="WID984" s="337"/>
      <c r="WIE984" s="336"/>
      <c r="WIF984" s="337"/>
      <c r="WIG984" s="336"/>
      <c r="WIH984" s="337"/>
      <c r="WII984" s="336"/>
      <c r="WIJ984" s="337"/>
      <c r="WIK984" s="336"/>
      <c r="WIL984" s="337"/>
      <c r="WIM984" s="336"/>
      <c r="WIN984" s="337"/>
      <c r="WIO984" s="336"/>
      <c r="WIP984" s="337"/>
      <c r="WIQ984" s="336"/>
      <c r="WIR984" s="337"/>
      <c r="WIS984" s="336"/>
      <c r="WIT984" s="337"/>
      <c r="WIU984" s="336"/>
      <c r="WIV984" s="337"/>
      <c r="WIW984" s="336"/>
      <c r="WIX984" s="337"/>
      <c r="WIY984" s="336"/>
      <c r="WIZ984" s="337"/>
      <c r="WJA984" s="336"/>
      <c r="WJB984" s="337"/>
      <c r="WJC984" s="336"/>
      <c r="WJD984" s="337"/>
      <c r="WJE984" s="336"/>
      <c r="WJF984" s="337"/>
      <c r="WJG984" s="336"/>
      <c r="WJH984" s="337"/>
      <c r="WJI984" s="336"/>
      <c r="WJJ984" s="337"/>
      <c r="WJK984" s="336"/>
      <c r="WJL984" s="337"/>
      <c r="WJM984" s="336"/>
      <c r="WJN984" s="337"/>
      <c r="WJO984" s="336"/>
      <c r="WJP984" s="337"/>
      <c r="WJQ984" s="336"/>
      <c r="WJR984" s="337"/>
      <c r="WJS984" s="336"/>
      <c r="WJT984" s="337"/>
      <c r="WJU984" s="336"/>
      <c r="WJV984" s="337"/>
      <c r="WJW984" s="336"/>
      <c r="WJX984" s="337"/>
      <c r="WJY984" s="336"/>
      <c r="WJZ984" s="337"/>
      <c r="WKA984" s="336"/>
      <c r="WKB984" s="337"/>
      <c r="WKC984" s="336"/>
      <c r="WKD984" s="337"/>
      <c r="WKE984" s="336"/>
      <c r="WKF984" s="337"/>
      <c r="WKG984" s="336"/>
      <c r="WKH984" s="337"/>
      <c r="WKI984" s="336"/>
      <c r="WKJ984" s="337"/>
      <c r="WKK984" s="336"/>
      <c r="WKL984" s="337"/>
      <c r="WKM984" s="336"/>
      <c r="WKN984" s="337"/>
      <c r="WKO984" s="336"/>
      <c r="WKP984" s="337"/>
      <c r="WKQ984" s="336"/>
      <c r="WKR984" s="337"/>
      <c r="WKS984" s="336"/>
      <c r="WKT984" s="337"/>
      <c r="WKU984" s="336"/>
      <c r="WKV984" s="337"/>
      <c r="WKW984" s="336"/>
      <c r="WKX984" s="337"/>
      <c r="WKY984" s="336"/>
      <c r="WKZ984" s="337"/>
      <c r="WLA984" s="336"/>
      <c r="WLB984" s="337"/>
      <c r="WLC984" s="336"/>
      <c r="WLD984" s="337"/>
      <c r="WLE984" s="336"/>
      <c r="WLF984" s="337"/>
      <c r="WLG984" s="336"/>
      <c r="WLH984" s="337"/>
      <c r="WLI984" s="336"/>
      <c r="WLJ984" s="337"/>
      <c r="WLK984" s="336"/>
      <c r="WLL984" s="337"/>
      <c r="WLM984" s="336"/>
      <c r="WLN984" s="337"/>
      <c r="WLO984" s="336"/>
      <c r="WLP984" s="337"/>
      <c r="WLQ984" s="336"/>
      <c r="WLR984" s="337"/>
      <c r="WLS984" s="336"/>
      <c r="WLT984" s="337"/>
      <c r="WLU984" s="336"/>
      <c r="WLV984" s="337"/>
      <c r="WLW984" s="336"/>
      <c r="WLX984" s="337"/>
      <c r="WLY984" s="336"/>
      <c r="WLZ984" s="337"/>
      <c r="WMA984" s="336"/>
      <c r="WMB984" s="337"/>
      <c r="WMC984" s="336"/>
      <c r="WMD984" s="337"/>
      <c r="WME984" s="336"/>
      <c r="WMF984" s="337"/>
      <c r="WMG984" s="336"/>
      <c r="WMH984" s="337"/>
      <c r="WMI984" s="336"/>
      <c r="WMJ984" s="337"/>
      <c r="WMK984" s="336"/>
      <c r="WML984" s="337"/>
      <c r="WMM984" s="336"/>
      <c r="WMN984" s="337"/>
      <c r="WMO984" s="336"/>
      <c r="WMP984" s="337"/>
      <c r="WMQ984" s="336"/>
      <c r="WMR984" s="337"/>
      <c r="WMS984" s="336"/>
      <c r="WMT984" s="337"/>
      <c r="WMU984" s="336"/>
      <c r="WMV984" s="337"/>
      <c r="WMW984" s="336"/>
      <c r="WMX984" s="337"/>
      <c r="WMY984" s="336"/>
      <c r="WMZ984" s="337"/>
      <c r="WNA984" s="336"/>
      <c r="WNB984" s="337"/>
      <c r="WNC984" s="336"/>
      <c r="WND984" s="337"/>
      <c r="WNE984" s="336"/>
      <c r="WNF984" s="337"/>
      <c r="WNG984" s="336"/>
      <c r="WNH984" s="337"/>
      <c r="WNI984" s="336"/>
      <c r="WNJ984" s="337"/>
      <c r="WNK984" s="336"/>
      <c r="WNL984" s="337"/>
      <c r="WNM984" s="336"/>
      <c r="WNN984" s="337"/>
      <c r="WNO984" s="336"/>
      <c r="WNP984" s="337"/>
      <c r="WNQ984" s="336"/>
      <c r="WNR984" s="337"/>
      <c r="WNS984" s="336"/>
      <c r="WNT984" s="337"/>
      <c r="WNU984" s="336"/>
      <c r="WNV984" s="337"/>
      <c r="WNW984" s="336"/>
      <c r="WNX984" s="337"/>
      <c r="WNY984" s="336"/>
      <c r="WNZ984" s="337"/>
      <c r="WOA984" s="336"/>
      <c r="WOB984" s="337"/>
      <c r="WOC984" s="336"/>
      <c r="WOD984" s="337"/>
      <c r="WOE984" s="336"/>
      <c r="WOF984" s="337"/>
      <c r="WOG984" s="336"/>
      <c r="WOH984" s="337"/>
      <c r="WOI984" s="336"/>
      <c r="WOJ984" s="337"/>
      <c r="WOK984" s="336"/>
      <c r="WOL984" s="337"/>
      <c r="WOM984" s="336"/>
      <c r="WON984" s="337"/>
      <c r="WOO984" s="336"/>
      <c r="WOP984" s="337"/>
      <c r="WOQ984" s="336"/>
      <c r="WOR984" s="337"/>
      <c r="WOS984" s="336"/>
      <c r="WOT984" s="337"/>
      <c r="WOU984" s="336"/>
      <c r="WOV984" s="337"/>
      <c r="WOW984" s="336"/>
      <c r="WOX984" s="337"/>
      <c r="WOY984" s="336"/>
      <c r="WOZ984" s="337"/>
      <c r="WPA984" s="336"/>
      <c r="WPB984" s="337"/>
      <c r="WPC984" s="336"/>
      <c r="WPD984" s="337"/>
      <c r="WPE984" s="336"/>
      <c r="WPF984" s="337"/>
      <c r="WPG984" s="336"/>
      <c r="WPH984" s="337"/>
      <c r="WPI984" s="336"/>
      <c r="WPJ984" s="337"/>
      <c r="WPK984" s="336"/>
      <c r="WPL984" s="337"/>
      <c r="WPM984" s="336"/>
      <c r="WPN984" s="337"/>
      <c r="WPO984" s="336"/>
      <c r="WPP984" s="337"/>
      <c r="WPQ984" s="336"/>
      <c r="WPR984" s="337"/>
      <c r="WPS984" s="336"/>
      <c r="WPT984" s="337"/>
      <c r="WPU984" s="336"/>
      <c r="WPV984" s="337"/>
      <c r="WPW984" s="336"/>
      <c r="WPX984" s="337"/>
      <c r="WPY984" s="336"/>
      <c r="WPZ984" s="337"/>
      <c r="WQA984" s="336"/>
      <c r="WQB984" s="337"/>
      <c r="WQC984" s="336"/>
      <c r="WQD984" s="337"/>
      <c r="WQE984" s="336"/>
      <c r="WQF984" s="337"/>
      <c r="WQG984" s="336"/>
      <c r="WQH984" s="337"/>
      <c r="WQI984" s="336"/>
      <c r="WQJ984" s="337"/>
      <c r="WQK984" s="336"/>
      <c r="WQL984" s="337"/>
      <c r="WQM984" s="336"/>
      <c r="WQN984" s="337"/>
      <c r="WQO984" s="336"/>
      <c r="WQP984" s="337"/>
      <c r="WQQ984" s="336"/>
      <c r="WQR984" s="337"/>
      <c r="WQS984" s="336"/>
      <c r="WQT984" s="337"/>
      <c r="WQU984" s="336"/>
      <c r="WQV984" s="337"/>
      <c r="WQW984" s="336"/>
      <c r="WQX984" s="337"/>
      <c r="WQY984" s="336"/>
      <c r="WQZ984" s="337"/>
      <c r="WRA984" s="336"/>
      <c r="WRB984" s="337"/>
      <c r="WRC984" s="336"/>
      <c r="WRD984" s="337"/>
      <c r="WRE984" s="336"/>
      <c r="WRF984" s="337"/>
      <c r="WRG984" s="336"/>
      <c r="WRH984" s="337"/>
      <c r="WRI984" s="336"/>
      <c r="WRJ984" s="337"/>
      <c r="WRK984" s="336"/>
      <c r="WRL984" s="337"/>
      <c r="WRM984" s="336"/>
      <c r="WRN984" s="337"/>
      <c r="WRO984" s="336"/>
      <c r="WRP984" s="337"/>
      <c r="WRQ984" s="336"/>
      <c r="WRR984" s="337"/>
      <c r="WRS984" s="336"/>
      <c r="WRT984" s="337"/>
      <c r="WRU984" s="336"/>
      <c r="WRV984" s="337"/>
      <c r="WRW984" s="336"/>
      <c r="WRX984" s="337"/>
      <c r="WRY984" s="336"/>
      <c r="WRZ984" s="337"/>
      <c r="WSA984" s="336"/>
      <c r="WSB984" s="337"/>
      <c r="WSC984" s="336"/>
      <c r="WSD984" s="337"/>
      <c r="WSE984" s="336"/>
      <c r="WSF984" s="337"/>
      <c r="WSG984" s="336"/>
      <c r="WSH984" s="337"/>
      <c r="WSI984" s="336"/>
      <c r="WSJ984" s="337"/>
      <c r="WSK984" s="336"/>
      <c r="WSL984" s="337"/>
      <c r="WSM984" s="336"/>
      <c r="WSN984" s="337"/>
      <c r="WSO984" s="336"/>
      <c r="WSP984" s="337"/>
      <c r="WSQ984" s="336"/>
      <c r="WSR984" s="337"/>
      <c r="WSS984" s="336"/>
      <c r="WST984" s="337"/>
      <c r="WSU984" s="336"/>
      <c r="WSV984" s="337"/>
      <c r="WSW984" s="336"/>
      <c r="WSX984" s="337"/>
      <c r="WSY984" s="336"/>
      <c r="WSZ984" s="337"/>
      <c r="WTA984" s="336"/>
      <c r="WTB984" s="337"/>
      <c r="WTC984" s="336"/>
      <c r="WTD984" s="337"/>
      <c r="WTE984" s="336"/>
      <c r="WTF984" s="337"/>
      <c r="WTG984" s="336"/>
      <c r="WTH984" s="337"/>
      <c r="WTI984" s="336"/>
      <c r="WTJ984" s="337"/>
      <c r="WTK984" s="336"/>
      <c r="WTL984" s="337"/>
      <c r="WTM984" s="336"/>
      <c r="WTN984" s="337"/>
      <c r="WTO984" s="336"/>
      <c r="WTP984" s="337"/>
      <c r="WTQ984" s="336"/>
      <c r="WTR984" s="337"/>
      <c r="WTS984" s="336"/>
      <c r="WTT984" s="337"/>
      <c r="WTU984" s="336"/>
      <c r="WTV984" s="337"/>
      <c r="WTW984" s="336"/>
      <c r="WTX984" s="337"/>
      <c r="WTY984" s="336"/>
      <c r="WTZ984" s="337"/>
      <c r="WUA984" s="336"/>
      <c r="WUB984" s="337"/>
      <c r="WUC984" s="336"/>
      <c r="WUD984" s="337"/>
      <c r="WUE984" s="336"/>
      <c r="WUF984" s="337"/>
      <c r="WUG984" s="336"/>
      <c r="WUH984" s="337"/>
      <c r="WUI984" s="336"/>
      <c r="WUJ984" s="337"/>
      <c r="WUK984" s="336"/>
      <c r="WUL984" s="337"/>
      <c r="WUM984" s="336"/>
      <c r="WUN984" s="337"/>
      <c r="WUO984" s="336"/>
      <c r="WUP984" s="337"/>
      <c r="WUQ984" s="336"/>
      <c r="WUR984" s="337"/>
      <c r="WUS984" s="336"/>
      <c r="WUT984" s="337"/>
      <c r="WUU984" s="336"/>
      <c r="WUV984" s="337"/>
      <c r="WUW984" s="336"/>
      <c r="WUX984" s="337"/>
      <c r="WUY984" s="336"/>
      <c r="WUZ984" s="337"/>
      <c r="WVA984" s="336"/>
      <c r="WVB984" s="337"/>
      <c r="WVC984" s="336"/>
      <c r="WVD984" s="337"/>
      <c r="WVE984" s="336"/>
      <c r="WVF984" s="337"/>
      <c r="WVG984" s="336"/>
      <c r="WVH984" s="337"/>
      <c r="WVI984" s="336"/>
      <c r="WVJ984" s="337"/>
      <c r="WVK984" s="336"/>
      <c r="WVL984" s="337"/>
      <c r="WVM984" s="336"/>
      <c r="WVN984" s="337"/>
      <c r="WVO984" s="336"/>
      <c r="WVP984" s="337"/>
      <c r="WVQ984" s="336"/>
      <c r="WVR984" s="337"/>
      <c r="WVS984" s="336"/>
      <c r="WVT984" s="337"/>
      <c r="WVU984" s="336"/>
      <c r="WVV984" s="337"/>
      <c r="WVW984" s="336"/>
      <c r="WVX984" s="337"/>
      <c r="WVY984" s="336"/>
      <c r="WVZ984" s="337"/>
      <c r="WWA984" s="336"/>
      <c r="WWB984" s="337"/>
      <c r="WWC984" s="336"/>
      <c r="WWD984" s="337"/>
      <c r="WWE984" s="336"/>
      <c r="WWF984" s="337"/>
      <c r="WWG984" s="336"/>
      <c r="WWH984" s="337"/>
      <c r="WWI984" s="336"/>
      <c r="WWJ984" s="337"/>
      <c r="WWK984" s="336"/>
      <c r="WWL984" s="337"/>
      <c r="WWM984" s="336"/>
      <c r="WWN984" s="337"/>
      <c r="WWO984" s="336"/>
      <c r="WWP984" s="337"/>
      <c r="WWQ984" s="336"/>
      <c r="WWR984" s="337"/>
      <c r="WWS984" s="336"/>
      <c r="WWT984" s="337"/>
      <c r="WWU984" s="336"/>
      <c r="WWV984" s="337"/>
      <c r="WWW984" s="336"/>
      <c r="WWX984" s="337"/>
      <c r="WWY984" s="336"/>
      <c r="WWZ984" s="337"/>
      <c r="WXA984" s="336"/>
      <c r="WXB984" s="337"/>
      <c r="WXC984" s="336"/>
      <c r="WXD984" s="337"/>
      <c r="WXE984" s="336"/>
      <c r="WXF984" s="337"/>
      <c r="WXG984" s="336"/>
      <c r="WXH984" s="337"/>
      <c r="WXI984" s="336"/>
      <c r="WXJ984" s="337"/>
      <c r="WXK984" s="336"/>
      <c r="WXL984" s="337"/>
      <c r="WXM984" s="336"/>
      <c r="WXN984" s="337"/>
      <c r="WXO984" s="336"/>
      <c r="WXP984" s="337"/>
      <c r="WXQ984" s="336"/>
      <c r="WXR984" s="337"/>
      <c r="WXS984" s="336"/>
      <c r="WXT984" s="337"/>
      <c r="WXU984" s="336"/>
      <c r="WXV984" s="337"/>
      <c r="WXW984" s="336"/>
      <c r="WXX984" s="337"/>
      <c r="WXY984" s="336"/>
      <c r="WXZ984" s="337"/>
      <c r="WYA984" s="336"/>
      <c r="WYB984" s="337"/>
      <c r="WYC984" s="336"/>
      <c r="WYD984" s="337"/>
      <c r="WYE984" s="336"/>
      <c r="WYF984" s="337"/>
      <c r="WYG984" s="336"/>
      <c r="WYH984" s="337"/>
      <c r="WYI984" s="336"/>
      <c r="WYJ984" s="337"/>
      <c r="WYK984" s="336"/>
      <c r="WYL984" s="337"/>
      <c r="WYM984" s="336"/>
      <c r="WYN984" s="337"/>
      <c r="WYO984" s="336"/>
      <c r="WYP984" s="337"/>
      <c r="WYQ984" s="336"/>
      <c r="WYR984" s="337"/>
      <c r="WYS984" s="336"/>
      <c r="WYT984" s="337"/>
      <c r="WYU984" s="336"/>
      <c r="WYV984" s="337"/>
      <c r="WYW984" s="336"/>
      <c r="WYX984" s="337"/>
      <c r="WYY984" s="336"/>
      <c r="WYZ984" s="337"/>
      <c r="WZA984" s="336"/>
      <c r="WZB984" s="337"/>
      <c r="WZC984" s="336"/>
      <c r="WZD984" s="337"/>
      <c r="WZE984" s="336"/>
      <c r="WZF984" s="337"/>
      <c r="WZG984" s="336"/>
      <c r="WZH984" s="337"/>
      <c r="WZI984" s="336"/>
      <c r="WZJ984" s="337"/>
      <c r="WZK984" s="336"/>
      <c r="WZL984" s="337"/>
      <c r="WZM984" s="336"/>
      <c r="WZN984" s="337"/>
      <c r="WZO984" s="336"/>
      <c r="WZP984" s="337"/>
      <c r="WZQ984" s="336"/>
      <c r="WZR984" s="337"/>
      <c r="WZS984" s="336"/>
      <c r="WZT984" s="337"/>
      <c r="WZU984" s="336"/>
      <c r="WZV984" s="337"/>
      <c r="WZW984" s="336"/>
      <c r="WZX984" s="337"/>
      <c r="WZY984" s="336"/>
      <c r="WZZ984" s="337"/>
      <c r="XAA984" s="336"/>
      <c r="XAB984" s="337"/>
      <c r="XAC984" s="336"/>
      <c r="XAD984" s="337"/>
      <c r="XAE984" s="336"/>
      <c r="XAF984" s="337"/>
      <c r="XAG984" s="336"/>
      <c r="XAH984" s="337"/>
      <c r="XAI984" s="336"/>
      <c r="XAJ984" s="337"/>
      <c r="XAK984" s="336"/>
      <c r="XAL984" s="337"/>
      <c r="XAM984" s="336"/>
      <c r="XAN984" s="337"/>
      <c r="XAO984" s="336"/>
      <c r="XAP984" s="337"/>
      <c r="XAQ984" s="336"/>
      <c r="XAR984" s="337"/>
      <c r="XAS984" s="336"/>
      <c r="XAT984" s="337"/>
      <c r="XAU984" s="336"/>
      <c r="XAV984" s="337"/>
      <c r="XAW984" s="336"/>
      <c r="XAX984" s="337"/>
      <c r="XAY984" s="336"/>
      <c r="XAZ984" s="337"/>
      <c r="XBA984" s="336"/>
      <c r="XBB984" s="337"/>
      <c r="XBC984" s="336"/>
      <c r="XBD984" s="337"/>
      <c r="XBE984" s="336"/>
      <c r="XBF984" s="337"/>
      <c r="XBG984" s="336"/>
      <c r="XBH984" s="337"/>
      <c r="XBI984" s="336"/>
      <c r="XBJ984" s="337"/>
      <c r="XBK984" s="336"/>
      <c r="XBL984" s="337"/>
      <c r="XBM984" s="336"/>
      <c r="XBN984" s="337"/>
      <c r="XBO984" s="336"/>
      <c r="XBP984" s="337"/>
      <c r="XBQ984" s="336"/>
      <c r="XBR984" s="337"/>
      <c r="XBS984" s="336"/>
      <c r="XBT984" s="337"/>
      <c r="XBU984" s="336"/>
      <c r="XBV984" s="337"/>
      <c r="XBW984" s="336"/>
      <c r="XBX984" s="337"/>
      <c r="XBY984" s="336"/>
      <c r="XBZ984" s="337"/>
      <c r="XCA984" s="336"/>
      <c r="XCB984" s="337"/>
      <c r="XCC984" s="336"/>
      <c r="XCD984" s="337"/>
      <c r="XCE984" s="336"/>
      <c r="XCF984" s="337"/>
      <c r="XCG984" s="336"/>
      <c r="XCH984" s="337"/>
      <c r="XCI984" s="336"/>
      <c r="XCJ984" s="337"/>
      <c r="XCK984" s="336"/>
      <c r="XCL984" s="337"/>
      <c r="XCM984" s="336"/>
      <c r="XCN984" s="337"/>
      <c r="XCO984" s="336"/>
      <c r="XCP984" s="337"/>
      <c r="XCQ984" s="336"/>
      <c r="XCR984" s="337"/>
      <c r="XCS984" s="336"/>
      <c r="XCT984" s="337"/>
      <c r="XCU984" s="336"/>
      <c r="XCV984" s="337"/>
      <c r="XCW984" s="336"/>
      <c r="XCX984" s="337"/>
      <c r="XCY984" s="336"/>
      <c r="XCZ984" s="337"/>
      <c r="XDA984" s="336"/>
      <c r="XDB984" s="337"/>
      <c r="XDC984" s="336"/>
      <c r="XDD984" s="337"/>
      <c r="XDE984" s="336"/>
      <c r="XDF984" s="337"/>
      <c r="XDG984" s="336"/>
      <c r="XDH984" s="337"/>
      <c r="XDI984" s="336"/>
      <c r="XDJ984" s="337"/>
      <c r="XDK984" s="336"/>
      <c r="XDL984" s="337"/>
      <c r="XDM984" s="336"/>
      <c r="XDN984" s="337"/>
      <c r="XDO984" s="336"/>
      <c r="XDP984" s="337"/>
      <c r="XDQ984" s="336"/>
      <c r="XDR984" s="337"/>
      <c r="XDS984" s="336"/>
      <c r="XDT984" s="337"/>
      <c r="XDU984" s="336"/>
      <c r="XDV984" s="337"/>
      <c r="XDW984" s="336"/>
      <c r="XDX984" s="337"/>
      <c r="XDY984" s="336"/>
      <c r="XDZ984" s="337"/>
      <c r="XEA984" s="336"/>
      <c r="XEB984" s="337"/>
      <c r="XEC984" s="336"/>
      <c r="XED984" s="337"/>
      <c r="XEE984" s="336"/>
      <c r="XEF984" s="337"/>
      <c r="XEG984" s="336"/>
      <c r="XEH984" s="337"/>
      <c r="XEI984" s="336"/>
      <c r="XEJ984" s="337"/>
      <c r="XEK984" s="336"/>
      <c r="XEL984" s="337"/>
      <c r="XEM984" s="336"/>
      <c r="XEN984" s="337"/>
      <c r="XEO984" s="336"/>
      <c r="XEP984" s="337"/>
      <c r="XEQ984" s="336"/>
      <c r="XER984" s="337"/>
      <c r="XES984" s="336"/>
      <c r="XET984" s="337"/>
      <c r="XEU984" s="336"/>
      <c r="XEV984" s="337"/>
      <c r="XEW984" s="336"/>
      <c r="XEX984" s="337"/>
      <c r="XEY984" s="336"/>
      <c r="XEZ984" s="337"/>
      <c r="XFA984" s="336"/>
      <c r="XFB984" s="337"/>
      <c r="XFC984" s="336"/>
      <c r="XFD984" s="337"/>
    </row>
    <row r="985" spans="1:16384" s="1" customFormat="1" ht="32.1" hidden="1">
      <c r="B985" s="48" t="s">
        <v>2104</v>
      </c>
      <c r="C985" s="115"/>
      <c r="D985" s="116" t="s">
        <v>2105</v>
      </c>
      <c r="E985" s="171" t="s">
        <v>46</v>
      </c>
      <c r="J985" s="119">
        <v>45790</v>
      </c>
      <c r="K985" s="329">
        <v>3181396</v>
      </c>
      <c r="N985" s="182"/>
      <c r="O985" s="163" t="s">
        <v>2106</v>
      </c>
      <c r="P985" s="198" t="s">
        <v>49</v>
      </c>
      <c r="U985" s="6"/>
      <c r="V985" s="6"/>
      <c r="W985" s="6"/>
    </row>
    <row r="986" spans="1:16384" s="1" customFormat="1" ht="32.1" hidden="1">
      <c r="B986" s="48" t="s">
        <v>2107</v>
      </c>
      <c r="C986" s="115"/>
      <c r="D986" s="116" t="s">
        <v>2108</v>
      </c>
      <c r="E986" s="171" t="s">
        <v>46</v>
      </c>
      <c r="J986" s="119">
        <v>45776</v>
      </c>
      <c r="K986" s="329">
        <v>3122658</v>
      </c>
      <c r="N986" s="182"/>
      <c r="O986" s="163" t="s">
        <v>2106</v>
      </c>
      <c r="P986" s="198" t="s">
        <v>49</v>
      </c>
      <c r="U986" s="6"/>
      <c r="V986" s="6"/>
      <c r="W986" s="6"/>
    </row>
    <row r="987" spans="1:16384" s="1" customFormat="1" ht="48" hidden="1">
      <c r="B987" s="48" t="s">
        <v>2109</v>
      </c>
      <c r="C987" s="115"/>
      <c r="D987" s="116" t="s">
        <v>2110</v>
      </c>
      <c r="E987" s="171" t="s">
        <v>46</v>
      </c>
      <c r="J987" s="119">
        <v>45790</v>
      </c>
      <c r="K987" s="329"/>
      <c r="N987" s="182" t="s">
        <v>2111</v>
      </c>
      <c r="O987" s="163" t="s">
        <v>2112</v>
      </c>
      <c r="P987" s="198" t="s">
        <v>49</v>
      </c>
      <c r="U987" s="6"/>
      <c r="V987" s="6"/>
      <c r="W987" s="6"/>
    </row>
    <row r="988" spans="1:16384" s="1" customFormat="1" ht="32.1" hidden="1">
      <c r="B988" s="48" t="s">
        <v>2088</v>
      </c>
      <c r="C988" s="115"/>
      <c r="D988" s="116" t="s">
        <v>2113</v>
      </c>
      <c r="E988" s="171" t="s">
        <v>46</v>
      </c>
      <c r="J988" s="119">
        <v>45770</v>
      </c>
      <c r="K988" s="329">
        <v>3097402</v>
      </c>
      <c r="N988" s="182"/>
      <c r="O988" s="163" t="s">
        <v>2087</v>
      </c>
      <c r="P988" s="198" t="s">
        <v>49</v>
      </c>
      <c r="U988" s="6"/>
      <c r="V988" s="6"/>
      <c r="W988" s="6"/>
    </row>
    <row r="989" spans="1:16384" s="1" customFormat="1" ht="32.1" hidden="1">
      <c r="B989" s="48" t="s">
        <v>2088</v>
      </c>
      <c r="C989" s="115"/>
      <c r="D989" s="116" t="s">
        <v>2114</v>
      </c>
      <c r="E989" s="171" t="s">
        <v>46</v>
      </c>
      <c r="J989" s="119">
        <v>45772</v>
      </c>
      <c r="K989" s="329">
        <v>3105791</v>
      </c>
      <c r="N989" s="182"/>
      <c r="O989" s="163" t="s">
        <v>2087</v>
      </c>
      <c r="P989" s="198" t="s">
        <v>49</v>
      </c>
      <c r="U989" s="6"/>
      <c r="V989" s="6"/>
      <c r="W989" s="6"/>
    </row>
    <row r="990" spans="1:16384" s="1" customFormat="1" ht="32.1" hidden="1">
      <c r="B990" s="48" t="s">
        <v>2088</v>
      </c>
      <c r="C990" s="115"/>
      <c r="D990" s="116" t="s">
        <v>2115</v>
      </c>
      <c r="E990" s="171" t="s">
        <v>46</v>
      </c>
      <c r="J990" s="119">
        <v>45783</v>
      </c>
      <c r="K990" s="329"/>
      <c r="N990" s="182" t="s">
        <v>2116</v>
      </c>
      <c r="O990" s="163" t="s">
        <v>2087</v>
      </c>
      <c r="P990" s="198" t="s">
        <v>49</v>
      </c>
      <c r="U990" s="6"/>
      <c r="V990" s="6"/>
      <c r="W990" s="6"/>
    </row>
    <row r="991" spans="1:16384" s="1" customFormat="1" ht="32.1" hidden="1">
      <c r="B991" s="48" t="s">
        <v>2088</v>
      </c>
      <c r="C991" s="115"/>
      <c r="D991" s="116" t="s">
        <v>2117</v>
      </c>
      <c r="E991" s="171" t="s">
        <v>46</v>
      </c>
      <c r="J991" s="119">
        <v>45786</v>
      </c>
      <c r="K991" s="329">
        <v>3165242</v>
      </c>
      <c r="N991" s="182" t="s">
        <v>2118</v>
      </c>
      <c r="O991" s="163" t="s">
        <v>2119</v>
      </c>
      <c r="P991" s="198" t="s">
        <v>49</v>
      </c>
      <c r="U991" s="6"/>
      <c r="V991" s="6"/>
      <c r="W991" s="6"/>
    </row>
    <row r="992" spans="1:16384" s="1" customFormat="1" ht="63.95" hidden="1">
      <c r="B992" s="48" t="s">
        <v>2088</v>
      </c>
      <c r="C992" s="115"/>
      <c r="D992" s="116" t="s">
        <v>2120</v>
      </c>
      <c r="E992" s="171" t="s">
        <v>46</v>
      </c>
      <c r="J992" s="119">
        <v>45789</v>
      </c>
      <c r="K992" s="329">
        <v>3177901</v>
      </c>
      <c r="N992" s="182"/>
      <c r="O992" s="163" t="s">
        <v>2087</v>
      </c>
      <c r="P992" s="198" t="s">
        <v>49</v>
      </c>
      <c r="U992" s="6"/>
      <c r="V992" s="6"/>
      <c r="W992" s="6"/>
    </row>
    <row r="993" spans="2:33" ht="409.5" hidden="1">
      <c r="B993" s="114" t="s">
        <v>2065</v>
      </c>
      <c r="C993" s="115"/>
      <c r="D993" s="116" t="s">
        <v>2121</v>
      </c>
      <c r="E993" s="117" t="s">
        <v>46</v>
      </c>
      <c r="J993" s="119">
        <v>45761</v>
      </c>
      <c r="K993" s="329">
        <v>3061048</v>
      </c>
      <c r="N993" s="121" t="s">
        <v>2122</v>
      </c>
      <c r="O993" s="351" t="s">
        <v>2123</v>
      </c>
      <c r="P993" s="164" t="s">
        <v>49</v>
      </c>
    </row>
    <row r="994" spans="2:33" ht="32.1" hidden="1">
      <c r="B994" s="48" t="s">
        <v>2065</v>
      </c>
      <c r="C994" s="115"/>
      <c r="D994" s="116" t="s">
        <v>2124</v>
      </c>
      <c r="E994" s="171" t="s">
        <v>46</v>
      </c>
      <c r="J994" s="119">
        <v>45783</v>
      </c>
      <c r="K994" s="329"/>
      <c r="N994" s="182"/>
      <c r="O994" s="316" t="s">
        <v>2125</v>
      </c>
      <c r="P994" s="198" t="s">
        <v>49</v>
      </c>
    </row>
    <row r="995" spans="2:33" ht="32.1" hidden="1">
      <c r="B995" s="48" t="s">
        <v>2065</v>
      </c>
      <c r="C995" s="115"/>
      <c r="D995" s="116" t="s">
        <v>2126</v>
      </c>
      <c r="E995" s="171" t="s">
        <v>46</v>
      </c>
      <c r="J995" s="119">
        <v>45786</v>
      </c>
      <c r="K995" s="329">
        <v>3165789</v>
      </c>
      <c r="N995" s="182"/>
      <c r="O995" s="163" t="s">
        <v>2087</v>
      </c>
      <c r="P995" s="198" t="s">
        <v>49</v>
      </c>
    </row>
    <row r="996" spans="2:33" ht="48" hidden="1">
      <c r="B996" s="48" t="s">
        <v>2127</v>
      </c>
      <c r="C996" s="115"/>
      <c r="D996" s="116" t="s">
        <v>2128</v>
      </c>
      <c r="E996" s="171" t="s">
        <v>46</v>
      </c>
      <c r="J996" s="119">
        <v>45768</v>
      </c>
      <c r="K996" s="329">
        <v>3089520</v>
      </c>
      <c r="N996" s="182"/>
      <c r="O996" s="163" t="s">
        <v>2087</v>
      </c>
      <c r="P996" s="198" t="s">
        <v>49</v>
      </c>
    </row>
    <row r="997" spans="2:33" ht="32.1" hidden="1">
      <c r="B997" s="48" t="s">
        <v>2127</v>
      </c>
      <c r="C997" s="115"/>
      <c r="D997" s="116" t="s">
        <v>2129</v>
      </c>
      <c r="E997" s="171" t="s">
        <v>46</v>
      </c>
      <c r="J997" s="119">
        <v>45782</v>
      </c>
      <c r="K997" s="329">
        <v>3148070</v>
      </c>
      <c r="N997" s="182"/>
      <c r="O997" s="163" t="s">
        <v>2087</v>
      </c>
      <c r="P997" s="198" t="s">
        <v>49</v>
      </c>
    </row>
    <row r="998" spans="2:33" ht="80.099999999999994" hidden="1">
      <c r="B998" s="48" t="s">
        <v>2130</v>
      </c>
      <c r="C998" s="115"/>
      <c r="D998" s="116" t="s">
        <v>2131</v>
      </c>
      <c r="E998" s="171" t="s">
        <v>46</v>
      </c>
      <c r="J998" s="119">
        <v>45777</v>
      </c>
      <c r="K998" s="329"/>
      <c r="N998" s="182"/>
      <c r="O998" s="316" t="s">
        <v>2132</v>
      </c>
      <c r="P998" s="198" t="s">
        <v>49</v>
      </c>
    </row>
    <row r="999" spans="2:33" ht="111.95" hidden="1">
      <c r="B999" s="48" t="s">
        <v>2069</v>
      </c>
      <c r="C999" s="115"/>
      <c r="D999" s="116" t="s">
        <v>2133</v>
      </c>
      <c r="E999" s="171" t="s">
        <v>46</v>
      </c>
      <c r="J999" s="119">
        <v>45775</v>
      </c>
      <c r="K999" s="329"/>
      <c r="N999" s="182"/>
      <c r="O999" s="163" t="s">
        <v>2087</v>
      </c>
      <c r="P999" s="198" t="s">
        <v>49</v>
      </c>
    </row>
    <row r="1000" spans="2:33" ht="63.95" hidden="1">
      <c r="B1000" s="48" t="s">
        <v>2134</v>
      </c>
      <c r="C1000" s="115"/>
      <c r="D1000" s="116" t="s">
        <v>2135</v>
      </c>
      <c r="E1000" s="171" t="s">
        <v>46</v>
      </c>
      <c r="J1000" s="119">
        <v>45786</v>
      </c>
      <c r="K1000" s="329">
        <v>3165116</v>
      </c>
      <c r="N1000" s="182" t="s">
        <v>2136</v>
      </c>
      <c r="O1000" s="163" t="s">
        <v>2112</v>
      </c>
      <c r="P1000" s="345" t="s">
        <v>49</v>
      </c>
    </row>
    <row r="1001" spans="2:33" ht="63.95" hidden="1">
      <c r="B1001" s="48" t="s">
        <v>2137</v>
      </c>
      <c r="C1001" s="115"/>
      <c r="D1001" s="116" t="s">
        <v>2138</v>
      </c>
      <c r="E1001" s="171" t="s">
        <v>46</v>
      </c>
      <c r="J1001" s="119">
        <v>45783</v>
      </c>
      <c r="K1001" s="329">
        <v>3152658</v>
      </c>
      <c r="N1001" s="182" t="s">
        <v>2139</v>
      </c>
      <c r="O1001" s="163" t="s">
        <v>2112</v>
      </c>
      <c r="P1001" s="345" t="s">
        <v>49</v>
      </c>
    </row>
    <row r="1002" spans="2:33" ht="63.95" hidden="1">
      <c r="B1002" s="48" t="s">
        <v>2101</v>
      </c>
      <c r="C1002" s="115"/>
      <c r="D1002" s="116" t="s">
        <v>2140</v>
      </c>
      <c r="E1002" s="171" t="s">
        <v>46</v>
      </c>
      <c r="J1002" s="119">
        <v>45786</v>
      </c>
      <c r="K1002" s="361">
        <v>3165737</v>
      </c>
      <c r="N1002" s="182"/>
      <c r="O1002" s="163" t="s">
        <v>2087</v>
      </c>
      <c r="P1002" s="198" t="s">
        <v>49</v>
      </c>
    </row>
    <row r="1003" spans="2:33" ht="32.1" hidden="1">
      <c r="B1003" s="48" t="s">
        <v>2085</v>
      </c>
      <c r="C1003" s="115"/>
      <c r="D1003" s="116" t="s">
        <v>2141</v>
      </c>
      <c r="E1003" s="171" t="s">
        <v>46</v>
      </c>
      <c r="J1003" s="119">
        <v>45756</v>
      </c>
      <c r="K1003" s="359">
        <v>3041860</v>
      </c>
      <c r="N1003" s="182" t="s">
        <v>2142</v>
      </c>
      <c r="O1003" s="163" t="s">
        <v>2143</v>
      </c>
      <c r="P1003" s="198" t="s">
        <v>49</v>
      </c>
    </row>
    <row r="1004" spans="2:33" ht="32.1" hidden="1">
      <c r="B1004" s="48" t="s">
        <v>2088</v>
      </c>
      <c r="C1004" s="115"/>
      <c r="D1004" s="116" t="s">
        <v>2144</v>
      </c>
      <c r="E1004" s="171" t="s">
        <v>46</v>
      </c>
      <c r="J1004" s="119">
        <v>45782</v>
      </c>
      <c r="K1004" s="358">
        <v>3105791</v>
      </c>
      <c r="N1004" s="182" t="s">
        <v>2145</v>
      </c>
      <c r="O1004" s="163"/>
      <c r="P1004" s="198" t="s">
        <v>49</v>
      </c>
    </row>
    <row r="1005" spans="2:33" ht="144" hidden="1">
      <c r="B1005" s="48" t="s">
        <v>2088</v>
      </c>
      <c r="C1005" s="115"/>
      <c r="D1005" s="116" t="s">
        <v>2146</v>
      </c>
      <c r="E1005" s="171" t="s">
        <v>46</v>
      </c>
      <c r="J1005" s="119">
        <v>45783</v>
      </c>
      <c r="K1005" s="329">
        <v>3152388</v>
      </c>
      <c r="N1005" s="182" t="s">
        <v>2147</v>
      </c>
      <c r="O1005" s="163"/>
      <c r="P1005" s="198" t="s">
        <v>49</v>
      </c>
    </row>
    <row r="1006" spans="2:33" ht="32.1" hidden="1">
      <c r="B1006" s="48" t="s">
        <v>2127</v>
      </c>
      <c r="C1006" s="115"/>
      <c r="D1006" s="116" t="s">
        <v>2148</v>
      </c>
      <c r="E1006" s="171" t="s">
        <v>46</v>
      </c>
      <c r="J1006" s="119">
        <v>45782</v>
      </c>
      <c r="K1006" s="329">
        <v>3148055</v>
      </c>
      <c r="N1006" s="182" t="s">
        <v>2149</v>
      </c>
      <c r="O1006" s="163"/>
      <c r="P1006" s="198" t="s">
        <v>49</v>
      </c>
    </row>
    <row r="1007" spans="2:33" ht="48" hidden="1">
      <c r="B1007" s="48" t="s">
        <v>2150</v>
      </c>
      <c r="C1007" s="115"/>
      <c r="D1007" s="116" t="s">
        <v>2151</v>
      </c>
      <c r="E1007" s="171" t="s">
        <v>46</v>
      </c>
      <c r="J1007" s="119">
        <v>45754</v>
      </c>
      <c r="K1007" s="329">
        <v>3031880</v>
      </c>
      <c r="N1007" s="182" t="s">
        <v>2152</v>
      </c>
      <c r="O1007" s="163"/>
      <c r="P1007" s="198" t="s">
        <v>49</v>
      </c>
    </row>
    <row r="1008" spans="2:33" ht="63.95" hidden="1">
      <c r="B1008" s="48" t="s">
        <v>2062</v>
      </c>
      <c r="C1008" s="115"/>
      <c r="D1008" s="116" t="s">
        <v>2153</v>
      </c>
      <c r="E1008" s="171" t="s">
        <v>46</v>
      </c>
      <c r="J1008" s="119">
        <v>45769</v>
      </c>
      <c r="K1008" s="329">
        <v>3094279</v>
      </c>
      <c r="N1008" s="182" t="s">
        <v>2154</v>
      </c>
      <c r="O1008" s="163"/>
      <c r="P1008" s="198" t="s">
        <v>49</v>
      </c>
      <c r="S1008" s="48"/>
      <c r="T1008" s="115"/>
      <c r="U1008" s="116"/>
      <c r="V1008" s="171"/>
      <c r="W1008" s="1"/>
      <c r="AA1008" s="119"/>
      <c r="AB1008" s="329"/>
      <c r="AE1008" s="182"/>
      <c r="AF1008" s="163"/>
      <c r="AG1008" s="198"/>
    </row>
    <row r="1009" spans="2:23" ht="48" hidden="1">
      <c r="B1009" s="48" t="s">
        <v>2062</v>
      </c>
      <c r="C1009" s="115"/>
      <c r="D1009" s="116" t="s">
        <v>2155</v>
      </c>
      <c r="E1009" s="171" t="s">
        <v>46</v>
      </c>
      <c r="J1009" s="119">
        <v>45783</v>
      </c>
      <c r="K1009" s="329">
        <v>3152452</v>
      </c>
      <c r="N1009" s="182" t="s">
        <v>2156</v>
      </c>
      <c r="O1009" s="163"/>
      <c r="P1009" s="198" t="s">
        <v>49</v>
      </c>
    </row>
    <row r="1010" spans="2:23" ht="48">
      <c r="B1010" s="48" t="s">
        <v>2095</v>
      </c>
      <c r="C1010" s="115"/>
      <c r="D1010" s="116" t="s">
        <v>2157</v>
      </c>
      <c r="E1010" s="171" t="s">
        <v>46</v>
      </c>
      <c r="J1010" s="119">
        <v>45776</v>
      </c>
      <c r="K1010" s="329">
        <v>3122405</v>
      </c>
      <c r="N1010" s="182" t="s">
        <v>2154</v>
      </c>
      <c r="O1010" s="163"/>
      <c r="P1010" s="198" t="s">
        <v>49</v>
      </c>
    </row>
    <row r="1011" spans="2:23" ht="63.95" hidden="1">
      <c r="B1011" s="48" t="s">
        <v>2158</v>
      </c>
      <c r="C1011" s="115"/>
      <c r="D1011" s="116" t="s">
        <v>2159</v>
      </c>
      <c r="E1011" s="171" t="s">
        <v>46</v>
      </c>
      <c r="J1011" s="119">
        <v>45793</v>
      </c>
      <c r="K1011" s="329">
        <v>3192584</v>
      </c>
      <c r="N1011" s="182" t="s">
        <v>2160</v>
      </c>
      <c r="O1011" s="163"/>
      <c r="P1011" s="198" t="s">
        <v>49</v>
      </c>
      <c r="Q1011" s="198" t="s">
        <v>49</v>
      </c>
      <c r="R1011" s="198" t="s">
        <v>49</v>
      </c>
    </row>
    <row r="1012" spans="2:23" ht="128.1" hidden="1">
      <c r="B1012" s="48" t="s">
        <v>2104</v>
      </c>
      <c r="C1012" s="115"/>
      <c r="D1012" s="116" t="s">
        <v>2161</v>
      </c>
      <c r="E1012" s="171" t="s">
        <v>46</v>
      </c>
      <c r="F1012" s="1" t="s">
        <v>46</v>
      </c>
      <c r="G1012" s="1" t="s">
        <v>46</v>
      </c>
      <c r="H1012" s="1" t="s">
        <v>46</v>
      </c>
      <c r="I1012" s="1" t="s">
        <v>46</v>
      </c>
      <c r="J1012" s="119">
        <v>45800</v>
      </c>
      <c r="K1012" s="329">
        <v>3209866</v>
      </c>
      <c r="N1012" s="182" t="s">
        <v>2162</v>
      </c>
      <c r="O1012" s="163" t="s">
        <v>2163</v>
      </c>
      <c r="P1012" s="198" t="s">
        <v>49</v>
      </c>
    </row>
    <row r="1013" spans="2:23" ht="32.1" hidden="1">
      <c r="B1013" s="48" t="s">
        <v>54</v>
      </c>
      <c r="C1013" s="115"/>
      <c r="D1013" s="116" t="s">
        <v>2164</v>
      </c>
      <c r="E1013" s="171" t="s">
        <v>46</v>
      </c>
      <c r="F1013" s="1" t="s">
        <v>46</v>
      </c>
      <c r="G1013" s="1" t="s">
        <v>46</v>
      </c>
      <c r="H1013" s="1" t="s">
        <v>46</v>
      </c>
      <c r="I1013" s="1" t="s">
        <v>46</v>
      </c>
      <c r="J1013" s="119">
        <v>45800</v>
      </c>
      <c r="K1013" s="329">
        <v>3209744</v>
      </c>
      <c r="N1013" s="182" t="s">
        <v>2165</v>
      </c>
      <c r="O1013" s="163" t="s">
        <v>2166</v>
      </c>
      <c r="P1013" s="198" t="s">
        <v>49</v>
      </c>
    </row>
    <row r="1014" spans="2:23" ht="63.95" hidden="1">
      <c r="B1014" s="48" t="s">
        <v>63</v>
      </c>
      <c r="C1014" s="115"/>
      <c r="D1014" s="116" t="s">
        <v>2167</v>
      </c>
      <c r="E1014" s="171" t="s">
        <v>46</v>
      </c>
      <c r="J1014" s="119">
        <v>45800</v>
      </c>
      <c r="K1014" s="329">
        <v>1830627</v>
      </c>
      <c r="N1014" s="182" t="s">
        <v>2168</v>
      </c>
      <c r="O1014" s="163"/>
      <c r="P1014" s="198" t="s">
        <v>49</v>
      </c>
    </row>
    <row r="1015" spans="2:23" ht="144" hidden="1">
      <c r="B1015" s="48" t="s">
        <v>2069</v>
      </c>
      <c r="C1015" s="115"/>
      <c r="D1015" s="116" t="s">
        <v>2169</v>
      </c>
      <c r="E1015" s="171" t="s">
        <v>46</v>
      </c>
      <c r="J1015" s="119">
        <v>45800</v>
      </c>
      <c r="K1015" s="329">
        <v>3220406</v>
      </c>
      <c r="N1015" s="182" t="s">
        <v>2170</v>
      </c>
      <c r="O1015" s="163" t="s">
        <v>2171</v>
      </c>
      <c r="P1015" s="198" t="s">
        <v>49</v>
      </c>
      <c r="Q1015" s="48"/>
      <c r="R1015" s="115"/>
      <c r="S1015" s="116"/>
      <c r="T1015" s="171"/>
      <c r="U1015" s="1"/>
      <c r="V1015" s="1"/>
      <c r="W1015" s="1"/>
    </row>
    <row r="1016" spans="2:23" ht="48" hidden="1">
      <c r="B1016" s="48" t="s">
        <v>2069</v>
      </c>
      <c r="C1016" s="115"/>
      <c r="D1016" s="116" t="s">
        <v>2172</v>
      </c>
      <c r="E1016" s="171" t="s">
        <v>46</v>
      </c>
      <c r="J1016" s="119">
        <v>45800</v>
      </c>
      <c r="K1016" s="329">
        <v>3220419</v>
      </c>
      <c r="N1016" s="182" t="s">
        <v>2173</v>
      </c>
      <c r="O1016" s="163"/>
      <c r="P1016" s="198" t="s">
        <v>49</v>
      </c>
      <c r="Q1016" s="48"/>
      <c r="R1016" s="115"/>
      <c r="S1016" s="116"/>
      <c r="T1016" s="171"/>
      <c r="U1016" s="1"/>
      <c r="V1016" s="1"/>
      <c r="W1016" s="1"/>
    </row>
    <row r="1017" spans="2:23" ht="32.1" hidden="1">
      <c r="B1017" s="48" t="s">
        <v>79</v>
      </c>
      <c r="C1017" s="115"/>
      <c r="D1017" s="116" t="s">
        <v>2174</v>
      </c>
      <c r="E1017" s="171" t="s">
        <v>46</v>
      </c>
      <c r="J1017" s="119">
        <v>45800</v>
      </c>
      <c r="K1017" s="329">
        <v>3203261</v>
      </c>
      <c r="N1017" s="182" t="s">
        <v>2175</v>
      </c>
      <c r="O1017" s="163"/>
      <c r="P1017" s="198" t="s">
        <v>49</v>
      </c>
      <c r="Q1017" s="48"/>
      <c r="R1017" s="115"/>
      <c r="S1017" s="116"/>
      <c r="T1017" s="171"/>
      <c r="U1017" s="1"/>
      <c r="V1017" s="1"/>
      <c r="W1017" s="1"/>
    </row>
    <row r="1018" spans="2:23" ht="159.94999999999999" hidden="1">
      <c r="B1018" s="48" t="s">
        <v>2079</v>
      </c>
      <c r="C1018" s="115"/>
      <c r="D1018" s="116" t="s">
        <v>2176</v>
      </c>
      <c r="E1018" s="171" t="s">
        <v>46</v>
      </c>
      <c r="J1018" s="119">
        <v>45800</v>
      </c>
      <c r="K1018" s="329">
        <v>3203298</v>
      </c>
      <c r="N1018" s="182" t="s">
        <v>2177</v>
      </c>
      <c r="O1018" s="163" t="s">
        <v>2178</v>
      </c>
      <c r="P1018" s="198" t="s">
        <v>49</v>
      </c>
      <c r="Q1018" s="48"/>
      <c r="R1018" s="115"/>
      <c r="S1018" s="116"/>
      <c r="T1018" s="171"/>
      <c r="U1018" s="1"/>
      <c r="V1018" s="1"/>
      <c r="W1018" s="1"/>
    </row>
    <row r="1019" spans="2:23" ht="32.1" hidden="1">
      <c r="B1019" s="48" t="s">
        <v>156</v>
      </c>
      <c r="C1019" s="115"/>
      <c r="D1019" s="116" t="s">
        <v>2179</v>
      </c>
      <c r="E1019" s="171" t="s">
        <v>46</v>
      </c>
      <c r="J1019" s="119">
        <v>45800</v>
      </c>
      <c r="K1019" s="329">
        <v>3203458</v>
      </c>
      <c r="N1019" s="182" t="s">
        <v>2175</v>
      </c>
      <c r="O1019" s="163"/>
      <c r="P1019" s="198" t="s">
        <v>49</v>
      </c>
      <c r="Q1019" s="48"/>
      <c r="R1019" s="115"/>
      <c r="S1019" s="116"/>
      <c r="T1019" s="171"/>
      <c r="U1019" s="1"/>
      <c r="V1019" s="1"/>
      <c r="W1019" s="1"/>
    </row>
    <row r="1020" spans="2:23" ht="32.1" hidden="1">
      <c r="B1020" s="48" t="s">
        <v>2104</v>
      </c>
      <c r="C1020" s="115"/>
      <c r="D1020" s="116" t="s">
        <v>2180</v>
      </c>
      <c r="E1020" s="171" t="s">
        <v>46</v>
      </c>
      <c r="J1020" s="119">
        <v>45807</v>
      </c>
      <c r="K1020" s="329">
        <v>3245276</v>
      </c>
      <c r="N1020" s="182" t="s">
        <v>2181</v>
      </c>
      <c r="O1020" s="163"/>
      <c r="P1020" s="198" t="s">
        <v>49</v>
      </c>
      <c r="Q1020" s="48"/>
      <c r="R1020" s="115"/>
      <c r="S1020" s="116"/>
      <c r="T1020" s="171"/>
      <c r="U1020" s="1"/>
      <c r="V1020" s="1"/>
      <c r="W1020" s="1"/>
    </row>
    <row r="1021" spans="2:23" ht="32.1" hidden="1">
      <c r="B1021" s="48" t="s">
        <v>2127</v>
      </c>
      <c r="C1021" s="115"/>
      <c r="D1021" s="116" t="s">
        <v>2182</v>
      </c>
      <c r="E1021" s="171" t="s">
        <v>46</v>
      </c>
      <c r="J1021" s="119">
        <v>45807</v>
      </c>
      <c r="K1021" s="329">
        <v>3249643</v>
      </c>
      <c r="N1021" s="182" t="s">
        <v>2183</v>
      </c>
      <c r="O1021" s="163" t="s">
        <v>2184</v>
      </c>
      <c r="P1021" s="198" t="s">
        <v>49</v>
      </c>
      <c r="Q1021" s="48"/>
      <c r="R1021" s="115"/>
      <c r="S1021" s="116"/>
      <c r="T1021" s="171"/>
      <c r="U1021" s="1"/>
      <c r="V1021" s="1"/>
      <c r="W1021" s="1"/>
    </row>
    <row r="1022" spans="2:23" ht="32.1" hidden="1">
      <c r="B1022" s="48" t="s">
        <v>2185</v>
      </c>
      <c r="C1022" s="115"/>
      <c r="D1022" s="116" t="s">
        <v>2186</v>
      </c>
      <c r="E1022" s="171" t="s">
        <v>46</v>
      </c>
      <c r="J1022" s="119">
        <v>45807</v>
      </c>
      <c r="K1022" s="329">
        <v>3249360</v>
      </c>
      <c r="N1022" s="182" t="s">
        <v>2187</v>
      </c>
      <c r="O1022" s="163" t="s">
        <v>2188</v>
      </c>
      <c r="P1022" s="198" t="s">
        <v>49</v>
      </c>
      <c r="Q1022" s="48"/>
      <c r="R1022" s="115"/>
      <c r="S1022" s="116"/>
      <c r="T1022" s="171"/>
      <c r="U1022" s="1"/>
      <c r="V1022" s="1"/>
      <c r="W1022" s="1"/>
    </row>
    <row r="1023" spans="2:23" ht="63.95" hidden="1">
      <c r="B1023" s="48" t="s">
        <v>2097</v>
      </c>
      <c r="C1023" s="115"/>
      <c r="D1023" s="116" t="s">
        <v>2189</v>
      </c>
      <c r="E1023" s="171" t="s">
        <v>46</v>
      </c>
      <c r="J1023" s="119">
        <v>45807</v>
      </c>
      <c r="K1023" s="329">
        <v>3236593</v>
      </c>
      <c r="N1023" s="182" t="s">
        <v>2190</v>
      </c>
      <c r="O1023" s="163" t="s">
        <v>2191</v>
      </c>
      <c r="P1023" s="198" t="s">
        <v>49</v>
      </c>
      <c r="Q1023" s="48"/>
      <c r="R1023" s="115"/>
      <c r="S1023" s="116"/>
      <c r="T1023" s="171"/>
      <c r="U1023" s="1"/>
      <c r="V1023" s="1"/>
      <c r="W1023" s="1"/>
    </row>
    <row r="1024" spans="2:23" ht="32.1" hidden="1">
      <c r="B1024" s="48" t="s">
        <v>2072</v>
      </c>
      <c r="C1024" s="115"/>
      <c r="D1024" s="116" t="s">
        <v>2192</v>
      </c>
      <c r="E1024" s="171" t="s">
        <v>46</v>
      </c>
      <c r="J1024" s="119">
        <v>45807</v>
      </c>
      <c r="K1024" s="329">
        <v>3240521</v>
      </c>
      <c r="N1024" s="182" t="s">
        <v>2193</v>
      </c>
      <c r="O1024" s="163"/>
      <c r="P1024" s="198" t="s">
        <v>49</v>
      </c>
    </row>
    <row r="1025" spans="2:16" ht="63.95" hidden="1">
      <c r="B1025" s="48" t="s">
        <v>2072</v>
      </c>
      <c r="C1025" s="115"/>
      <c r="D1025" s="116" t="s">
        <v>2194</v>
      </c>
      <c r="E1025" s="171" t="s">
        <v>46</v>
      </c>
      <c r="J1025" s="119">
        <v>45807</v>
      </c>
      <c r="K1025" s="329">
        <v>3249218</v>
      </c>
      <c r="N1025" s="182" t="s">
        <v>2195</v>
      </c>
      <c r="O1025" s="163"/>
      <c r="P1025" s="198" t="s">
        <v>49</v>
      </c>
    </row>
    <row r="1026" spans="2:16" ht="111.95" hidden="1">
      <c r="B1026" s="48" t="s">
        <v>2093</v>
      </c>
      <c r="C1026" s="115"/>
      <c r="D1026" s="116" t="s">
        <v>2196</v>
      </c>
      <c r="E1026" s="171" t="s">
        <v>46</v>
      </c>
      <c r="J1026" s="119">
        <v>45807</v>
      </c>
      <c r="K1026" s="329">
        <v>3204596</v>
      </c>
      <c r="N1026" s="182" t="s">
        <v>2197</v>
      </c>
      <c r="O1026" s="163"/>
      <c r="P1026" s="198" t="s">
        <v>49</v>
      </c>
    </row>
    <row r="1027" spans="2:16" ht="32.1" hidden="1">
      <c r="B1027" s="48" t="s">
        <v>2137</v>
      </c>
      <c r="C1027" s="115"/>
      <c r="D1027" s="116" t="s">
        <v>2198</v>
      </c>
      <c r="E1027" s="171" t="s">
        <v>46</v>
      </c>
      <c r="J1027" s="119">
        <v>45807</v>
      </c>
      <c r="K1027" s="329">
        <v>3209786</v>
      </c>
      <c r="N1027" s="182" t="s">
        <v>2168</v>
      </c>
      <c r="O1027" s="163"/>
      <c r="P1027" s="198" t="s">
        <v>49</v>
      </c>
    </row>
    <row r="1028" spans="2:16" ht="63.95" hidden="1">
      <c r="B1028" s="48" t="s">
        <v>2137</v>
      </c>
      <c r="C1028" s="115"/>
      <c r="D1028" s="116" t="s">
        <v>2199</v>
      </c>
      <c r="E1028" s="171" t="s">
        <v>46</v>
      </c>
      <c r="J1028" s="119">
        <v>45807</v>
      </c>
      <c r="K1028" s="329">
        <v>3233488</v>
      </c>
      <c r="N1028" s="182" t="s">
        <v>2200</v>
      </c>
      <c r="O1028" s="163"/>
      <c r="P1028" s="198" t="s">
        <v>49</v>
      </c>
    </row>
    <row r="1029" spans="2:16" ht="48">
      <c r="B1029" s="48" t="s">
        <v>2095</v>
      </c>
      <c r="C1029" s="115"/>
      <c r="D1029" s="116" t="s">
        <v>2201</v>
      </c>
      <c r="E1029" s="171" t="s">
        <v>46</v>
      </c>
      <c r="J1029" s="119">
        <v>45807</v>
      </c>
      <c r="K1029" s="329">
        <v>3203305</v>
      </c>
      <c r="N1029" s="182" t="s">
        <v>2202</v>
      </c>
      <c r="O1029" s="163"/>
      <c r="P1029" s="198" t="s">
        <v>49</v>
      </c>
    </row>
    <row r="1030" spans="2:16" ht="48" hidden="1">
      <c r="B1030" s="48" t="s">
        <v>2203</v>
      </c>
      <c r="C1030" s="115"/>
      <c r="D1030" s="116" t="s">
        <v>2204</v>
      </c>
      <c r="E1030" s="171" t="s">
        <v>46</v>
      </c>
      <c r="J1030" s="119">
        <v>45807</v>
      </c>
      <c r="K1030" s="329">
        <v>3236547</v>
      </c>
      <c r="N1030" s="182" t="s">
        <v>2205</v>
      </c>
      <c r="O1030" s="163" t="s">
        <v>2206</v>
      </c>
      <c r="P1030" s="198" t="s">
        <v>49</v>
      </c>
    </row>
    <row r="1031" spans="2:16" ht="32.1" hidden="1">
      <c r="B1031" s="48" t="s">
        <v>2109</v>
      </c>
      <c r="C1031" s="115"/>
      <c r="D1031" s="116" t="s">
        <v>2207</v>
      </c>
      <c r="E1031" s="171" t="s">
        <v>46</v>
      </c>
      <c r="J1031" s="119">
        <v>45807</v>
      </c>
      <c r="K1031" s="329"/>
      <c r="N1031" s="182" t="s">
        <v>2208</v>
      </c>
      <c r="O1031" s="163" t="s">
        <v>2191</v>
      </c>
      <c r="P1031" s="198" t="s">
        <v>49</v>
      </c>
    </row>
    <row r="1032" spans="2:16" ht="96" hidden="1">
      <c r="B1032" s="48" t="s">
        <v>2104</v>
      </c>
      <c r="C1032" s="115"/>
      <c r="D1032" s="116" t="s">
        <v>2209</v>
      </c>
      <c r="E1032" s="171" t="s">
        <v>46</v>
      </c>
      <c r="J1032" s="119">
        <v>45814</v>
      </c>
      <c r="K1032" s="329">
        <v>3263116</v>
      </c>
      <c r="N1032" s="182" t="s">
        <v>2210</v>
      </c>
      <c r="O1032" s="163"/>
      <c r="P1032" s="198" t="s">
        <v>49</v>
      </c>
    </row>
    <row r="1033" spans="2:16" ht="32.1" hidden="1">
      <c r="B1033" s="48" t="s">
        <v>2104</v>
      </c>
      <c r="C1033" s="115"/>
      <c r="D1033" s="116" t="s">
        <v>2211</v>
      </c>
      <c r="E1033" s="171" t="s">
        <v>46</v>
      </c>
      <c r="J1033" s="119">
        <v>45814</v>
      </c>
      <c r="K1033" s="329">
        <v>3273077</v>
      </c>
      <c r="N1033" s="182" t="s">
        <v>2212</v>
      </c>
      <c r="O1033" s="163"/>
      <c r="P1033" s="198" t="s">
        <v>49</v>
      </c>
    </row>
    <row r="1034" spans="2:16" ht="32.1" hidden="1">
      <c r="B1034" s="48" t="s">
        <v>2088</v>
      </c>
      <c r="C1034" s="115"/>
      <c r="D1034" s="116" t="s">
        <v>2213</v>
      </c>
      <c r="E1034" s="171" t="s">
        <v>46</v>
      </c>
      <c r="J1034" s="119">
        <v>45814</v>
      </c>
      <c r="K1034" s="329">
        <v>3267955</v>
      </c>
      <c r="N1034" s="182" t="s">
        <v>2214</v>
      </c>
      <c r="O1034" s="163"/>
      <c r="P1034" s="198" t="s">
        <v>49</v>
      </c>
    </row>
    <row r="1035" spans="2:16" ht="48" hidden="1">
      <c r="B1035" s="48" t="s">
        <v>2088</v>
      </c>
      <c r="C1035" s="115"/>
      <c r="D1035" s="116" t="s">
        <v>2215</v>
      </c>
      <c r="E1035" s="171" t="s">
        <v>46</v>
      </c>
      <c r="J1035" s="119">
        <v>45814</v>
      </c>
      <c r="K1035" s="329">
        <v>3272415</v>
      </c>
      <c r="N1035" s="182" t="s">
        <v>2216</v>
      </c>
      <c r="O1035" s="163"/>
      <c r="P1035" s="198" t="s">
        <v>49</v>
      </c>
    </row>
    <row r="1036" spans="2:16" ht="63.95" hidden="1">
      <c r="B1036" s="48" t="s">
        <v>2065</v>
      </c>
      <c r="C1036" s="115"/>
      <c r="D1036" s="337" t="s">
        <v>2217</v>
      </c>
      <c r="E1036" s="171" t="s">
        <v>46</v>
      </c>
      <c r="J1036" s="119">
        <v>45814</v>
      </c>
      <c r="K1036" s="329">
        <v>3277110</v>
      </c>
      <c r="N1036" s="182" t="s">
        <v>2218</v>
      </c>
      <c r="O1036" s="163"/>
      <c r="P1036" s="198" t="s">
        <v>49</v>
      </c>
    </row>
    <row r="1037" spans="2:16" ht="96" hidden="1">
      <c r="B1037" s="48" t="s">
        <v>2219</v>
      </c>
      <c r="C1037" s="115"/>
      <c r="D1037" s="116" t="s">
        <v>2220</v>
      </c>
      <c r="E1037" s="171" t="s">
        <v>46</v>
      </c>
      <c r="J1037" s="119">
        <v>45814</v>
      </c>
      <c r="K1037" s="329">
        <v>3272626</v>
      </c>
      <c r="N1037" s="182" t="s">
        <v>2221</v>
      </c>
      <c r="O1037" s="163"/>
      <c r="P1037" s="198" t="s">
        <v>49</v>
      </c>
    </row>
    <row r="1038" spans="2:16" ht="159.94999999999999" hidden="1">
      <c r="B1038" s="48" t="s">
        <v>2101</v>
      </c>
      <c r="C1038" s="115"/>
      <c r="D1038" s="116" t="s">
        <v>2222</v>
      </c>
      <c r="E1038" s="171" t="s">
        <v>46</v>
      </c>
      <c r="J1038" s="119">
        <v>45814</v>
      </c>
      <c r="K1038" s="329">
        <v>3250287</v>
      </c>
      <c r="N1038" s="182" t="s">
        <v>2223</v>
      </c>
      <c r="O1038" s="163"/>
      <c r="P1038" s="198" t="s">
        <v>49</v>
      </c>
    </row>
    <row r="1039" spans="2:16" ht="48" hidden="1">
      <c r="B1039" s="48" t="s">
        <v>2101</v>
      </c>
      <c r="C1039" s="115"/>
      <c r="D1039" s="116" t="s">
        <v>2224</v>
      </c>
      <c r="E1039" s="171" t="s">
        <v>46</v>
      </c>
      <c r="J1039" s="119">
        <v>45814</v>
      </c>
      <c r="K1039" s="361">
        <v>3281549</v>
      </c>
      <c r="N1039" s="182" t="s">
        <v>2225</v>
      </c>
      <c r="O1039" s="163"/>
      <c r="P1039" s="198" t="s">
        <v>49</v>
      </c>
    </row>
    <row r="1040" spans="2:16" ht="159.94999999999999" hidden="1">
      <c r="B1040" s="48" t="s">
        <v>58</v>
      </c>
      <c r="C1040" s="115"/>
      <c r="D1040" s="116" t="s">
        <v>2226</v>
      </c>
      <c r="E1040" s="171" t="s">
        <v>46</v>
      </c>
      <c r="J1040" s="119">
        <v>45821</v>
      </c>
      <c r="K1040" s="359">
        <v>3310369</v>
      </c>
      <c r="N1040" s="182" t="s">
        <v>2227</v>
      </c>
      <c r="O1040" s="163" t="s">
        <v>2228</v>
      </c>
      <c r="P1040" s="198" t="s">
        <v>49</v>
      </c>
    </row>
    <row r="1041" spans="2:23" ht="48" hidden="1">
      <c r="B1041" s="48" t="s">
        <v>58</v>
      </c>
      <c r="C1041" s="115"/>
      <c r="D1041" s="116" t="s">
        <v>2229</v>
      </c>
      <c r="E1041" s="171" t="s">
        <v>46</v>
      </c>
      <c r="J1041" s="119">
        <v>45821</v>
      </c>
      <c r="K1041" s="359">
        <v>3310386</v>
      </c>
      <c r="N1041" s="182" t="s">
        <v>2230</v>
      </c>
      <c r="O1041" s="163"/>
      <c r="P1041" s="198" t="s">
        <v>49</v>
      </c>
    </row>
    <row r="1042" spans="2:23" ht="32.1" hidden="1">
      <c r="B1042" s="48" t="s">
        <v>2231</v>
      </c>
      <c r="C1042" s="115"/>
      <c r="D1042" s="116" t="s">
        <v>2232</v>
      </c>
      <c r="E1042" s="171" t="s">
        <v>46</v>
      </c>
      <c r="J1042" s="119">
        <v>45821</v>
      </c>
      <c r="K1042" s="358">
        <v>3304315</v>
      </c>
      <c r="N1042" s="182" t="s">
        <v>2233</v>
      </c>
      <c r="O1042" s="163"/>
      <c r="P1042" s="198" t="s">
        <v>49</v>
      </c>
    </row>
    <row r="1043" spans="2:23" ht="32.1" hidden="1">
      <c r="B1043" s="48" t="s">
        <v>2107</v>
      </c>
      <c r="C1043" s="115"/>
      <c r="D1043" s="116" t="s">
        <v>2234</v>
      </c>
      <c r="E1043" s="171" t="s">
        <v>46</v>
      </c>
      <c r="J1043" s="119">
        <v>45821</v>
      </c>
      <c r="K1043" s="329">
        <v>3294899</v>
      </c>
      <c r="N1043" s="182" t="s">
        <v>2235</v>
      </c>
      <c r="O1043" s="163"/>
      <c r="P1043" s="198" t="s">
        <v>49</v>
      </c>
    </row>
    <row r="1044" spans="2:23" ht="32.1" hidden="1">
      <c r="B1044" s="48" t="s">
        <v>2107</v>
      </c>
      <c r="C1044" s="115"/>
      <c r="D1044" s="116" t="s">
        <v>2236</v>
      </c>
      <c r="E1044" s="171" t="s">
        <v>46</v>
      </c>
      <c r="J1044" s="119">
        <v>45821</v>
      </c>
      <c r="K1044" s="329">
        <v>3294923</v>
      </c>
      <c r="N1044" s="182" t="s">
        <v>2237</v>
      </c>
      <c r="O1044" s="163" t="s">
        <v>2238</v>
      </c>
      <c r="P1044" s="198" t="s">
        <v>49</v>
      </c>
    </row>
    <row r="1045" spans="2:23" ht="32.1" hidden="1">
      <c r="B1045" s="48" t="s">
        <v>54</v>
      </c>
      <c r="C1045" s="115"/>
      <c r="D1045" s="116" t="s">
        <v>2239</v>
      </c>
      <c r="E1045" s="171" t="s">
        <v>46</v>
      </c>
      <c r="J1045" s="119">
        <v>45821</v>
      </c>
      <c r="K1045" s="329">
        <v>3299461</v>
      </c>
      <c r="N1045" s="182" t="s">
        <v>2240</v>
      </c>
      <c r="O1045" s="163"/>
      <c r="P1045" s="198" t="s">
        <v>49</v>
      </c>
    </row>
    <row r="1046" spans="2:23" ht="32.1" hidden="1">
      <c r="B1046" s="48" t="s">
        <v>63</v>
      </c>
      <c r="C1046" s="115"/>
      <c r="D1046" s="116" t="s">
        <v>2241</v>
      </c>
      <c r="E1046" s="171" t="s">
        <v>46</v>
      </c>
      <c r="J1046" s="119">
        <v>45821</v>
      </c>
      <c r="K1046" s="329">
        <v>3294856</v>
      </c>
      <c r="N1046" s="182" t="s">
        <v>2242</v>
      </c>
      <c r="O1046" s="163"/>
      <c r="P1046" s="198" t="s">
        <v>49</v>
      </c>
    </row>
    <row r="1047" spans="2:23" ht="48" hidden="1">
      <c r="B1047" s="48" t="s">
        <v>2150</v>
      </c>
      <c r="C1047" s="115"/>
      <c r="D1047" s="116" t="s">
        <v>2243</v>
      </c>
      <c r="E1047" s="171" t="s">
        <v>46</v>
      </c>
      <c r="J1047" s="119">
        <v>45821</v>
      </c>
      <c r="K1047" s="329">
        <v>3295235</v>
      </c>
      <c r="N1047" s="182" t="s">
        <v>2244</v>
      </c>
      <c r="O1047" s="163"/>
      <c r="P1047" s="198" t="s">
        <v>49</v>
      </c>
    </row>
    <row r="1048" spans="2:23" s="186" customFormat="1" ht="48" hidden="1">
      <c r="B1048" s="187" t="s">
        <v>2203</v>
      </c>
      <c r="C1048" s="188"/>
      <c r="D1048" s="189" t="s">
        <v>2245</v>
      </c>
      <c r="E1048" s="190" t="s">
        <v>46</v>
      </c>
      <c r="F1048" s="1"/>
      <c r="G1048" s="1"/>
      <c r="H1048" s="1"/>
      <c r="I1048" s="1"/>
      <c r="J1048" s="191">
        <v>45821</v>
      </c>
      <c r="K1048" s="371">
        <v>3309107</v>
      </c>
      <c r="L1048" s="1"/>
      <c r="M1048" s="1"/>
      <c r="N1048" s="193" t="s">
        <v>2246</v>
      </c>
      <c r="O1048" s="194" t="s">
        <v>2247</v>
      </c>
      <c r="P1048" s="332" t="s">
        <v>49</v>
      </c>
      <c r="Q1048" s="1"/>
      <c r="R1048" s="1"/>
      <c r="U1048" s="197"/>
      <c r="V1048" s="197"/>
      <c r="W1048" s="197"/>
    </row>
    <row r="1049" spans="2:23" ht="63.95" hidden="1">
      <c r="B1049" s="48" t="s">
        <v>2085</v>
      </c>
      <c r="C1049" s="115"/>
      <c r="D1049" s="116" t="s">
        <v>2248</v>
      </c>
      <c r="E1049" s="171" t="s">
        <v>46</v>
      </c>
      <c r="J1049" s="119">
        <v>45828</v>
      </c>
      <c r="K1049" s="359">
        <v>3332082</v>
      </c>
      <c r="N1049" s="182" t="s">
        <v>2249</v>
      </c>
      <c r="O1049" s="163" t="s">
        <v>2250</v>
      </c>
      <c r="P1049" s="198" t="s">
        <v>49</v>
      </c>
    </row>
    <row r="1050" spans="2:23" ht="32.1" hidden="1">
      <c r="B1050" s="48" t="s">
        <v>2251</v>
      </c>
      <c r="C1050" s="115"/>
      <c r="D1050" s="116" t="s">
        <v>2252</v>
      </c>
      <c r="E1050" s="171" t="s">
        <v>46</v>
      </c>
      <c r="J1050" s="119">
        <v>45828</v>
      </c>
      <c r="K1050" s="358">
        <v>3336423</v>
      </c>
      <c r="N1050" s="182" t="s">
        <v>2253</v>
      </c>
      <c r="O1050" s="163"/>
      <c r="P1050" s="198" t="s">
        <v>49</v>
      </c>
    </row>
    <row r="1051" spans="2:23" ht="32.1" hidden="1">
      <c r="B1051" s="48" t="s">
        <v>2088</v>
      </c>
      <c r="C1051" s="115"/>
      <c r="D1051" s="116" t="s">
        <v>2254</v>
      </c>
      <c r="E1051" s="171" t="s">
        <v>46</v>
      </c>
      <c r="J1051" s="119">
        <v>45828</v>
      </c>
      <c r="K1051" s="329">
        <v>3331808</v>
      </c>
      <c r="N1051" s="182" t="s">
        <v>2255</v>
      </c>
      <c r="O1051" s="163"/>
      <c r="P1051" s="198" t="s">
        <v>49</v>
      </c>
    </row>
    <row r="1052" spans="2:23" ht="32.1" hidden="1">
      <c r="B1052" s="48" t="s">
        <v>2088</v>
      </c>
      <c r="C1052" s="115"/>
      <c r="D1052" s="116" t="s">
        <v>2256</v>
      </c>
      <c r="E1052" s="171" t="s">
        <v>46</v>
      </c>
      <c r="J1052" s="119">
        <v>45828</v>
      </c>
      <c r="K1052" s="329">
        <v>3341512</v>
      </c>
      <c r="N1052" s="182" t="s">
        <v>2257</v>
      </c>
      <c r="O1052" s="163"/>
      <c r="P1052" s="198" t="s">
        <v>49</v>
      </c>
    </row>
    <row r="1053" spans="2:23" ht="96" hidden="1">
      <c r="B1053" s="48" t="s">
        <v>2072</v>
      </c>
      <c r="C1053" s="115"/>
      <c r="D1053" s="116" t="s">
        <v>2258</v>
      </c>
      <c r="E1053" s="171" t="s">
        <v>46</v>
      </c>
      <c r="J1053" s="119">
        <v>45828</v>
      </c>
      <c r="K1053" s="329">
        <v>3331826</v>
      </c>
      <c r="N1053" s="182" t="s">
        <v>2259</v>
      </c>
      <c r="O1053" s="316" t="s">
        <v>2260</v>
      </c>
      <c r="P1053" s="198" t="s">
        <v>49</v>
      </c>
    </row>
    <row r="1054" spans="2:23" ht="48" hidden="1">
      <c r="B1054" s="48" t="s">
        <v>2150</v>
      </c>
      <c r="C1054" s="115"/>
      <c r="D1054" s="116" t="s">
        <v>2261</v>
      </c>
      <c r="E1054" s="171" t="s">
        <v>46</v>
      </c>
      <c r="J1054" s="119">
        <v>45828</v>
      </c>
      <c r="K1054" s="329">
        <v>3327663</v>
      </c>
      <c r="N1054" s="182" t="s">
        <v>2262</v>
      </c>
      <c r="O1054" s="163" t="s">
        <v>2263</v>
      </c>
      <c r="P1054" s="198" t="s">
        <v>49</v>
      </c>
    </row>
    <row r="1055" spans="2:23" ht="32.1" hidden="1">
      <c r="B1055" s="48" t="s">
        <v>2137</v>
      </c>
      <c r="C1055" s="115"/>
      <c r="D1055" s="116" t="s">
        <v>2264</v>
      </c>
      <c r="E1055" s="171" t="s">
        <v>46</v>
      </c>
      <c r="J1055" s="119">
        <v>45828</v>
      </c>
      <c r="K1055" s="329">
        <v>3327199</v>
      </c>
      <c r="N1055" s="182" t="s">
        <v>2265</v>
      </c>
      <c r="O1055" s="163"/>
      <c r="P1055" s="198" t="s">
        <v>49</v>
      </c>
    </row>
    <row r="1056" spans="2:23" ht="48" hidden="1">
      <c r="B1056" s="48" t="s">
        <v>2101</v>
      </c>
      <c r="C1056" s="115"/>
      <c r="D1056" s="116" t="s">
        <v>2266</v>
      </c>
      <c r="E1056" s="171" t="s">
        <v>46</v>
      </c>
      <c r="J1056" s="119">
        <v>45828</v>
      </c>
      <c r="K1056" s="361">
        <v>3340956</v>
      </c>
      <c r="N1056" s="182" t="s">
        <v>2267</v>
      </c>
      <c r="O1056" s="163" t="s">
        <v>2268</v>
      </c>
      <c r="P1056" s="198" t="s">
        <v>49</v>
      </c>
    </row>
    <row r="1057" spans="2:16" ht="63.95" hidden="1">
      <c r="B1057" s="48" t="s">
        <v>2085</v>
      </c>
      <c r="C1057" s="115"/>
      <c r="D1057" s="116" t="s">
        <v>2269</v>
      </c>
      <c r="E1057" s="171" t="s">
        <v>46</v>
      </c>
      <c r="J1057" s="119">
        <v>45835</v>
      </c>
      <c r="K1057" s="359">
        <v>3363510</v>
      </c>
      <c r="N1057" s="182" t="s">
        <v>2270</v>
      </c>
      <c r="O1057" s="163" t="s">
        <v>2271</v>
      </c>
      <c r="P1057" s="198" t="s">
        <v>49</v>
      </c>
    </row>
    <row r="1058" spans="2:16" ht="32.1" hidden="1">
      <c r="B1058" s="48" t="s">
        <v>2107</v>
      </c>
      <c r="C1058" s="115"/>
      <c r="D1058" s="116" t="s">
        <v>2272</v>
      </c>
      <c r="E1058" s="171" t="s">
        <v>46</v>
      </c>
      <c r="J1058" s="119">
        <v>45835</v>
      </c>
      <c r="K1058" s="358">
        <v>3358071</v>
      </c>
      <c r="N1058" s="182" t="s">
        <v>2273</v>
      </c>
      <c r="O1058" s="163" t="s">
        <v>2274</v>
      </c>
      <c r="P1058" s="198" t="s">
        <v>49</v>
      </c>
    </row>
    <row r="1059" spans="2:16" ht="48" hidden="1">
      <c r="B1059" s="48" t="s">
        <v>2109</v>
      </c>
      <c r="C1059" s="115"/>
      <c r="D1059" s="116" t="s">
        <v>2275</v>
      </c>
      <c r="E1059" s="171" t="s">
        <v>46</v>
      </c>
      <c r="J1059" s="119">
        <v>45835</v>
      </c>
      <c r="K1059" s="329">
        <v>3367324</v>
      </c>
      <c r="N1059" s="182" t="s">
        <v>2276</v>
      </c>
      <c r="O1059" s="163"/>
      <c r="P1059" s="198" t="s">
        <v>49</v>
      </c>
    </row>
    <row r="1060" spans="2:16" ht="111.95" hidden="1">
      <c r="B1060" s="48" t="s">
        <v>2088</v>
      </c>
      <c r="C1060" s="115"/>
      <c r="D1060" s="116" t="s">
        <v>2277</v>
      </c>
      <c r="E1060" s="171" t="s">
        <v>46</v>
      </c>
      <c r="J1060" s="119">
        <v>45835</v>
      </c>
      <c r="K1060" s="329">
        <v>3358228</v>
      </c>
      <c r="N1060" s="182" t="s">
        <v>2278</v>
      </c>
      <c r="O1060" s="163" t="s">
        <v>2279</v>
      </c>
      <c r="P1060" s="198" t="s">
        <v>49</v>
      </c>
    </row>
    <row r="1061" spans="2:16" ht="48" hidden="1">
      <c r="B1061" s="48" t="s">
        <v>2065</v>
      </c>
      <c r="C1061" s="115"/>
      <c r="D1061" s="116" t="s">
        <v>2280</v>
      </c>
      <c r="E1061" s="171" t="s">
        <v>46</v>
      </c>
      <c r="J1061" s="119">
        <v>45835</v>
      </c>
      <c r="K1061" s="329">
        <v>3362767</v>
      </c>
      <c r="N1061" s="182" t="s">
        <v>2281</v>
      </c>
      <c r="O1061" s="163"/>
      <c r="P1061" s="198" t="s">
        <v>49</v>
      </c>
    </row>
    <row r="1062" spans="2:16" ht="32.1" hidden="1">
      <c r="B1062" s="48" t="s">
        <v>71</v>
      </c>
      <c r="C1062" s="115"/>
      <c r="D1062" s="116" t="s">
        <v>2282</v>
      </c>
      <c r="E1062" s="171" t="s">
        <v>46</v>
      </c>
      <c r="J1062" s="119">
        <v>45835</v>
      </c>
      <c r="K1062" s="329">
        <v>3358974</v>
      </c>
      <c r="N1062" s="182" t="s">
        <v>2273</v>
      </c>
      <c r="O1062" s="163"/>
      <c r="P1062" s="198" t="s">
        <v>49</v>
      </c>
    </row>
    <row r="1063" spans="2:16" ht="63.95" hidden="1">
      <c r="B1063" s="48" t="s">
        <v>2130</v>
      </c>
      <c r="C1063" s="115"/>
      <c r="D1063" s="116" t="s">
        <v>2283</v>
      </c>
      <c r="E1063" s="171" t="s">
        <v>46</v>
      </c>
      <c r="J1063" s="119">
        <v>45835</v>
      </c>
      <c r="K1063" s="329">
        <v>3372583</v>
      </c>
      <c r="N1063" s="182" t="s">
        <v>2284</v>
      </c>
      <c r="O1063" s="163" t="s">
        <v>2285</v>
      </c>
      <c r="P1063" s="198" t="s">
        <v>49</v>
      </c>
    </row>
    <row r="1064" spans="2:16" ht="48" hidden="1">
      <c r="B1064" s="48" t="s">
        <v>2076</v>
      </c>
      <c r="C1064" s="115"/>
      <c r="D1064" s="116" t="s">
        <v>2286</v>
      </c>
      <c r="E1064" s="171" t="s">
        <v>46</v>
      </c>
      <c r="J1064" s="119">
        <v>45835</v>
      </c>
      <c r="K1064" s="329">
        <v>3372539</v>
      </c>
      <c r="N1064" s="182" t="s">
        <v>2287</v>
      </c>
      <c r="O1064" s="163" t="s">
        <v>2288</v>
      </c>
      <c r="P1064" s="198" t="s">
        <v>49</v>
      </c>
    </row>
    <row r="1065" spans="2:16" ht="32.1" hidden="1">
      <c r="B1065" s="48" t="s">
        <v>71</v>
      </c>
      <c r="C1065" s="115"/>
      <c r="D1065" s="116" t="s">
        <v>2289</v>
      </c>
      <c r="E1065" s="171" t="s">
        <v>46</v>
      </c>
      <c r="J1065" s="119">
        <v>45842</v>
      </c>
      <c r="K1065" s="329"/>
      <c r="N1065" s="182"/>
      <c r="O1065" s="316" t="s">
        <v>2290</v>
      </c>
      <c r="P1065" s="198" t="s">
        <v>49</v>
      </c>
    </row>
    <row r="1066" spans="2:16" ht="48" hidden="1">
      <c r="B1066" s="48" t="s">
        <v>178</v>
      </c>
      <c r="C1066" s="115"/>
      <c r="D1066" s="116" t="s">
        <v>2291</v>
      </c>
      <c r="E1066" s="171" t="s">
        <v>46</v>
      </c>
      <c r="J1066" s="119">
        <v>45842</v>
      </c>
      <c r="K1066" s="329"/>
      <c r="N1066" s="182"/>
      <c r="O1066" s="316" t="s">
        <v>2292</v>
      </c>
      <c r="P1066" s="198" t="s">
        <v>49</v>
      </c>
    </row>
    <row r="1067" spans="2:16" ht="32.1" hidden="1">
      <c r="B1067" s="48" t="s">
        <v>156</v>
      </c>
      <c r="C1067" s="115"/>
      <c r="D1067" s="116" t="s">
        <v>2293</v>
      </c>
      <c r="E1067" s="171" t="s">
        <v>46</v>
      </c>
      <c r="J1067" s="119">
        <v>45842</v>
      </c>
      <c r="K1067" s="329"/>
      <c r="N1067" s="182"/>
      <c r="O1067" s="163" t="s">
        <v>2294</v>
      </c>
      <c r="P1067" s="198" t="s">
        <v>49</v>
      </c>
    </row>
    <row r="1068" spans="2:16" ht="111.95" hidden="1">
      <c r="B1068" s="48" t="s">
        <v>2231</v>
      </c>
      <c r="C1068" s="115"/>
      <c r="D1068" s="116" t="s">
        <v>2295</v>
      </c>
      <c r="E1068" s="171" t="s">
        <v>46</v>
      </c>
      <c r="J1068" s="119">
        <v>45842</v>
      </c>
      <c r="K1068" s="329">
        <v>3390315</v>
      </c>
      <c r="N1068" s="182" t="s">
        <v>2296</v>
      </c>
      <c r="O1068" s="316" t="s">
        <v>2297</v>
      </c>
      <c r="P1068" s="198" t="s">
        <v>49</v>
      </c>
    </row>
    <row r="1069" spans="2:16" ht="48" hidden="1">
      <c r="B1069" s="48" t="s">
        <v>2231</v>
      </c>
      <c r="C1069" s="115"/>
      <c r="D1069" s="116" t="s">
        <v>2298</v>
      </c>
      <c r="E1069" s="171" t="s">
        <v>46</v>
      </c>
      <c r="J1069" s="119">
        <v>45842</v>
      </c>
      <c r="K1069" s="329">
        <v>3396003</v>
      </c>
      <c r="N1069" s="182" t="s">
        <v>2299</v>
      </c>
      <c r="O1069" s="163"/>
      <c r="P1069" s="198" t="s">
        <v>49</v>
      </c>
    </row>
    <row r="1070" spans="2:16" ht="111.95" hidden="1">
      <c r="B1070" s="48" t="s">
        <v>2300</v>
      </c>
      <c r="C1070" s="115"/>
      <c r="D1070" s="116" t="s">
        <v>2301</v>
      </c>
      <c r="E1070" s="171" t="s">
        <v>46</v>
      </c>
      <c r="J1070" s="119">
        <v>45842</v>
      </c>
      <c r="K1070" s="329">
        <v>3390227</v>
      </c>
      <c r="N1070" s="182" t="s">
        <v>2302</v>
      </c>
      <c r="O1070" s="163" t="s">
        <v>2303</v>
      </c>
      <c r="P1070" s="198" t="s">
        <v>49</v>
      </c>
    </row>
    <row r="1071" spans="2:16" ht="48" hidden="1">
      <c r="B1071" s="48" t="s">
        <v>2304</v>
      </c>
      <c r="C1071" s="115"/>
      <c r="D1071" s="116" t="s">
        <v>2305</v>
      </c>
      <c r="E1071" s="171" t="s">
        <v>46</v>
      </c>
      <c r="J1071" s="119">
        <v>45842</v>
      </c>
      <c r="K1071" s="329">
        <v>3409000</v>
      </c>
      <c r="N1071" s="182" t="s">
        <v>2306</v>
      </c>
      <c r="O1071" s="163"/>
      <c r="P1071" s="198" t="s">
        <v>49</v>
      </c>
    </row>
    <row r="1072" spans="2:16" ht="128.1" hidden="1">
      <c r="B1072" s="48" t="s">
        <v>2093</v>
      </c>
      <c r="C1072" s="115"/>
      <c r="D1072" s="116" t="s">
        <v>2307</v>
      </c>
      <c r="E1072" s="171" t="s">
        <v>46</v>
      </c>
      <c r="J1072" s="119">
        <v>45842</v>
      </c>
      <c r="K1072" s="329">
        <v>3409345</v>
      </c>
      <c r="N1072" s="182" t="s">
        <v>2308</v>
      </c>
      <c r="O1072" s="163"/>
      <c r="P1072" s="198" t="s">
        <v>49</v>
      </c>
    </row>
    <row r="1073" spans="2:16" ht="63.95" hidden="1">
      <c r="B1073" s="48" t="s">
        <v>2093</v>
      </c>
      <c r="C1073" s="115"/>
      <c r="D1073" s="116" t="s">
        <v>2309</v>
      </c>
      <c r="E1073" s="171" t="s">
        <v>46</v>
      </c>
      <c r="J1073" s="119">
        <v>45842</v>
      </c>
      <c r="K1073" s="329">
        <v>3409401</v>
      </c>
      <c r="N1073" s="182" t="s">
        <v>2310</v>
      </c>
      <c r="O1073" s="163"/>
      <c r="P1073" s="198" t="s">
        <v>49</v>
      </c>
    </row>
    <row r="1074" spans="2:16" ht="80.099999999999994" hidden="1">
      <c r="B1074" s="48" t="s">
        <v>2137</v>
      </c>
      <c r="C1074" s="115"/>
      <c r="D1074" s="116" t="s">
        <v>2311</v>
      </c>
      <c r="E1074" s="171" t="s">
        <v>46</v>
      </c>
      <c r="J1074" s="119">
        <v>45842</v>
      </c>
      <c r="K1074" s="329">
        <v>3400602</v>
      </c>
      <c r="N1074" s="182" t="s">
        <v>2312</v>
      </c>
      <c r="O1074" s="163"/>
      <c r="P1074" s="198" t="s">
        <v>49</v>
      </c>
    </row>
    <row r="1075" spans="2:16" ht="303.95" hidden="1">
      <c r="B1075" s="48" t="s">
        <v>2079</v>
      </c>
      <c r="C1075" s="115"/>
      <c r="D1075" s="116" t="s">
        <v>2313</v>
      </c>
      <c r="E1075" s="171" t="s">
        <v>46</v>
      </c>
      <c r="J1075" s="119">
        <v>45842</v>
      </c>
      <c r="K1075" s="329">
        <v>3396033</v>
      </c>
      <c r="N1075" s="182" t="s">
        <v>2314</v>
      </c>
      <c r="O1075" s="316" t="s">
        <v>2315</v>
      </c>
      <c r="P1075" s="198" t="s">
        <v>49</v>
      </c>
    </row>
    <row r="1076" spans="2:16" ht="48" hidden="1">
      <c r="B1076" s="48" t="s">
        <v>2079</v>
      </c>
      <c r="C1076" s="115"/>
      <c r="D1076" s="116" t="s">
        <v>2316</v>
      </c>
      <c r="E1076" s="171" t="s">
        <v>46</v>
      </c>
      <c r="J1076" s="119">
        <v>45842</v>
      </c>
      <c r="K1076" s="329">
        <v>3399836</v>
      </c>
      <c r="N1076" s="182" t="s">
        <v>2317</v>
      </c>
      <c r="O1076" s="163" t="s">
        <v>2318</v>
      </c>
      <c r="P1076" s="198" t="s">
        <v>49</v>
      </c>
    </row>
    <row r="1077" spans="2:16" ht="63.95" hidden="1">
      <c r="B1077" s="48" t="s">
        <v>2079</v>
      </c>
      <c r="C1077" s="115"/>
      <c r="D1077" s="116" t="s">
        <v>2319</v>
      </c>
      <c r="E1077" s="171" t="s">
        <v>46</v>
      </c>
      <c r="J1077" s="119">
        <v>45842</v>
      </c>
      <c r="K1077" s="329">
        <v>3399855</v>
      </c>
      <c r="N1077" s="182" t="s">
        <v>2320</v>
      </c>
      <c r="O1077" s="163"/>
      <c r="P1077" s="198" t="s">
        <v>49</v>
      </c>
    </row>
    <row r="1078" spans="2:16" ht="144" hidden="1">
      <c r="B1078" s="48" t="s">
        <v>2062</v>
      </c>
      <c r="C1078" s="115"/>
      <c r="D1078" s="116" t="s">
        <v>2321</v>
      </c>
      <c r="E1078" s="171" t="s">
        <v>46</v>
      </c>
      <c r="J1078" s="119">
        <v>45842</v>
      </c>
      <c r="K1078" s="329">
        <v>3390282</v>
      </c>
      <c r="N1078" s="182" t="s">
        <v>2322</v>
      </c>
      <c r="O1078" s="163"/>
      <c r="P1078" s="198" t="s">
        <v>49</v>
      </c>
    </row>
    <row r="1079" spans="2:16" ht="32.1" hidden="1">
      <c r="B1079" s="48" t="s">
        <v>2062</v>
      </c>
      <c r="C1079" s="115"/>
      <c r="D1079" s="116" t="s">
        <v>2323</v>
      </c>
      <c r="E1079" s="171" t="s">
        <v>46</v>
      </c>
      <c r="J1079" s="119">
        <v>45842</v>
      </c>
      <c r="K1079" s="329">
        <v>3404680</v>
      </c>
      <c r="N1079" s="182" t="s">
        <v>2324</v>
      </c>
      <c r="O1079" s="163"/>
      <c r="P1079" s="198" t="s">
        <v>49</v>
      </c>
    </row>
    <row r="1080" spans="2:16" ht="48" hidden="1">
      <c r="B1080" s="48" t="s">
        <v>2062</v>
      </c>
      <c r="C1080" s="115"/>
      <c r="D1080" s="116" t="s">
        <v>2325</v>
      </c>
      <c r="E1080" s="171" t="s">
        <v>46</v>
      </c>
      <c r="J1080" s="119">
        <v>45842</v>
      </c>
      <c r="K1080" s="329"/>
      <c r="N1080" s="182" t="s">
        <v>2326</v>
      </c>
      <c r="O1080" s="163"/>
      <c r="P1080" s="198" t="s">
        <v>49</v>
      </c>
    </row>
    <row r="1081" spans="2:16" ht="63.95" hidden="1">
      <c r="B1081" s="48" t="s">
        <v>2101</v>
      </c>
      <c r="C1081" s="115"/>
      <c r="D1081" s="116" t="s">
        <v>2327</v>
      </c>
      <c r="E1081" s="171" t="s">
        <v>46</v>
      </c>
      <c r="J1081" s="119">
        <v>45842</v>
      </c>
      <c r="K1081" s="361">
        <v>3399489</v>
      </c>
      <c r="N1081" s="182" t="s">
        <v>2328</v>
      </c>
      <c r="O1081" s="163"/>
      <c r="P1081" s="198" t="s">
        <v>49</v>
      </c>
    </row>
    <row r="1082" spans="2:16" ht="48" hidden="1">
      <c r="B1082" s="48" t="s">
        <v>2085</v>
      </c>
      <c r="C1082" s="115"/>
      <c r="D1082" s="116" t="s">
        <v>2329</v>
      </c>
      <c r="E1082" s="171" t="s">
        <v>46</v>
      </c>
      <c r="J1082" s="119">
        <v>45849</v>
      </c>
      <c r="K1082" s="359">
        <v>3436778</v>
      </c>
      <c r="N1082" s="182" t="s">
        <v>2330</v>
      </c>
      <c r="O1082" s="163"/>
      <c r="P1082" s="198" t="s">
        <v>49</v>
      </c>
    </row>
    <row r="1083" spans="2:16" ht="48" hidden="1">
      <c r="B1083" s="48" t="s">
        <v>2231</v>
      </c>
      <c r="C1083" s="115"/>
      <c r="D1083" s="116" t="s">
        <v>2331</v>
      </c>
      <c r="E1083" s="171" t="s">
        <v>46</v>
      </c>
      <c r="J1083" s="119">
        <v>45849</v>
      </c>
      <c r="K1083" s="358">
        <v>3409508</v>
      </c>
      <c r="N1083" s="182" t="s">
        <v>2332</v>
      </c>
      <c r="O1083" s="163"/>
      <c r="P1083" s="198" t="s">
        <v>49</v>
      </c>
    </row>
    <row r="1084" spans="2:16" ht="96" hidden="1">
      <c r="B1084" s="48" t="s">
        <v>2107</v>
      </c>
      <c r="C1084" s="115"/>
      <c r="D1084" s="116" t="s">
        <v>2333</v>
      </c>
      <c r="E1084" s="171" t="s">
        <v>46</v>
      </c>
      <c r="J1084" s="119">
        <v>45849</v>
      </c>
      <c r="K1084" s="329">
        <v>3427703</v>
      </c>
      <c r="N1084" s="182" t="s">
        <v>2334</v>
      </c>
      <c r="O1084" s="163"/>
      <c r="P1084" s="198" t="s">
        <v>49</v>
      </c>
    </row>
    <row r="1085" spans="2:16" ht="80.099999999999994" hidden="1">
      <c r="B1085" s="48" t="s">
        <v>2107</v>
      </c>
      <c r="C1085" s="115"/>
      <c r="D1085" s="116" t="s">
        <v>2335</v>
      </c>
      <c r="E1085" s="171" t="s">
        <v>46</v>
      </c>
      <c r="J1085" s="119">
        <v>45849</v>
      </c>
      <c r="K1085" s="329">
        <v>3427715</v>
      </c>
      <c r="N1085" s="182" t="s">
        <v>2336</v>
      </c>
      <c r="O1085" s="163"/>
      <c r="P1085" s="198" t="s">
        <v>49</v>
      </c>
    </row>
    <row r="1086" spans="2:16" ht="48" hidden="1">
      <c r="B1086" s="48" t="s">
        <v>2065</v>
      </c>
      <c r="C1086" s="115"/>
      <c r="D1086" s="116" t="s">
        <v>2337</v>
      </c>
      <c r="E1086" s="171" t="s">
        <v>46</v>
      </c>
      <c r="J1086" s="119">
        <v>45849</v>
      </c>
      <c r="K1086" s="329">
        <v>3427485</v>
      </c>
      <c r="N1086" s="182" t="s">
        <v>2338</v>
      </c>
      <c r="O1086" s="163" t="s">
        <v>2339</v>
      </c>
      <c r="P1086" s="198" t="s">
        <v>49</v>
      </c>
    </row>
    <row r="1087" spans="2:16" ht="159.94999999999999" hidden="1">
      <c r="B1087" s="48" t="s">
        <v>2065</v>
      </c>
      <c r="C1087" s="115"/>
      <c r="D1087" s="116" t="s">
        <v>2340</v>
      </c>
      <c r="E1087" s="171" t="s">
        <v>46</v>
      </c>
      <c r="J1087" s="119">
        <v>45849</v>
      </c>
      <c r="K1087" s="329">
        <v>3427527</v>
      </c>
      <c r="N1087" s="182" t="s">
        <v>2341</v>
      </c>
      <c r="O1087" s="316" t="s">
        <v>2342</v>
      </c>
      <c r="P1087" s="198" t="s">
        <v>49</v>
      </c>
    </row>
    <row r="1088" spans="2:16" ht="80.099999999999994" hidden="1">
      <c r="B1088" s="48" t="s">
        <v>2109</v>
      </c>
      <c r="C1088" s="115"/>
      <c r="D1088" s="116" t="s">
        <v>2343</v>
      </c>
      <c r="E1088" s="171" t="s">
        <v>46</v>
      </c>
      <c r="J1088" s="119">
        <v>45849</v>
      </c>
      <c r="K1088" s="329"/>
      <c r="N1088" s="182" t="s">
        <v>2344</v>
      </c>
      <c r="O1088" s="163"/>
      <c r="P1088" s="198" t="s">
        <v>49</v>
      </c>
    </row>
    <row r="1089" spans="2:23" ht="32.1" hidden="1">
      <c r="B1089" s="48" t="s">
        <v>2345</v>
      </c>
      <c r="C1089" s="115"/>
      <c r="D1089" s="116" t="s">
        <v>2346</v>
      </c>
      <c r="E1089" s="171" t="s">
        <v>46</v>
      </c>
      <c r="J1089" s="119">
        <v>45849</v>
      </c>
      <c r="K1089" s="329"/>
      <c r="N1089" s="182" t="s">
        <v>2347</v>
      </c>
      <c r="O1089" s="163"/>
      <c r="P1089" s="198" t="s">
        <v>49</v>
      </c>
    </row>
    <row r="1090" spans="2:23" ht="32.1" hidden="1">
      <c r="B1090" s="48" t="s">
        <v>2069</v>
      </c>
      <c r="C1090" s="115"/>
      <c r="D1090" s="116" t="s">
        <v>2348</v>
      </c>
      <c r="E1090" s="171" t="s">
        <v>46</v>
      </c>
      <c r="J1090" s="119">
        <v>45849</v>
      </c>
      <c r="K1090" s="329"/>
      <c r="N1090" s="182" t="s">
        <v>2349</v>
      </c>
      <c r="O1090" s="163"/>
      <c r="P1090" s="198" t="s">
        <v>49</v>
      </c>
    </row>
    <row r="1091" spans="2:23" ht="80.099999999999994" hidden="1">
      <c r="B1091" s="48" t="s">
        <v>2137</v>
      </c>
      <c r="C1091" s="115"/>
      <c r="D1091" s="116" t="s">
        <v>2350</v>
      </c>
      <c r="E1091" s="171" t="s">
        <v>46</v>
      </c>
      <c r="J1091" s="119">
        <v>45849</v>
      </c>
      <c r="K1091" s="329">
        <v>3423091</v>
      </c>
      <c r="N1091" s="182" t="s">
        <v>2351</v>
      </c>
      <c r="O1091" s="163"/>
      <c r="P1091" s="198" t="s">
        <v>49</v>
      </c>
    </row>
    <row r="1092" spans="2:23" ht="63.95" hidden="1">
      <c r="B1092" s="48" t="s">
        <v>2062</v>
      </c>
      <c r="C1092" s="115"/>
      <c r="D1092" s="116" t="s">
        <v>2352</v>
      </c>
      <c r="E1092" s="171" t="s">
        <v>46</v>
      </c>
      <c r="J1092" s="119">
        <v>45849</v>
      </c>
      <c r="K1092" s="329">
        <v>3427564</v>
      </c>
      <c r="N1092" s="182" t="s">
        <v>2353</v>
      </c>
      <c r="O1092" s="163"/>
      <c r="P1092" s="198" t="s">
        <v>49</v>
      </c>
    </row>
    <row r="1093" spans="2:23" ht="63.95" hidden="1">
      <c r="B1093" s="48" t="s">
        <v>2062</v>
      </c>
      <c r="C1093" s="115"/>
      <c r="D1093" s="116" t="s">
        <v>2354</v>
      </c>
      <c r="E1093" s="171" t="s">
        <v>46</v>
      </c>
      <c r="J1093" s="119">
        <v>45849</v>
      </c>
      <c r="K1093" s="329">
        <v>3427636</v>
      </c>
      <c r="N1093" s="182" t="s">
        <v>2355</v>
      </c>
      <c r="O1093" s="163"/>
      <c r="P1093" s="198" t="s">
        <v>49</v>
      </c>
    </row>
    <row r="1094" spans="2:23" ht="32.1" hidden="1">
      <c r="B1094" s="48" t="s">
        <v>2062</v>
      </c>
      <c r="C1094" s="115"/>
      <c r="D1094" s="116" t="s">
        <v>2356</v>
      </c>
      <c r="E1094" s="171" t="s">
        <v>46</v>
      </c>
      <c r="J1094" s="119">
        <v>45849</v>
      </c>
      <c r="K1094" s="329">
        <v>3432327</v>
      </c>
      <c r="N1094" s="182" t="s">
        <v>2357</v>
      </c>
      <c r="O1094" s="163"/>
      <c r="P1094" s="198" t="s">
        <v>49</v>
      </c>
    </row>
    <row r="1095" spans="2:23" ht="336" hidden="1">
      <c r="B1095" s="48" t="s">
        <v>2062</v>
      </c>
      <c r="C1095" s="115"/>
      <c r="D1095" s="116" t="s">
        <v>2358</v>
      </c>
      <c r="E1095" s="171" t="s">
        <v>46</v>
      </c>
      <c r="J1095" s="119">
        <v>45849</v>
      </c>
      <c r="K1095" s="329">
        <v>3437378</v>
      </c>
      <c r="N1095" s="182" t="s">
        <v>2359</v>
      </c>
      <c r="O1095" s="316" t="s">
        <v>2360</v>
      </c>
      <c r="P1095" s="198" t="s">
        <v>49</v>
      </c>
    </row>
    <row r="1096" spans="2:23" ht="207.95" hidden="1">
      <c r="B1096" s="48" t="s">
        <v>2231</v>
      </c>
      <c r="C1096" s="115"/>
      <c r="D1096" s="116" t="s">
        <v>2361</v>
      </c>
      <c r="E1096" s="171" t="s">
        <v>46</v>
      </c>
      <c r="J1096" s="119">
        <v>45856</v>
      </c>
      <c r="K1096" s="329">
        <v>3459540</v>
      </c>
      <c r="N1096" s="182" t="s">
        <v>2362</v>
      </c>
      <c r="O1096" s="163" t="s">
        <v>2363</v>
      </c>
      <c r="P1096" s="198" t="s">
        <v>49</v>
      </c>
    </row>
    <row r="1097" spans="2:23" ht="80.099999999999994" hidden="1">
      <c r="B1097" s="48" t="s">
        <v>2109</v>
      </c>
      <c r="C1097" s="115"/>
      <c r="D1097" s="116" t="s">
        <v>2343</v>
      </c>
      <c r="E1097" s="171" t="s">
        <v>46</v>
      </c>
      <c r="J1097" s="119">
        <v>45856</v>
      </c>
      <c r="K1097" s="329"/>
      <c r="N1097" s="182" t="s">
        <v>2344</v>
      </c>
      <c r="O1097" s="163"/>
      <c r="P1097" s="198" t="s">
        <v>49</v>
      </c>
    </row>
    <row r="1098" spans="2:23" ht="32.1" hidden="1">
      <c r="B1098" s="48" t="s">
        <v>2345</v>
      </c>
      <c r="C1098" s="115"/>
      <c r="D1098" s="116" t="s">
        <v>2346</v>
      </c>
      <c r="E1098" s="171" t="s">
        <v>46</v>
      </c>
      <c r="J1098" s="119">
        <v>45856</v>
      </c>
      <c r="K1098" s="329"/>
      <c r="N1098" s="182" t="s">
        <v>2347</v>
      </c>
      <c r="O1098" s="163"/>
      <c r="P1098" s="198" t="s">
        <v>49</v>
      </c>
    </row>
    <row r="1099" spans="2:23" ht="32.1" hidden="1">
      <c r="B1099" s="48" t="s">
        <v>2069</v>
      </c>
      <c r="C1099" s="115"/>
      <c r="D1099" s="116" t="s">
        <v>2348</v>
      </c>
      <c r="E1099" s="171" t="s">
        <v>46</v>
      </c>
      <c r="J1099" s="119">
        <v>45856</v>
      </c>
      <c r="K1099" s="329"/>
      <c r="N1099" s="182" t="s">
        <v>2349</v>
      </c>
      <c r="O1099" s="163"/>
      <c r="P1099" s="198" t="s">
        <v>49</v>
      </c>
    </row>
    <row r="1100" spans="2:23" s="186" customFormat="1" ht="224.1" hidden="1">
      <c r="B1100" s="187" t="s">
        <v>2134</v>
      </c>
      <c r="C1100" s="188"/>
      <c r="D1100" s="189" t="s">
        <v>2364</v>
      </c>
      <c r="E1100" s="190" t="s">
        <v>46</v>
      </c>
      <c r="F1100" s="1"/>
      <c r="G1100" s="1"/>
      <c r="H1100" s="1"/>
      <c r="I1100" s="1"/>
      <c r="J1100" s="191">
        <v>45856</v>
      </c>
      <c r="K1100" s="344">
        <v>3464134</v>
      </c>
      <c r="L1100" s="1"/>
      <c r="M1100" s="1"/>
      <c r="N1100" s="193" t="s">
        <v>2365</v>
      </c>
      <c r="O1100" s="194" t="s">
        <v>2366</v>
      </c>
      <c r="P1100" s="332" t="s">
        <v>49</v>
      </c>
      <c r="Q1100" s="1"/>
      <c r="R1100" s="1"/>
      <c r="U1100" s="197"/>
      <c r="V1100" s="197"/>
      <c r="W1100" s="197"/>
    </row>
    <row r="1101" spans="2:23" ht="48" hidden="1">
      <c r="B1101" s="48" t="s">
        <v>2367</v>
      </c>
      <c r="C1101" s="115"/>
      <c r="D1101" s="116" t="s">
        <v>2368</v>
      </c>
      <c r="E1101" s="171" t="s">
        <v>46</v>
      </c>
      <c r="J1101" s="119">
        <v>45856</v>
      </c>
      <c r="K1101" s="329">
        <v>3472665</v>
      </c>
      <c r="N1101" s="182" t="s">
        <v>2369</v>
      </c>
      <c r="O1101" s="163"/>
      <c r="P1101" s="198" t="s">
        <v>49</v>
      </c>
    </row>
    <row r="1102" spans="2:23" ht="63.95" hidden="1">
      <c r="B1102" s="48" t="s">
        <v>2137</v>
      </c>
      <c r="C1102" s="115"/>
      <c r="D1102" s="116" t="s">
        <v>2370</v>
      </c>
      <c r="E1102" s="171" t="s">
        <v>46</v>
      </c>
      <c r="J1102" s="119">
        <v>45856</v>
      </c>
      <c r="K1102" s="329">
        <v>3472580</v>
      </c>
      <c r="N1102" s="182" t="s">
        <v>2371</v>
      </c>
      <c r="O1102" s="163" t="s">
        <v>2372</v>
      </c>
      <c r="P1102" s="198" t="s">
        <v>49</v>
      </c>
    </row>
    <row r="1103" spans="2:23" ht="48" hidden="1">
      <c r="B1103" s="48" t="s">
        <v>2062</v>
      </c>
      <c r="C1103" s="115"/>
      <c r="D1103" s="116" t="s">
        <v>2325</v>
      </c>
      <c r="E1103" s="171" t="s">
        <v>46</v>
      </c>
      <c r="J1103" s="119">
        <v>45856</v>
      </c>
      <c r="K1103" s="329"/>
      <c r="N1103" s="182" t="s">
        <v>2373</v>
      </c>
      <c r="O1103" s="163"/>
      <c r="P1103" s="198" t="s">
        <v>49</v>
      </c>
    </row>
    <row r="1104" spans="2:23" ht="63.95" hidden="1">
      <c r="B1104" s="48" t="s">
        <v>2062</v>
      </c>
      <c r="C1104" s="115"/>
      <c r="D1104" s="116" t="s">
        <v>2374</v>
      </c>
      <c r="E1104" s="171" t="s">
        <v>46</v>
      </c>
      <c r="J1104" s="119">
        <v>45856</v>
      </c>
      <c r="K1104" s="329"/>
      <c r="N1104" s="182" t="s">
        <v>2375</v>
      </c>
      <c r="O1104" s="163" t="s">
        <v>2376</v>
      </c>
      <c r="P1104" s="198" t="s">
        <v>49</v>
      </c>
    </row>
    <row r="1105" spans="2:16" ht="80.099999999999994" hidden="1">
      <c r="B1105" s="48" t="s">
        <v>2203</v>
      </c>
      <c r="C1105" s="115"/>
      <c r="D1105" s="116" t="s">
        <v>2377</v>
      </c>
      <c r="E1105" s="171" t="s">
        <v>46</v>
      </c>
      <c r="J1105" s="119">
        <v>45856</v>
      </c>
      <c r="K1105" s="361">
        <v>3454480</v>
      </c>
      <c r="N1105" s="182" t="s">
        <v>2378</v>
      </c>
      <c r="O1105" s="163"/>
      <c r="P1105" s="198" t="s">
        <v>49</v>
      </c>
    </row>
    <row r="1106" spans="2:16" ht="80.099999999999994" hidden="1">
      <c r="B1106" s="48" t="s">
        <v>2085</v>
      </c>
      <c r="C1106" s="115"/>
      <c r="D1106" s="116" t="s">
        <v>2379</v>
      </c>
      <c r="E1106" s="171" t="s">
        <v>46</v>
      </c>
      <c r="J1106" s="119">
        <v>45863</v>
      </c>
      <c r="K1106" s="359">
        <v>3490393</v>
      </c>
      <c r="N1106" s="182" t="s">
        <v>2380</v>
      </c>
      <c r="O1106" s="163"/>
      <c r="P1106" s="198" t="s">
        <v>49</v>
      </c>
    </row>
    <row r="1107" spans="2:16" ht="32.1" hidden="1">
      <c r="B1107" s="48" t="s">
        <v>2085</v>
      </c>
      <c r="C1107" s="115"/>
      <c r="D1107" s="116" t="s">
        <v>2381</v>
      </c>
      <c r="E1107" s="171" t="s">
        <v>46</v>
      </c>
      <c r="J1107" s="119">
        <v>45863</v>
      </c>
      <c r="K1107" s="359">
        <v>3494460</v>
      </c>
      <c r="N1107" s="182" t="s">
        <v>2382</v>
      </c>
      <c r="O1107" s="163"/>
      <c r="P1107" s="198" t="s">
        <v>49</v>
      </c>
    </row>
    <row r="1108" spans="2:16" ht="63.95" hidden="1">
      <c r="B1108" s="48" t="s">
        <v>2383</v>
      </c>
      <c r="C1108" s="115"/>
      <c r="D1108" s="116" t="s">
        <v>2384</v>
      </c>
      <c r="E1108" s="171" t="s">
        <v>46</v>
      </c>
      <c r="J1108" s="119">
        <v>45863</v>
      </c>
      <c r="K1108" s="358">
        <v>3494097</v>
      </c>
      <c r="N1108" s="182" t="s">
        <v>2385</v>
      </c>
      <c r="O1108" s="163"/>
      <c r="P1108" s="198" t="s">
        <v>49</v>
      </c>
    </row>
    <row r="1109" spans="2:16" ht="48" hidden="1">
      <c r="B1109" s="48" t="s">
        <v>2231</v>
      </c>
      <c r="C1109" s="115"/>
      <c r="D1109" s="116" t="s">
        <v>2386</v>
      </c>
      <c r="E1109" s="171" t="s">
        <v>46</v>
      </c>
      <c r="J1109" s="119">
        <v>45863</v>
      </c>
      <c r="K1109" s="329">
        <v>3490304</v>
      </c>
      <c r="N1109" s="182" t="s">
        <v>2387</v>
      </c>
      <c r="O1109" s="163"/>
      <c r="P1109" s="198" t="s">
        <v>49</v>
      </c>
    </row>
    <row r="1110" spans="2:16" ht="80.099999999999994" hidden="1">
      <c r="B1110" s="48" t="s">
        <v>2109</v>
      </c>
      <c r="C1110" s="115"/>
      <c r="D1110" s="116" t="s">
        <v>2343</v>
      </c>
      <c r="E1110" s="171" t="s">
        <v>46</v>
      </c>
      <c r="J1110" s="119">
        <v>45863</v>
      </c>
      <c r="K1110" s="329"/>
      <c r="N1110" s="182" t="s">
        <v>2344</v>
      </c>
      <c r="O1110" s="163"/>
      <c r="P1110" s="198" t="s">
        <v>49</v>
      </c>
    </row>
    <row r="1111" spans="2:16" ht="207.95" hidden="1">
      <c r="B1111" s="48" t="s">
        <v>2109</v>
      </c>
      <c r="C1111" s="115"/>
      <c r="D1111" s="116" t="s">
        <v>2388</v>
      </c>
      <c r="E1111" s="171" t="s">
        <v>46</v>
      </c>
      <c r="J1111" s="119">
        <v>45863</v>
      </c>
      <c r="K1111" s="329">
        <v>3489869</v>
      </c>
      <c r="N1111" s="182" t="s">
        <v>2389</v>
      </c>
      <c r="O1111" s="163" t="s">
        <v>2390</v>
      </c>
      <c r="P1111" s="198" t="s">
        <v>49</v>
      </c>
    </row>
    <row r="1112" spans="2:16" ht="32.1" hidden="1">
      <c r="B1112" s="48" t="s">
        <v>2345</v>
      </c>
      <c r="C1112" s="115"/>
      <c r="D1112" s="116" t="s">
        <v>2346</v>
      </c>
      <c r="E1112" s="171" t="s">
        <v>46</v>
      </c>
      <c r="J1112" s="119">
        <v>45863</v>
      </c>
      <c r="K1112" s="329"/>
      <c r="N1112" s="182" t="s">
        <v>2347</v>
      </c>
      <c r="O1112" s="163"/>
      <c r="P1112" s="198" t="s">
        <v>49</v>
      </c>
    </row>
    <row r="1113" spans="2:16" ht="48" hidden="1">
      <c r="B1113" s="48" t="s">
        <v>2130</v>
      </c>
      <c r="C1113" s="115"/>
      <c r="D1113" s="116" t="s">
        <v>2391</v>
      </c>
      <c r="E1113" s="171" t="s">
        <v>46</v>
      </c>
      <c r="J1113" s="119">
        <v>45863</v>
      </c>
      <c r="K1113" s="329">
        <v>3499551</v>
      </c>
      <c r="N1113" s="182" t="s">
        <v>2392</v>
      </c>
      <c r="O1113" s="163" t="s">
        <v>2393</v>
      </c>
      <c r="P1113" s="198" t="s">
        <v>49</v>
      </c>
    </row>
    <row r="1114" spans="2:16" ht="32.1" hidden="1">
      <c r="B1114" s="48" t="s">
        <v>2069</v>
      </c>
      <c r="C1114" s="115"/>
      <c r="D1114" s="116" t="s">
        <v>2348</v>
      </c>
      <c r="E1114" s="171" t="s">
        <v>46</v>
      </c>
      <c r="J1114" s="119">
        <v>45863</v>
      </c>
      <c r="K1114" s="329"/>
      <c r="N1114" s="182" t="s">
        <v>2349</v>
      </c>
      <c r="O1114" s="163"/>
      <c r="P1114" s="198" t="s">
        <v>49</v>
      </c>
    </row>
    <row r="1115" spans="2:16" ht="409.5" hidden="1" customHeight="1">
      <c r="B1115" s="48" t="s">
        <v>2093</v>
      </c>
      <c r="C1115" s="115"/>
      <c r="D1115" s="116" t="s">
        <v>2394</v>
      </c>
      <c r="E1115" s="171" t="s">
        <v>46</v>
      </c>
      <c r="J1115" s="119">
        <v>45863</v>
      </c>
      <c r="K1115" s="329">
        <v>3490774</v>
      </c>
      <c r="N1115" s="182" t="s">
        <v>2395</v>
      </c>
      <c r="O1115" s="163"/>
      <c r="P1115" s="198" t="s">
        <v>49</v>
      </c>
    </row>
    <row r="1116" spans="2:16" ht="48" hidden="1">
      <c r="B1116" s="48" t="s">
        <v>2062</v>
      </c>
      <c r="C1116" s="115"/>
      <c r="D1116" s="116" t="s">
        <v>2325</v>
      </c>
      <c r="E1116" s="171" t="s">
        <v>46</v>
      </c>
      <c r="J1116" s="119">
        <v>45863</v>
      </c>
      <c r="K1116" s="329"/>
      <c r="N1116" s="182" t="s">
        <v>2373</v>
      </c>
      <c r="O1116" s="163"/>
      <c r="P1116" s="198" t="s">
        <v>49</v>
      </c>
    </row>
    <row r="1117" spans="2:16" ht="63.95" hidden="1">
      <c r="B1117" s="48" t="s">
        <v>2062</v>
      </c>
      <c r="C1117" s="115"/>
      <c r="D1117" s="116" t="s">
        <v>2374</v>
      </c>
      <c r="E1117" s="171" t="s">
        <v>46</v>
      </c>
      <c r="J1117" s="119">
        <v>45863</v>
      </c>
      <c r="K1117" s="329"/>
      <c r="N1117" s="182" t="s">
        <v>2396</v>
      </c>
      <c r="O1117" s="163" t="s">
        <v>2376</v>
      </c>
      <c r="P1117" s="198" t="s">
        <v>49</v>
      </c>
    </row>
    <row r="1118" spans="2:16" ht="63.95" hidden="1">
      <c r="B1118" s="48" t="s">
        <v>2101</v>
      </c>
      <c r="C1118" s="115"/>
      <c r="D1118" s="116" t="s">
        <v>2397</v>
      </c>
      <c r="E1118" s="171" t="s">
        <v>46</v>
      </c>
      <c r="J1118" s="119">
        <v>45863</v>
      </c>
      <c r="K1118" s="329"/>
      <c r="N1118" s="182" t="s">
        <v>2398</v>
      </c>
      <c r="O1118" s="163"/>
      <c r="P1118" s="198" t="s">
        <v>49</v>
      </c>
    </row>
    <row r="1119" spans="2:16" ht="32.1" hidden="1">
      <c r="B1119" s="48" t="s">
        <v>129</v>
      </c>
      <c r="C1119" s="115"/>
      <c r="D1119" s="116" t="s">
        <v>2399</v>
      </c>
      <c r="E1119" s="171" t="s">
        <v>46</v>
      </c>
      <c r="J1119" s="119">
        <v>45842</v>
      </c>
      <c r="K1119" s="329"/>
      <c r="N1119" s="182"/>
      <c r="O1119" s="163" t="s">
        <v>2318</v>
      </c>
      <c r="P1119" s="198"/>
    </row>
    <row r="1120" spans="2:16" ht="48" hidden="1">
      <c r="B1120" s="48" t="s">
        <v>2088</v>
      </c>
      <c r="C1120" s="115"/>
      <c r="D1120" s="116" t="s">
        <v>2400</v>
      </c>
      <c r="E1120" s="171" t="s">
        <v>46</v>
      </c>
      <c r="J1120" s="119">
        <v>45842</v>
      </c>
      <c r="K1120" s="329">
        <v>3531042</v>
      </c>
      <c r="N1120" s="182" t="s">
        <v>2401</v>
      </c>
      <c r="O1120" s="163"/>
      <c r="P1120" s="198" t="s">
        <v>49</v>
      </c>
    </row>
    <row r="1121" spans="2:16" ht="48" hidden="1">
      <c r="B1121" s="48" t="s">
        <v>2069</v>
      </c>
      <c r="C1121" s="115"/>
      <c r="D1121" s="116" t="s">
        <v>2402</v>
      </c>
      <c r="E1121" s="171" t="s">
        <v>46</v>
      </c>
      <c r="J1121" s="119"/>
      <c r="K1121" s="361">
        <v>3521831</v>
      </c>
      <c r="N1121" s="182" t="s">
        <v>2403</v>
      </c>
      <c r="O1121" s="163"/>
      <c r="P1121" s="198" t="s">
        <v>49</v>
      </c>
    </row>
    <row r="1122" spans="2:16" ht="32.1" hidden="1">
      <c r="B1122" s="48" t="s">
        <v>58</v>
      </c>
      <c r="C1122" s="115"/>
      <c r="D1122" s="116" t="s">
        <v>2404</v>
      </c>
      <c r="E1122" s="171" t="s">
        <v>46</v>
      </c>
      <c r="J1122" s="119"/>
      <c r="K1122" s="359">
        <v>3549863</v>
      </c>
      <c r="N1122" s="182" t="s">
        <v>2405</v>
      </c>
      <c r="O1122" s="163"/>
      <c r="P1122" s="198" t="s">
        <v>49</v>
      </c>
    </row>
    <row r="1123" spans="2:16" ht="32.1" hidden="1">
      <c r="B1123" s="48" t="s">
        <v>58</v>
      </c>
      <c r="C1123" s="115"/>
      <c r="D1123" s="116" t="s">
        <v>2406</v>
      </c>
      <c r="E1123" s="171" t="s">
        <v>46</v>
      </c>
      <c r="J1123" s="119"/>
      <c r="K1123" s="359">
        <v>3616602</v>
      </c>
      <c r="N1123" s="182" t="s">
        <v>2407</v>
      </c>
      <c r="O1123" s="163"/>
      <c r="P1123" s="198" t="s">
        <v>49</v>
      </c>
    </row>
    <row r="1124" spans="2:16" ht="336" hidden="1">
      <c r="B1124" s="48" t="s">
        <v>58</v>
      </c>
      <c r="C1124" s="115"/>
      <c r="D1124" s="116" t="s">
        <v>2408</v>
      </c>
      <c r="E1124" s="171" t="s">
        <v>46</v>
      </c>
      <c r="J1124" s="119">
        <v>45898</v>
      </c>
      <c r="K1124" s="359">
        <v>3616630</v>
      </c>
      <c r="N1124" s="182" t="s">
        <v>2409</v>
      </c>
      <c r="O1124" s="163" t="s">
        <v>2410</v>
      </c>
      <c r="P1124" s="198" t="s">
        <v>49</v>
      </c>
    </row>
    <row r="1125" spans="2:16" ht="32.1" hidden="1">
      <c r="B1125" s="48" t="s">
        <v>2411</v>
      </c>
      <c r="C1125" s="115"/>
      <c r="D1125" s="116" t="s">
        <v>2412</v>
      </c>
      <c r="E1125" s="171" t="s">
        <v>46</v>
      </c>
      <c r="J1125" s="119"/>
      <c r="K1125" s="358">
        <v>3567611</v>
      </c>
      <c r="N1125" s="182" t="s">
        <v>2413</v>
      </c>
      <c r="O1125" s="163"/>
      <c r="P1125" s="198" t="s">
        <v>49</v>
      </c>
    </row>
    <row r="1126" spans="2:16" ht="48" hidden="1">
      <c r="B1126" s="48" t="s">
        <v>2104</v>
      </c>
      <c r="C1126" s="115"/>
      <c r="D1126" s="116" t="s">
        <v>2414</v>
      </c>
      <c r="E1126" s="171" t="s">
        <v>46</v>
      </c>
      <c r="J1126" s="119"/>
      <c r="K1126" s="329">
        <v>3563338</v>
      </c>
      <c r="N1126" s="182" t="s">
        <v>2415</v>
      </c>
      <c r="O1126" s="163"/>
      <c r="P1126" s="198" t="s">
        <v>49</v>
      </c>
    </row>
    <row r="1127" spans="2:16" ht="80.099999999999994" hidden="1">
      <c r="B1127" s="48" t="s">
        <v>2104</v>
      </c>
      <c r="C1127" s="115"/>
      <c r="D1127" s="116" t="s">
        <v>2416</v>
      </c>
      <c r="E1127" s="171" t="s">
        <v>46</v>
      </c>
      <c r="J1127" s="119"/>
      <c r="K1127" s="329">
        <v>3582074</v>
      </c>
      <c r="N1127" s="182" t="s">
        <v>2417</v>
      </c>
      <c r="O1127" s="163" t="s">
        <v>2418</v>
      </c>
      <c r="P1127" s="198" t="s">
        <v>49</v>
      </c>
    </row>
    <row r="1128" spans="2:16" ht="48" hidden="1">
      <c r="B1128" s="48" t="s">
        <v>2231</v>
      </c>
      <c r="C1128" s="115"/>
      <c r="D1128" s="116" t="s">
        <v>2419</v>
      </c>
      <c r="E1128" s="171" t="s">
        <v>46</v>
      </c>
      <c r="J1128" s="119"/>
      <c r="K1128" s="329">
        <v>3549040</v>
      </c>
      <c r="N1128" s="182" t="s">
        <v>2420</v>
      </c>
      <c r="O1128" s="163"/>
      <c r="P1128" s="198" t="s">
        <v>49</v>
      </c>
    </row>
    <row r="1129" spans="2:16" ht="96" hidden="1">
      <c r="B1129" s="48" t="s">
        <v>2231</v>
      </c>
      <c r="C1129" s="115"/>
      <c r="D1129" s="116" t="s">
        <v>2421</v>
      </c>
      <c r="E1129" s="171" t="s">
        <v>46</v>
      </c>
      <c r="J1129" s="119">
        <v>45898</v>
      </c>
      <c r="K1129" s="329">
        <v>3644246</v>
      </c>
      <c r="N1129" s="182" t="s">
        <v>2422</v>
      </c>
      <c r="O1129" s="163" t="s">
        <v>2423</v>
      </c>
      <c r="P1129" s="198" t="s">
        <v>49</v>
      </c>
    </row>
    <row r="1130" spans="2:16" ht="111.95" hidden="1">
      <c r="B1130" s="48" t="s">
        <v>2107</v>
      </c>
      <c r="C1130" s="115"/>
      <c r="D1130" s="116" t="s">
        <v>2424</v>
      </c>
      <c r="E1130" s="171"/>
      <c r="J1130" s="119"/>
      <c r="K1130" s="329">
        <v>3553561</v>
      </c>
      <c r="N1130" s="182" t="s">
        <v>2425</v>
      </c>
      <c r="O1130" s="163"/>
      <c r="P1130" s="198" t="s">
        <v>49</v>
      </c>
    </row>
    <row r="1131" spans="2:16" ht="144" hidden="1">
      <c r="B1131" s="48" t="s">
        <v>2088</v>
      </c>
      <c r="C1131" s="115"/>
      <c r="D1131" s="116" t="s">
        <v>2426</v>
      </c>
      <c r="E1131" s="171" t="s">
        <v>46</v>
      </c>
      <c r="J1131" s="119">
        <v>45898</v>
      </c>
      <c r="K1131" s="329"/>
      <c r="N1131" s="182" t="s">
        <v>2427</v>
      </c>
      <c r="O1131" s="163" t="s">
        <v>2428</v>
      </c>
      <c r="P1131" s="198" t="s">
        <v>49</v>
      </c>
    </row>
    <row r="1132" spans="2:16" ht="48" hidden="1">
      <c r="B1132" s="48" t="s">
        <v>2088</v>
      </c>
      <c r="C1132" s="115"/>
      <c r="D1132" s="116" t="s">
        <v>2429</v>
      </c>
      <c r="E1132" s="171"/>
      <c r="J1132" s="119"/>
      <c r="K1132" s="329">
        <v>3585581</v>
      </c>
      <c r="N1132" s="182" t="s">
        <v>2430</v>
      </c>
      <c r="O1132" s="163"/>
      <c r="P1132" s="198" t="s">
        <v>49</v>
      </c>
    </row>
    <row r="1133" spans="2:16" ht="15.95" hidden="1">
      <c r="B1133" s="48" t="s">
        <v>2088</v>
      </c>
      <c r="C1133" s="115"/>
      <c r="D1133" s="116" t="s">
        <v>2431</v>
      </c>
      <c r="E1133" s="171"/>
      <c r="J1133" s="119"/>
      <c r="K1133" s="329">
        <v>3616191</v>
      </c>
      <c r="N1133" s="182" t="s">
        <v>2432</v>
      </c>
      <c r="O1133" s="163"/>
      <c r="P1133" s="198" t="s">
        <v>49</v>
      </c>
    </row>
    <row r="1134" spans="2:16" ht="48" hidden="1">
      <c r="B1134" s="48" t="s">
        <v>2088</v>
      </c>
      <c r="C1134" s="115"/>
      <c r="D1134" s="116" t="s">
        <v>2433</v>
      </c>
      <c r="E1134" s="171"/>
      <c r="J1134" s="119"/>
      <c r="K1134" s="329">
        <v>3643715</v>
      </c>
      <c r="N1134" s="182" t="s">
        <v>2434</v>
      </c>
      <c r="O1134" s="163"/>
      <c r="P1134" s="198" t="s">
        <v>49</v>
      </c>
    </row>
    <row r="1135" spans="2:16" ht="32.1" hidden="1">
      <c r="B1135" s="48" t="s">
        <v>2088</v>
      </c>
      <c r="C1135" s="115"/>
      <c r="D1135" s="116" t="s">
        <v>2435</v>
      </c>
      <c r="E1135" s="171" t="s">
        <v>46</v>
      </c>
      <c r="J1135" s="119">
        <v>45898</v>
      </c>
      <c r="K1135" s="329">
        <v>3653135</v>
      </c>
      <c r="N1135" s="182" t="s">
        <v>2436</v>
      </c>
      <c r="O1135" s="163" t="s">
        <v>2437</v>
      </c>
      <c r="P1135" s="198" t="s">
        <v>49</v>
      </c>
    </row>
    <row r="1136" spans="2:16" ht="224.1" hidden="1">
      <c r="B1136" s="48" t="s">
        <v>2300</v>
      </c>
      <c r="C1136" s="115"/>
      <c r="D1136" s="116" t="s">
        <v>2438</v>
      </c>
      <c r="E1136" s="171" t="s">
        <v>46</v>
      </c>
      <c r="J1136" s="119">
        <v>45898</v>
      </c>
      <c r="K1136" s="329">
        <v>3615862</v>
      </c>
      <c r="N1136" s="182" t="s">
        <v>2439</v>
      </c>
      <c r="O1136" s="163" t="s">
        <v>2440</v>
      </c>
      <c r="P1136" s="198" t="s">
        <v>49</v>
      </c>
    </row>
    <row r="1137" spans="2:23" ht="32.1" hidden="1">
      <c r="B1137" s="48" t="s">
        <v>2069</v>
      </c>
      <c r="C1137" s="115"/>
      <c r="D1137" s="116" t="s">
        <v>2441</v>
      </c>
      <c r="E1137" s="171"/>
      <c r="J1137" s="119"/>
      <c r="K1137" s="329">
        <v>3590880</v>
      </c>
      <c r="N1137" s="182" t="s">
        <v>2442</v>
      </c>
      <c r="O1137" s="163"/>
      <c r="P1137" s="198" t="s">
        <v>49</v>
      </c>
    </row>
    <row r="1138" spans="2:23" ht="192" hidden="1">
      <c r="B1138" s="48" t="s">
        <v>2069</v>
      </c>
      <c r="C1138" s="115"/>
      <c r="D1138" s="116" t="s">
        <v>2443</v>
      </c>
      <c r="E1138" s="171" t="s">
        <v>46</v>
      </c>
      <c r="J1138" s="119">
        <v>45898</v>
      </c>
      <c r="K1138" s="329">
        <v>3620986</v>
      </c>
      <c r="N1138" s="182" t="s">
        <v>2444</v>
      </c>
      <c r="O1138" s="163" t="s">
        <v>2445</v>
      </c>
      <c r="P1138" s="198" t="s">
        <v>49</v>
      </c>
    </row>
    <row r="1139" spans="2:23" ht="48" hidden="1">
      <c r="B1139" s="48" t="s">
        <v>2097</v>
      </c>
      <c r="C1139" s="115"/>
      <c r="D1139" s="116" t="s">
        <v>2446</v>
      </c>
      <c r="E1139" s="171" t="s">
        <v>46</v>
      </c>
      <c r="J1139" s="119">
        <v>45898</v>
      </c>
      <c r="K1139" s="329">
        <v>3620710</v>
      </c>
      <c r="N1139" s="182" t="s">
        <v>2447</v>
      </c>
      <c r="O1139" s="163"/>
      <c r="P1139" s="198" t="s">
        <v>49</v>
      </c>
    </row>
    <row r="1140" spans="2:23" ht="111.95" hidden="1">
      <c r="B1140" s="48" t="s">
        <v>2134</v>
      </c>
      <c r="C1140" s="115"/>
      <c r="D1140" s="116" t="s">
        <v>2448</v>
      </c>
      <c r="E1140" s="171" t="s">
        <v>46</v>
      </c>
      <c r="J1140" s="119">
        <v>45898</v>
      </c>
      <c r="K1140" s="329">
        <v>3630695</v>
      </c>
      <c r="N1140" s="182" t="s">
        <v>2449</v>
      </c>
      <c r="O1140" s="163"/>
      <c r="P1140" s="198" t="s">
        <v>49</v>
      </c>
    </row>
    <row r="1141" spans="2:23" ht="48" hidden="1">
      <c r="B1141" s="48" t="s">
        <v>2076</v>
      </c>
      <c r="C1141" s="115"/>
      <c r="D1141" s="116" t="s">
        <v>2450</v>
      </c>
      <c r="E1141" s="171"/>
      <c r="J1141" s="119"/>
      <c r="K1141" s="329">
        <v>3644117</v>
      </c>
      <c r="N1141" s="182" t="s">
        <v>2451</v>
      </c>
      <c r="O1141" s="163"/>
      <c r="P1141" s="198" t="s">
        <v>49</v>
      </c>
    </row>
    <row r="1142" spans="2:23" ht="32.1" hidden="1">
      <c r="B1142" s="48" t="s">
        <v>2367</v>
      </c>
      <c r="C1142" s="115"/>
      <c r="D1142" s="116" t="s">
        <v>2452</v>
      </c>
      <c r="E1142" s="171"/>
      <c r="J1142" s="119"/>
      <c r="K1142" s="329">
        <v>3620745</v>
      </c>
      <c r="N1142" s="182" t="s">
        <v>2453</v>
      </c>
      <c r="O1142" s="163"/>
      <c r="P1142" s="198" t="s">
        <v>49</v>
      </c>
    </row>
    <row r="1143" spans="2:23" ht="32.1" hidden="1">
      <c r="B1143" s="48" t="s">
        <v>2367</v>
      </c>
      <c r="C1143" s="115"/>
      <c r="D1143" s="116" t="s">
        <v>2454</v>
      </c>
      <c r="E1143" s="171" t="s">
        <v>46</v>
      </c>
      <c r="J1143" s="119">
        <v>45898</v>
      </c>
      <c r="K1143" s="329">
        <v>3643950</v>
      </c>
      <c r="N1143" s="182" t="s">
        <v>2455</v>
      </c>
      <c r="O1143" s="163" t="s">
        <v>2456</v>
      </c>
      <c r="P1143" s="198" t="s">
        <v>49</v>
      </c>
    </row>
    <row r="1144" spans="2:23" ht="32.1" hidden="1">
      <c r="B1144" s="48" t="s">
        <v>2367</v>
      </c>
      <c r="C1144" s="115"/>
      <c r="D1144" s="116" t="s">
        <v>2457</v>
      </c>
      <c r="E1144" s="171" t="s">
        <v>46</v>
      </c>
      <c r="J1144" s="119">
        <v>45898</v>
      </c>
      <c r="K1144" s="329">
        <v>3657283</v>
      </c>
      <c r="N1144" s="182" t="s">
        <v>2458</v>
      </c>
      <c r="O1144" s="163" t="s">
        <v>2459</v>
      </c>
      <c r="P1144" s="198" t="s">
        <v>49</v>
      </c>
    </row>
    <row r="1145" spans="2:23" ht="63.95" hidden="1">
      <c r="B1145" s="48" t="s">
        <v>2137</v>
      </c>
      <c r="C1145" s="115"/>
      <c r="D1145" s="116" t="s">
        <v>2460</v>
      </c>
      <c r="E1145" s="171"/>
      <c r="J1145" s="119"/>
      <c r="K1145" s="329">
        <v>3550106</v>
      </c>
      <c r="N1145" s="182" t="s">
        <v>2461</v>
      </c>
      <c r="O1145" s="163"/>
      <c r="P1145" s="198" t="s">
        <v>49</v>
      </c>
    </row>
    <row r="1146" spans="2:23" ht="48" hidden="1">
      <c r="B1146" s="48" t="s">
        <v>2062</v>
      </c>
      <c r="C1146" s="115"/>
      <c r="D1146" s="116" t="s">
        <v>2462</v>
      </c>
      <c r="E1146" s="171" t="s">
        <v>46</v>
      </c>
      <c r="J1146" s="119">
        <v>45898</v>
      </c>
      <c r="K1146" s="329">
        <v>3616061</v>
      </c>
      <c r="N1146" s="182" t="s">
        <v>2463</v>
      </c>
      <c r="O1146" s="163"/>
      <c r="P1146" s="198" t="s">
        <v>49</v>
      </c>
    </row>
    <row r="1147" spans="2:23" s="186" customFormat="1" ht="318.60000000000002" hidden="1" customHeight="1">
      <c r="B1147" s="187" t="s">
        <v>75</v>
      </c>
      <c r="C1147" s="188"/>
      <c r="D1147" s="189" t="s">
        <v>2464</v>
      </c>
      <c r="E1147" s="190" t="s">
        <v>46</v>
      </c>
      <c r="F1147" s="1"/>
      <c r="G1147" s="1"/>
      <c r="H1147" s="1"/>
      <c r="I1147" s="1"/>
      <c r="J1147" s="191">
        <v>45898</v>
      </c>
      <c r="K1147" s="344">
        <v>3553532</v>
      </c>
      <c r="L1147" s="1"/>
      <c r="M1147" s="1"/>
      <c r="N1147" s="193" t="s">
        <v>2465</v>
      </c>
      <c r="O1147" s="194" t="s">
        <v>2466</v>
      </c>
      <c r="P1147" s="332" t="s">
        <v>204</v>
      </c>
      <c r="Q1147" s="1"/>
      <c r="R1147" s="1"/>
      <c r="U1147" s="197"/>
      <c r="V1147" s="197"/>
      <c r="W1147" s="197"/>
    </row>
    <row r="1148" spans="2:23" ht="111.95" hidden="1">
      <c r="B1148" s="48" t="s">
        <v>2158</v>
      </c>
      <c r="C1148" s="115"/>
      <c r="D1148" s="116" t="s">
        <v>2467</v>
      </c>
      <c r="E1148" s="171" t="s">
        <v>46</v>
      </c>
      <c r="J1148" s="119">
        <v>45898</v>
      </c>
      <c r="K1148" s="329">
        <v>3567626</v>
      </c>
      <c r="N1148" s="182" t="s">
        <v>2468</v>
      </c>
      <c r="O1148" s="163" t="s">
        <v>2469</v>
      </c>
      <c r="P1148" s="198" t="s">
        <v>49</v>
      </c>
    </row>
    <row r="1149" spans="2:23" ht="32.1" hidden="1">
      <c r="B1149" s="48" t="s">
        <v>2203</v>
      </c>
      <c r="C1149" s="115"/>
      <c r="D1149" s="116" t="s">
        <v>2470</v>
      </c>
      <c r="E1149" s="171"/>
      <c r="J1149" s="119"/>
      <c r="K1149" s="329">
        <v>3595391</v>
      </c>
      <c r="N1149" s="182" t="s">
        <v>2471</v>
      </c>
      <c r="O1149" s="163"/>
      <c r="P1149" s="198" t="s">
        <v>49</v>
      </c>
    </row>
    <row r="1150" spans="2:23" ht="303.95" hidden="1">
      <c r="B1150" s="48" t="s">
        <v>2137</v>
      </c>
      <c r="C1150" s="115"/>
      <c r="D1150" s="116" t="s">
        <v>2472</v>
      </c>
      <c r="E1150" s="171" t="s">
        <v>46</v>
      </c>
      <c r="J1150" s="119">
        <v>45905</v>
      </c>
      <c r="K1150" s="329" t="s">
        <v>2473</v>
      </c>
      <c r="N1150" s="182" t="s">
        <v>2474</v>
      </c>
      <c r="O1150" s="163"/>
      <c r="P1150" s="198" t="s">
        <v>49</v>
      </c>
    </row>
    <row r="1151" spans="2:23" ht="48" hidden="1">
      <c r="B1151" s="48" t="s">
        <v>2137</v>
      </c>
      <c r="C1151" s="115"/>
      <c r="D1151" s="116" t="s">
        <v>2475</v>
      </c>
      <c r="E1151" s="171" t="s">
        <v>46</v>
      </c>
      <c r="J1151" s="119">
        <v>45905</v>
      </c>
      <c r="K1151" s="329">
        <v>3681708</v>
      </c>
      <c r="N1151" s="182" t="s">
        <v>2476</v>
      </c>
      <c r="O1151" s="163"/>
      <c r="P1151" s="198" t="s">
        <v>49</v>
      </c>
    </row>
    <row r="1152" spans="2:23" ht="32.1" hidden="1">
      <c r="B1152" s="48" t="s">
        <v>2079</v>
      </c>
      <c r="C1152" s="115"/>
      <c r="D1152" s="116" t="s">
        <v>2477</v>
      </c>
      <c r="E1152" s="171" t="s">
        <v>46</v>
      </c>
      <c r="J1152" s="119">
        <v>45905</v>
      </c>
      <c r="K1152" s="329">
        <v>3694469</v>
      </c>
      <c r="N1152" s="182" t="s">
        <v>2478</v>
      </c>
      <c r="O1152" s="163"/>
      <c r="P1152" s="198" t="s">
        <v>49</v>
      </c>
    </row>
    <row r="1153" spans="2:23" ht="63.95" hidden="1">
      <c r="B1153" s="48" t="s">
        <v>2101</v>
      </c>
      <c r="C1153" s="115"/>
      <c r="D1153" s="116" t="s">
        <v>2479</v>
      </c>
      <c r="E1153" s="171" t="s">
        <v>46</v>
      </c>
      <c r="J1153" s="119">
        <v>45905</v>
      </c>
      <c r="K1153" s="329">
        <v>3694219</v>
      </c>
      <c r="N1153" s="182" t="s">
        <v>2480</v>
      </c>
      <c r="O1153" s="163"/>
      <c r="P1153" s="347" t="s">
        <v>49</v>
      </c>
    </row>
    <row r="1154" spans="2:23" ht="32.1" hidden="1">
      <c r="B1154" s="48" t="s">
        <v>2203</v>
      </c>
      <c r="C1154" s="115"/>
      <c r="D1154" s="116" t="s">
        <v>2481</v>
      </c>
      <c r="E1154" s="171" t="s">
        <v>46</v>
      </c>
      <c r="J1154" s="119">
        <v>45905</v>
      </c>
      <c r="K1154" s="329">
        <v>3694086</v>
      </c>
      <c r="N1154" s="182" t="s">
        <v>2482</v>
      </c>
      <c r="O1154" s="346"/>
      <c r="P1154" s="348"/>
    </row>
    <row r="1155" spans="2:23" ht="80.099999999999994" hidden="1">
      <c r="B1155" s="48" t="s">
        <v>2097</v>
      </c>
      <c r="C1155" s="115"/>
      <c r="D1155" s="116" t="s">
        <v>2483</v>
      </c>
      <c r="E1155" s="171" t="s">
        <v>46</v>
      </c>
      <c r="J1155" s="119">
        <v>45905</v>
      </c>
      <c r="K1155" s="361"/>
      <c r="N1155" s="182" t="s">
        <v>2484</v>
      </c>
      <c r="O1155" s="163"/>
      <c r="P1155" s="347" t="s">
        <v>49</v>
      </c>
    </row>
    <row r="1156" spans="2:23" ht="128.1" hidden="1">
      <c r="B1156" s="48" t="s">
        <v>2085</v>
      </c>
      <c r="C1156" s="115"/>
      <c r="D1156" s="116" t="s">
        <v>2485</v>
      </c>
      <c r="E1156" s="171" t="s">
        <v>46</v>
      </c>
      <c r="J1156" s="119">
        <v>45912</v>
      </c>
      <c r="K1156" s="359">
        <v>3712968</v>
      </c>
      <c r="N1156" s="182" t="s">
        <v>2486</v>
      </c>
      <c r="O1156" s="163"/>
      <c r="P1156" s="347" t="s">
        <v>49</v>
      </c>
    </row>
    <row r="1157" spans="2:23" ht="32.1" hidden="1">
      <c r="B1157" s="48" t="s">
        <v>2085</v>
      </c>
      <c r="C1157" s="115"/>
      <c r="D1157" s="116" t="s">
        <v>2487</v>
      </c>
      <c r="E1157" s="171" t="s">
        <v>46</v>
      </c>
      <c r="J1157" s="119">
        <v>45912</v>
      </c>
      <c r="K1157" s="359">
        <v>3718385</v>
      </c>
      <c r="N1157" s="182" t="s">
        <v>2488</v>
      </c>
      <c r="O1157" s="346"/>
      <c r="P1157" s="348" t="s">
        <v>49</v>
      </c>
    </row>
    <row r="1158" spans="2:23" ht="48" hidden="1">
      <c r="B1158" s="48" t="s">
        <v>2383</v>
      </c>
      <c r="C1158" s="115"/>
      <c r="D1158" s="116" t="s">
        <v>2489</v>
      </c>
      <c r="E1158" s="171" t="s">
        <v>46</v>
      </c>
      <c r="J1158" s="119">
        <v>45912</v>
      </c>
      <c r="K1158" s="358">
        <v>3726330</v>
      </c>
      <c r="N1158" s="182" t="s">
        <v>2490</v>
      </c>
      <c r="O1158" s="163"/>
      <c r="P1158" s="347" t="s">
        <v>49</v>
      </c>
    </row>
    <row r="1159" spans="2:23" ht="32.1" hidden="1">
      <c r="B1159" s="187" t="s">
        <v>2134</v>
      </c>
      <c r="C1159" s="188"/>
      <c r="D1159" s="189" t="s">
        <v>2491</v>
      </c>
      <c r="E1159" s="190" t="s">
        <v>46</v>
      </c>
      <c r="F1159" s="191"/>
      <c r="G1159" s="344"/>
      <c r="H1159" s="193"/>
      <c r="I1159" s="194"/>
      <c r="J1159" s="191">
        <v>45912</v>
      </c>
      <c r="K1159" s="344">
        <v>3712925</v>
      </c>
      <c r="L1159" s="193"/>
      <c r="M1159" s="194"/>
      <c r="N1159" s="191" t="s">
        <v>2492</v>
      </c>
      <c r="O1159" s="344" t="s">
        <v>2493</v>
      </c>
      <c r="P1159" s="193" t="s">
        <v>49</v>
      </c>
      <c r="Q1159" s="194"/>
      <c r="R1159" s="193"/>
      <c r="S1159" s="194"/>
      <c r="T1159" s="332"/>
      <c r="U1159" s="1"/>
    </row>
    <row r="1160" spans="2:23" ht="32.1" hidden="1">
      <c r="B1160" s="48" t="s">
        <v>2137</v>
      </c>
      <c r="C1160" s="115"/>
      <c r="D1160" s="116" t="s">
        <v>2494</v>
      </c>
      <c r="E1160" s="171" t="s">
        <v>46</v>
      </c>
      <c r="J1160" s="119">
        <v>45912</v>
      </c>
      <c r="K1160" s="329">
        <v>3718369</v>
      </c>
      <c r="N1160" s="182" t="s">
        <v>2495</v>
      </c>
      <c r="O1160" s="346"/>
      <c r="P1160" s="286" t="s">
        <v>49</v>
      </c>
    </row>
    <row r="1161" spans="2:23" ht="32.1" hidden="1">
      <c r="B1161" s="48" t="s">
        <v>2079</v>
      </c>
      <c r="C1161" s="115"/>
      <c r="D1161" s="116" t="s">
        <v>2496</v>
      </c>
      <c r="E1161" s="171" t="s">
        <v>46</v>
      </c>
      <c r="J1161" s="119">
        <v>45912</v>
      </c>
      <c r="K1161" s="329">
        <v>3708558</v>
      </c>
      <c r="N1161" s="182" t="s">
        <v>2497</v>
      </c>
      <c r="O1161" s="346"/>
      <c r="P1161" s="348" t="s">
        <v>49</v>
      </c>
    </row>
    <row r="1162" spans="2:23" ht="80.099999999999994" hidden="1">
      <c r="B1162" s="48" t="s">
        <v>2345</v>
      </c>
      <c r="C1162" s="115"/>
      <c r="D1162" s="116" t="s">
        <v>2498</v>
      </c>
      <c r="E1162" s="171" t="s">
        <v>46</v>
      </c>
      <c r="J1162" s="119">
        <v>45912</v>
      </c>
      <c r="K1162" s="361"/>
      <c r="N1162" s="182" t="s">
        <v>2499</v>
      </c>
      <c r="O1162" s="346"/>
      <c r="P1162" s="286" t="s">
        <v>49</v>
      </c>
    </row>
    <row r="1163" spans="2:23" ht="43.5" hidden="1">
      <c r="B1163" s="48" t="s">
        <v>2085</v>
      </c>
      <c r="C1163" s="115"/>
      <c r="D1163" s="349" t="s">
        <v>2500</v>
      </c>
      <c r="E1163" s="171" t="s">
        <v>46</v>
      </c>
      <c r="J1163" s="119">
        <v>45919</v>
      </c>
      <c r="K1163" s="366">
        <v>3745146</v>
      </c>
      <c r="N1163" s="350" t="s">
        <v>2501</v>
      </c>
      <c r="O1163" s="346"/>
      <c r="P1163" s="286" t="s">
        <v>49</v>
      </c>
    </row>
    <row r="1164" spans="2:23" ht="128.1" hidden="1">
      <c r="B1164" s="48" t="s">
        <v>2085</v>
      </c>
      <c r="C1164" s="115"/>
      <c r="D1164" s="116" t="s">
        <v>2502</v>
      </c>
      <c r="E1164" s="171" t="s">
        <v>46</v>
      </c>
      <c r="J1164" s="119">
        <v>45919</v>
      </c>
      <c r="K1164" s="359" t="s">
        <v>2503</v>
      </c>
      <c r="N1164" s="182" t="s">
        <v>2504</v>
      </c>
      <c r="O1164" s="163"/>
      <c r="P1164" s="347" t="s">
        <v>49</v>
      </c>
    </row>
    <row r="1165" spans="2:23" ht="80.099999999999994" hidden="1">
      <c r="B1165" s="48" t="s">
        <v>2231</v>
      </c>
      <c r="C1165" s="115"/>
      <c r="D1165" s="116" t="s">
        <v>2505</v>
      </c>
      <c r="E1165" s="171" t="s">
        <v>46</v>
      </c>
      <c r="J1165" s="119">
        <v>45919</v>
      </c>
      <c r="K1165" s="358"/>
      <c r="N1165" s="182" t="s">
        <v>2506</v>
      </c>
      <c r="O1165" s="163"/>
      <c r="P1165" s="347" t="s">
        <v>49</v>
      </c>
    </row>
    <row r="1166" spans="2:23" s="186" customFormat="1" ht="124.5" hidden="1">
      <c r="B1166" s="187" t="s">
        <v>2107</v>
      </c>
      <c r="C1166" s="188"/>
      <c r="D1166" s="189" t="s">
        <v>2507</v>
      </c>
      <c r="E1166" s="190" t="s">
        <v>46</v>
      </c>
      <c r="F1166" s="1"/>
      <c r="G1166" s="1"/>
      <c r="H1166" s="1"/>
      <c r="I1166" s="1"/>
      <c r="J1166" s="191">
        <v>45919</v>
      </c>
      <c r="K1166" s="344">
        <v>3553561</v>
      </c>
      <c r="L1166" s="1"/>
      <c r="M1166" s="1"/>
      <c r="N1166" s="354" t="s">
        <v>2508</v>
      </c>
      <c r="O1166" s="287" t="s">
        <v>2509</v>
      </c>
      <c r="P1166" s="352" t="s">
        <v>49</v>
      </c>
      <c r="Q1166" s="1"/>
      <c r="R1166" s="1"/>
      <c r="U1166" s="197"/>
      <c r="V1166" s="197"/>
      <c r="W1166" s="197"/>
    </row>
    <row r="1167" spans="2:23" ht="32.1" hidden="1">
      <c r="B1167" s="48" t="s">
        <v>2127</v>
      </c>
      <c r="C1167" s="115"/>
      <c r="D1167" s="116" t="s">
        <v>2510</v>
      </c>
      <c r="E1167" s="171" t="s">
        <v>46</v>
      </c>
      <c r="J1167" s="119">
        <v>45919</v>
      </c>
      <c r="K1167" s="329">
        <v>3740579</v>
      </c>
      <c r="N1167" s="182" t="s">
        <v>2511</v>
      </c>
      <c r="O1167" s="163"/>
      <c r="P1167" s="347" t="s">
        <v>49</v>
      </c>
    </row>
    <row r="1168" spans="2:23" ht="80.099999999999994" hidden="1">
      <c r="B1168" s="48" t="s">
        <v>2127</v>
      </c>
      <c r="C1168" s="115"/>
      <c r="D1168" s="116" t="s">
        <v>2512</v>
      </c>
      <c r="E1168" s="171" t="s">
        <v>46</v>
      </c>
      <c r="J1168" s="119">
        <v>45919</v>
      </c>
      <c r="K1168" s="329">
        <v>3741175</v>
      </c>
      <c r="N1168" s="182" t="s">
        <v>2513</v>
      </c>
      <c r="O1168" s="163"/>
      <c r="P1168" s="347" t="s">
        <v>49</v>
      </c>
    </row>
    <row r="1169" spans="2:23" ht="48" hidden="1">
      <c r="B1169" s="48" t="s">
        <v>2231</v>
      </c>
      <c r="C1169" s="115"/>
      <c r="D1169" s="116" t="s">
        <v>2514</v>
      </c>
      <c r="E1169" s="171" t="s">
        <v>46</v>
      </c>
      <c r="J1169" s="119">
        <v>45919</v>
      </c>
      <c r="K1169" s="329">
        <v>3759093</v>
      </c>
      <c r="N1169" s="182" t="s">
        <v>2515</v>
      </c>
      <c r="O1169" s="163"/>
      <c r="P1169" s="347" t="s">
        <v>49</v>
      </c>
    </row>
    <row r="1170" spans="2:23" s="186" customFormat="1" ht="224.1" hidden="1">
      <c r="B1170" s="187" t="s">
        <v>2072</v>
      </c>
      <c r="C1170" s="188"/>
      <c r="D1170" s="189" t="s">
        <v>2516</v>
      </c>
      <c r="E1170" s="190" t="s">
        <v>46</v>
      </c>
      <c r="F1170" s="1"/>
      <c r="G1170" s="1"/>
      <c r="H1170" s="1"/>
      <c r="I1170" s="1"/>
      <c r="J1170" s="191">
        <v>45919</v>
      </c>
      <c r="K1170" s="344">
        <v>3749996</v>
      </c>
      <c r="L1170" s="1"/>
      <c r="M1170" s="1"/>
      <c r="N1170" s="193" t="s">
        <v>2517</v>
      </c>
      <c r="O1170" s="287" t="s">
        <v>2518</v>
      </c>
      <c r="P1170" s="352" t="s">
        <v>49</v>
      </c>
      <c r="Q1170" s="1"/>
      <c r="R1170" s="1"/>
      <c r="U1170" s="197"/>
      <c r="V1170" s="197"/>
      <c r="W1170" s="197"/>
    </row>
    <row r="1171" spans="2:23" ht="255.95" hidden="1">
      <c r="B1171" s="48" t="s">
        <v>2079</v>
      </c>
      <c r="C1171" s="115"/>
      <c r="D1171" s="116" t="s">
        <v>2313</v>
      </c>
      <c r="E1171" s="171" t="s">
        <v>46</v>
      </c>
      <c r="J1171" s="119">
        <v>45919</v>
      </c>
      <c r="K1171" s="329">
        <v>3396033</v>
      </c>
      <c r="N1171" s="182" t="s">
        <v>2519</v>
      </c>
      <c r="O1171" s="163"/>
      <c r="P1171" s="347" t="s">
        <v>49</v>
      </c>
    </row>
    <row r="1172" spans="2:23" ht="63.95" hidden="1">
      <c r="B1172" s="48" t="s">
        <v>2062</v>
      </c>
      <c r="C1172" s="115"/>
      <c r="D1172" s="116" t="s">
        <v>2520</v>
      </c>
      <c r="E1172" s="171" t="s">
        <v>46</v>
      </c>
      <c r="J1172" s="119">
        <v>45919</v>
      </c>
      <c r="K1172" s="361">
        <v>3754412</v>
      </c>
      <c r="N1172" s="182" t="s">
        <v>2521</v>
      </c>
      <c r="O1172" s="163"/>
      <c r="P1172" s="347" t="s">
        <v>49</v>
      </c>
    </row>
    <row r="1173" spans="2:23" ht="63.95" hidden="1">
      <c r="B1173" s="48" t="s">
        <v>2085</v>
      </c>
      <c r="C1173" s="115"/>
      <c r="D1173" s="116" t="s">
        <v>2522</v>
      </c>
      <c r="E1173" s="171" t="s">
        <v>46</v>
      </c>
      <c r="J1173" s="119">
        <v>45926</v>
      </c>
      <c r="K1173" s="359"/>
      <c r="N1173" s="182" t="s">
        <v>2523</v>
      </c>
      <c r="O1173" s="163"/>
      <c r="P1173" s="198" t="s">
        <v>49</v>
      </c>
    </row>
    <row r="1174" spans="2:23" ht="80.099999999999994" hidden="1">
      <c r="B1174" s="48" t="s">
        <v>2085</v>
      </c>
      <c r="C1174" s="115"/>
      <c r="D1174" s="116" t="s">
        <v>2524</v>
      </c>
      <c r="E1174" s="171" t="s">
        <v>46</v>
      </c>
      <c r="J1174" s="119">
        <v>45926</v>
      </c>
      <c r="K1174" s="359">
        <v>3777143</v>
      </c>
      <c r="N1174" s="182" t="s">
        <v>2525</v>
      </c>
      <c r="O1174" s="163"/>
      <c r="P1174" s="198" t="s">
        <v>49</v>
      </c>
    </row>
    <row r="1175" spans="2:23" ht="144" hidden="1">
      <c r="B1175" s="48" t="s">
        <v>2065</v>
      </c>
      <c r="C1175" s="115"/>
      <c r="D1175" s="116" t="s">
        <v>2526</v>
      </c>
      <c r="E1175" s="171" t="s">
        <v>46</v>
      </c>
      <c r="J1175" s="119">
        <v>45926</v>
      </c>
      <c r="K1175" s="358">
        <v>3771863</v>
      </c>
      <c r="N1175" s="182" t="s">
        <v>2527</v>
      </c>
      <c r="O1175" s="163"/>
      <c r="P1175" s="198" t="s">
        <v>49</v>
      </c>
    </row>
    <row r="1176" spans="2:23" ht="96" hidden="1">
      <c r="B1176" s="48" t="s">
        <v>2300</v>
      </c>
      <c r="C1176" s="115"/>
      <c r="D1176" s="116" t="s">
        <v>2528</v>
      </c>
      <c r="E1176" s="171" t="s">
        <v>46</v>
      </c>
      <c r="J1176" s="119">
        <v>45926</v>
      </c>
      <c r="K1176" s="329">
        <v>3767102</v>
      </c>
      <c r="N1176" s="182" t="s">
        <v>2529</v>
      </c>
      <c r="O1176" s="163"/>
      <c r="P1176" s="198" t="s">
        <v>49</v>
      </c>
    </row>
    <row r="1177" spans="2:23" ht="32.1" hidden="1">
      <c r="B1177" s="48" t="s">
        <v>2137</v>
      </c>
      <c r="C1177" s="115"/>
      <c r="D1177" s="116" t="s">
        <v>2530</v>
      </c>
      <c r="E1177" s="171" t="s">
        <v>46</v>
      </c>
      <c r="J1177" s="119">
        <v>45926</v>
      </c>
      <c r="K1177" s="329">
        <v>3781358</v>
      </c>
      <c r="N1177" s="182" t="s">
        <v>2531</v>
      </c>
      <c r="O1177" s="163"/>
      <c r="P1177" s="198" t="s">
        <v>49</v>
      </c>
    </row>
    <row r="1178" spans="2:23" ht="63.95" hidden="1">
      <c r="B1178" s="48" t="s">
        <v>2062</v>
      </c>
      <c r="C1178" s="115"/>
      <c r="D1178" s="116" t="s">
        <v>2532</v>
      </c>
      <c r="E1178" s="171" t="s">
        <v>46</v>
      </c>
      <c r="J1178" s="119">
        <v>45926</v>
      </c>
      <c r="K1178" s="329">
        <v>3745093</v>
      </c>
      <c r="N1178" s="182" t="s">
        <v>2533</v>
      </c>
      <c r="O1178" s="163"/>
      <c r="P1178" s="198" t="s">
        <v>49</v>
      </c>
    </row>
    <row r="1179" spans="2:23" ht="159.94999999999999" hidden="1">
      <c r="B1179" s="48" t="s">
        <v>2062</v>
      </c>
      <c r="C1179" s="115"/>
      <c r="D1179" s="116" t="s">
        <v>2534</v>
      </c>
      <c r="E1179" s="171" t="s">
        <v>46</v>
      </c>
      <c r="J1179" s="119">
        <v>45926</v>
      </c>
      <c r="K1179" s="329"/>
      <c r="N1179" s="182" t="s">
        <v>2535</v>
      </c>
      <c r="O1179" s="163"/>
      <c r="P1179" s="198" t="s">
        <v>49</v>
      </c>
    </row>
    <row r="1180" spans="2:23" ht="63.95" hidden="1">
      <c r="B1180" s="48" t="s">
        <v>2062</v>
      </c>
      <c r="C1180" s="115"/>
      <c r="D1180" s="116" t="s">
        <v>2536</v>
      </c>
      <c r="E1180" s="171" t="s">
        <v>46</v>
      </c>
      <c r="J1180" s="119">
        <v>45926</v>
      </c>
      <c r="K1180" s="329"/>
      <c r="N1180" s="182" t="s">
        <v>2537</v>
      </c>
      <c r="O1180" s="163" t="s">
        <v>2538</v>
      </c>
      <c r="P1180" s="198" t="s">
        <v>49</v>
      </c>
    </row>
    <row r="1181" spans="2:23" ht="111.95" hidden="1">
      <c r="B1181" s="48" t="s">
        <v>2158</v>
      </c>
      <c r="C1181" s="115"/>
      <c r="D1181" s="116" t="s">
        <v>2467</v>
      </c>
      <c r="E1181" s="171" t="s">
        <v>46</v>
      </c>
      <c r="J1181" s="119">
        <v>45926</v>
      </c>
      <c r="K1181" s="329">
        <v>3567626</v>
      </c>
      <c r="N1181" s="182" t="s">
        <v>2468</v>
      </c>
      <c r="O1181" s="163"/>
      <c r="P1181" s="198" t="s">
        <v>49</v>
      </c>
    </row>
    <row r="1182" spans="2:23" s="186" customFormat="1" ht="368.1" hidden="1">
      <c r="B1182" s="187" t="s">
        <v>2158</v>
      </c>
      <c r="C1182" s="188"/>
      <c r="D1182" s="189" t="s">
        <v>2539</v>
      </c>
      <c r="E1182" s="190" t="s">
        <v>46</v>
      </c>
      <c r="F1182" s="1"/>
      <c r="G1182" s="1"/>
      <c r="H1182" s="1"/>
      <c r="I1182" s="1"/>
      <c r="J1182" s="191">
        <v>45926</v>
      </c>
      <c r="K1182" s="344" t="s">
        <v>2540</v>
      </c>
      <c r="L1182" s="1"/>
      <c r="M1182" s="1"/>
      <c r="N1182" s="193" t="s">
        <v>2541</v>
      </c>
      <c r="O1182" s="287" t="s">
        <v>2542</v>
      </c>
      <c r="P1182" s="332" t="s">
        <v>49</v>
      </c>
      <c r="Q1182" s="1"/>
      <c r="R1182" s="1"/>
      <c r="U1182" s="197"/>
      <c r="V1182" s="197"/>
      <c r="W1182" s="197"/>
    </row>
    <row r="1183" spans="2:23" ht="111.95" hidden="1">
      <c r="B1183" s="48" t="s">
        <v>2107</v>
      </c>
      <c r="C1183" s="115"/>
      <c r="D1183" s="116" t="s">
        <v>2543</v>
      </c>
      <c r="E1183" s="171" t="s">
        <v>46</v>
      </c>
      <c r="J1183" s="119">
        <v>45933</v>
      </c>
      <c r="K1183" s="329">
        <v>3157758</v>
      </c>
      <c r="N1183" s="182" t="s">
        <v>2544</v>
      </c>
      <c r="O1183" s="316" t="s">
        <v>2545</v>
      </c>
      <c r="P1183" s="198" t="s">
        <v>49</v>
      </c>
    </row>
    <row r="1184" spans="2:23" ht="63.95" hidden="1">
      <c r="B1184" s="48" t="s">
        <v>2109</v>
      </c>
      <c r="C1184" s="115"/>
      <c r="D1184" s="116" t="s">
        <v>2546</v>
      </c>
      <c r="E1184" s="171" t="s">
        <v>46</v>
      </c>
      <c r="J1184" s="119">
        <v>45933</v>
      </c>
      <c r="K1184" s="329">
        <v>3814828</v>
      </c>
      <c r="N1184" s="182" t="s">
        <v>2547</v>
      </c>
      <c r="O1184" s="163"/>
      <c r="P1184" s="198" t="s">
        <v>49</v>
      </c>
    </row>
    <row r="1185" spans="2:16" ht="32.1" hidden="1">
      <c r="B1185" s="48" t="s">
        <v>2065</v>
      </c>
      <c r="C1185" s="115"/>
      <c r="D1185" s="116" t="s">
        <v>2548</v>
      </c>
      <c r="E1185" s="171" t="s">
        <v>46</v>
      </c>
      <c r="J1185" s="119">
        <v>45933</v>
      </c>
      <c r="K1185" s="329">
        <v>3815226</v>
      </c>
      <c r="N1185" s="182" t="s">
        <v>2549</v>
      </c>
      <c r="O1185" s="163"/>
      <c r="P1185" s="198" t="s">
        <v>49</v>
      </c>
    </row>
    <row r="1186" spans="2:16" ht="96" hidden="1">
      <c r="B1186" s="48" t="s">
        <v>2304</v>
      </c>
      <c r="C1186" s="115"/>
      <c r="D1186" s="116" t="s">
        <v>2550</v>
      </c>
      <c r="E1186" s="171" t="s">
        <v>46</v>
      </c>
      <c r="J1186" s="119">
        <v>45933</v>
      </c>
      <c r="K1186" s="329">
        <v>3798968</v>
      </c>
      <c r="N1186" s="182" t="s">
        <v>2551</v>
      </c>
      <c r="O1186" s="316" t="s">
        <v>2552</v>
      </c>
      <c r="P1186" s="198" t="s">
        <v>49</v>
      </c>
    </row>
    <row r="1187" spans="2:16" ht="80.099999999999994" hidden="1">
      <c r="B1187" s="48" t="s">
        <v>2097</v>
      </c>
      <c r="C1187" s="115"/>
      <c r="D1187" s="116" t="s">
        <v>2553</v>
      </c>
      <c r="E1187" s="171" t="s">
        <v>46</v>
      </c>
      <c r="J1187" s="119">
        <v>45933</v>
      </c>
      <c r="K1187" s="329">
        <v>3819044</v>
      </c>
      <c r="N1187" s="182" t="s">
        <v>2554</v>
      </c>
      <c r="O1187" s="163"/>
      <c r="P1187" s="198" t="s">
        <v>49</v>
      </c>
    </row>
    <row r="1188" spans="2:16" ht="96" hidden="1">
      <c r="B1188" s="48" t="s">
        <v>2072</v>
      </c>
      <c r="C1188" s="115"/>
      <c r="D1188" s="116" t="s">
        <v>2555</v>
      </c>
      <c r="E1188" s="171" t="s">
        <v>46</v>
      </c>
      <c r="J1188" s="119">
        <v>45933</v>
      </c>
      <c r="K1188" s="329" t="s">
        <v>2556</v>
      </c>
      <c r="N1188" s="182" t="s">
        <v>2557</v>
      </c>
      <c r="O1188" s="163"/>
      <c r="P1188" s="198" t="s">
        <v>49</v>
      </c>
    </row>
    <row r="1189" spans="2:16" ht="191.45" hidden="1">
      <c r="B1189" s="48" t="s">
        <v>2134</v>
      </c>
      <c r="C1189" s="115"/>
      <c r="D1189" s="116" t="s">
        <v>2364</v>
      </c>
      <c r="E1189" s="171" t="s">
        <v>46</v>
      </c>
      <c r="J1189" s="119">
        <v>45933</v>
      </c>
      <c r="K1189" s="329">
        <v>3464134</v>
      </c>
      <c r="N1189" s="182" t="s">
        <v>2558</v>
      </c>
      <c r="O1189" s="163"/>
      <c r="P1189" s="198" t="s">
        <v>49</v>
      </c>
    </row>
    <row r="1190" spans="2:16" ht="80.099999999999994" hidden="1">
      <c r="B1190" s="48" t="s">
        <v>2134</v>
      </c>
      <c r="C1190" s="115"/>
      <c r="D1190" s="116" t="s">
        <v>2559</v>
      </c>
      <c r="E1190" s="171" t="s">
        <v>46</v>
      </c>
      <c r="J1190" s="119">
        <v>45933</v>
      </c>
      <c r="K1190" s="329">
        <v>3804066</v>
      </c>
      <c r="N1190" s="182" t="s">
        <v>2560</v>
      </c>
      <c r="O1190" s="163"/>
      <c r="P1190" s="198" t="s">
        <v>49</v>
      </c>
    </row>
    <row r="1191" spans="2:16" ht="32.1" hidden="1">
      <c r="B1191" s="48" t="s">
        <v>2137</v>
      </c>
      <c r="C1191" s="115"/>
      <c r="D1191" s="116" t="s">
        <v>2530</v>
      </c>
      <c r="E1191" s="171" t="s">
        <v>46</v>
      </c>
      <c r="J1191" s="119">
        <v>45933</v>
      </c>
      <c r="K1191" s="329">
        <v>3781358</v>
      </c>
      <c r="N1191" s="182" t="s">
        <v>2531</v>
      </c>
      <c r="O1191" s="163"/>
      <c r="P1191" s="198" t="s">
        <v>49</v>
      </c>
    </row>
    <row r="1192" spans="2:16" ht="48" hidden="1">
      <c r="B1192" s="48" t="s">
        <v>2137</v>
      </c>
      <c r="C1192" s="115"/>
      <c r="D1192" s="116" t="s">
        <v>2561</v>
      </c>
      <c r="E1192" s="171" t="s">
        <v>46</v>
      </c>
      <c r="J1192" s="119">
        <v>45933</v>
      </c>
      <c r="K1192" s="329">
        <v>3785799</v>
      </c>
      <c r="N1192" s="182" t="s">
        <v>2562</v>
      </c>
      <c r="O1192" s="163"/>
      <c r="P1192" s="198" t="s">
        <v>49</v>
      </c>
    </row>
    <row r="1193" spans="2:16" ht="32.1" hidden="1">
      <c r="B1193" s="48" t="s">
        <v>2137</v>
      </c>
      <c r="C1193" s="115"/>
      <c r="D1193" s="116" t="s">
        <v>2563</v>
      </c>
      <c r="E1193" s="171" t="s">
        <v>46</v>
      </c>
      <c r="J1193" s="119">
        <v>45933</v>
      </c>
      <c r="K1193" s="329">
        <v>3809584</v>
      </c>
      <c r="N1193" s="182" t="s">
        <v>2564</v>
      </c>
      <c r="O1193" s="163"/>
      <c r="P1193" s="198" t="s">
        <v>49</v>
      </c>
    </row>
    <row r="1194" spans="2:16" ht="144" hidden="1">
      <c r="B1194" s="48" t="s">
        <v>2062</v>
      </c>
      <c r="C1194" s="115"/>
      <c r="D1194" s="116" t="s">
        <v>2565</v>
      </c>
      <c r="E1194" s="171" t="s">
        <v>46</v>
      </c>
      <c r="J1194" s="119">
        <v>45933</v>
      </c>
      <c r="K1194" s="361">
        <v>3805329</v>
      </c>
      <c r="N1194" s="182" t="s">
        <v>2566</v>
      </c>
      <c r="O1194" s="163"/>
      <c r="P1194" s="198" t="s">
        <v>49</v>
      </c>
    </row>
    <row r="1195" spans="2:16" ht="87" hidden="1">
      <c r="B1195" s="48" t="s">
        <v>2085</v>
      </c>
      <c r="C1195" s="115"/>
      <c r="D1195" s="349" t="s">
        <v>2567</v>
      </c>
      <c r="E1195" s="171" t="s">
        <v>46</v>
      </c>
      <c r="J1195" s="119">
        <v>45939</v>
      </c>
      <c r="K1195" s="359">
        <v>3849677</v>
      </c>
      <c r="N1195" s="182" t="s">
        <v>2568</v>
      </c>
      <c r="O1195" s="163" t="s">
        <v>2569</v>
      </c>
      <c r="P1195" s="198" t="s">
        <v>49</v>
      </c>
    </row>
    <row r="1196" spans="2:16" ht="32.1" hidden="1">
      <c r="B1196" s="48" t="s">
        <v>2107</v>
      </c>
      <c r="C1196" s="115"/>
      <c r="D1196" s="116" t="s">
        <v>2570</v>
      </c>
      <c r="E1196" s="171" t="s">
        <v>46</v>
      </c>
      <c r="J1196" s="119">
        <v>45940</v>
      </c>
      <c r="K1196" s="358">
        <v>3854958</v>
      </c>
      <c r="N1196" s="182" t="s">
        <v>2571</v>
      </c>
      <c r="O1196" s="163"/>
      <c r="P1196" s="198" t="s">
        <v>49</v>
      </c>
    </row>
    <row r="1197" spans="2:16" ht="48" hidden="1">
      <c r="B1197" s="48" t="s">
        <v>2107</v>
      </c>
      <c r="C1197" s="115"/>
      <c r="D1197" s="116" t="s">
        <v>2572</v>
      </c>
      <c r="E1197" s="171" t="s">
        <v>46</v>
      </c>
      <c r="J1197" s="119">
        <v>45940</v>
      </c>
      <c r="K1197" s="329">
        <v>3854973</v>
      </c>
      <c r="N1197" s="182" t="s">
        <v>2573</v>
      </c>
      <c r="O1197" s="163"/>
      <c r="P1197" s="198" t="s">
        <v>49</v>
      </c>
    </row>
    <row r="1198" spans="2:16" ht="32.1" hidden="1">
      <c r="B1198" s="48" t="s">
        <v>2065</v>
      </c>
      <c r="C1198" s="115"/>
      <c r="D1198" s="116" t="s">
        <v>2574</v>
      </c>
      <c r="E1198" s="171" t="s">
        <v>46</v>
      </c>
      <c r="J1198" s="119">
        <v>45940</v>
      </c>
      <c r="K1198" s="329">
        <v>3854757</v>
      </c>
      <c r="N1198" s="182" t="s">
        <v>2575</v>
      </c>
      <c r="O1198" s="163"/>
      <c r="P1198" s="198" t="s">
        <v>49</v>
      </c>
    </row>
    <row r="1199" spans="2:16" ht="32.1" hidden="1">
      <c r="B1199" s="48" t="s">
        <v>2130</v>
      </c>
      <c r="C1199" s="115"/>
      <c r="D1199" s="116" t="s">
        <v>2576</v>
      </c>
      <c r="E1199" s="171" t="s">
        <v>46</v>
      </c>
      <c r="J1199" s="119">
        <v>45937</v>
      </c>
      <c r="K1199" s="329">
        <v>3840395</v>
      </c>
      <c r="N1199" s="182" t="s">
        <v>2577</v>
      </c>
      <c r="O1199" s="163"/>
      <c r="P1199" s="198" t="s">
        <v>49</v>
      </c>
    </row>
    <row r="1200" spans="2:16" ht="80.099999999999994" hidden="1">
      <c r="B1200" s="48" t="s">
        <v>2130</v>
      </c>
      <c r="C1200" s="115"/>
      <c r="D1200" s="116" t="s">
        <v>2578</v>
      </c>
      <c r="E1200" s="171" t="s">
        <v>46</v>
      </c>
      <c r="J1200" s="119">
        <v>45937</v>
      </c>
      <c r="K1200" s="329">
        <v>3840417</v>
      </c>
      <c r="N1200" s="182" t="s">
        <v>2579</v>
      </c>
      <c r="O1200" s="163" t="s">
        <v>2569</v>
      </c>
      <c r="P1200" s="198" t="s">
        <v>49</v>
      </c>
    </row>
    <row r="1201" spans="2:23" ht="32.1" hidden="1">
      <c r="B1201" s="48" t="s">
        <v>2093</v>
      </c>
      <c r="C1201" s="115"/>
      <c r="D1201" s="116" t="s">
        <v>2580</v>
      </c>
      <c r="E1201" s="171" t="s">
        <v>46</v>
      </c>
      <c r="J1201" s="119">
        <v>45932</v>
      </c>
      <c r="K1201" s="329">
        <v>3814187</v>
      </c>
      <c r="N1201" s="182" t="s">
        <v>2581</v>
      </c>
      <c r="O1201" s="163"/>
      <c r="P1201" s="198" t="s">
        <v>49</v>
      </c>
    </row>
    <row r="1202" spans="2:23" ht="63.95" hidden="1">
      <c r="B1202" s="48" t="s">
        <v>2137</v>
      </c>
      <c r="C1202" s="115"/>
      <c r="D1202" s="116" t="s">
        <v>2582</v>
      </c>
      <c r="E1202" s="171" t="s">
        <v>46</v>
      </c>
      <c r="J1202" s="119">
        <v>45938</v>
      </c>
      <c r="K1202" s="329">
        <v>3844438</v>
      </c>
      <c r="N1202" s="182" t="s">
        <v>2583</v>
      </c>
      <c r="O1202" s="163" t="s">
        <v>2584</v>
      </c>
      <c r="P1202" s="198" t="s">
        <v>49</v>
      </c>
    </row>
    <row r="1203" spans="2:23" ht="57.95" hidden="1">
      <c r="B1203" s="48" t="s">
        <v>2107</v>
      </c>
      <c r="C1203" s="115"/>
      <c r="D1203" s="349" t="s">
        <v>2585</v>
      </c>
      <c r="E1203" s="171" t="s">
        <v>46</v>
      </c>
      <c r="J1203" s="119">
        <v>45939</v>
      </c>
      <c r="K1203" s="329"/>
      <c r="N1203" s="182" t="s">
        <v>2586</v>
      </c>
      <c r="O1203" s="163"/>
      <c r="P1203" s="198" t="s">
        <v>49</v>
      </c>
    </row>
    <row r="1204" spans="2:23" ht="32.1" hidden="1">
      <c r="B1204" s="48" t="s">
        <v>2088</v>
      </c>
      <c r="C1204" s="115"/>
      <c r="D1204" s="116" t="s">
        <v>2587</v>
      </c>
      <c r="E1204" s="171" t="s">
        <v>46</v>
      </c>
      <c r="J1204" s="119">
        <v>45939</v>
      </c>
      <c r="K1204" s="329"/>
      <c r="N1204" s="182" t="s">
        <v>2588</v>
      </c>
      <c r="O1204" s="163" t="s">
        <v>2569</v>
      </c>
      <c r="P1204" s="198" t="s">
        <v>49</v>
      </c>
    </row>
    <row r="1205" spans="2:23" s="186" customFormat="1" ht="96" hidden="1">
      <c r="B1205" s="187" t="s">
        <v>2411</v>
      </c>
      <c r="C1205" s="188"/>
      <c r="D1205" s="189" t="s">
        <v>2589</v>
      </c>
      <c r="E1205" s="190" t="s">
        <v>46</v>
      </c>
      <c r="F1205" s="1"/>
      <c r="G1205" s="1"/>
      <c r="H1205" s="1"/>
      <c r="I1205" s="1"/>
      <c r="J1205" s="191">
        <v>45947</v>
      </c>
      <c r="K1205" s="344">
        <v>3870444</v>
      </c>
      <c r="L1205" s="1"/>
      <c r="M1205" s="1"/>
      <c r="N1205" s="193" t="s">
        <v>2590</v>
      </c>
      <c r="O1205" s="194" t="s">
        <v>2591</v>
      </c>
      <c r="P1205" s="332" t="s">
        <v>204</v>
      </c>
      <c r="Q1205" s="1"/>
      <c r="R1205" s="1"/>
      <c r="U1205" s="197"/>
      <c r="V1205" s="197"/>
      <c r="W1205" s="197"/>
    </row>
    <row r="1206" spans="2:23" ht="319.5" hidden="1">
      <c r="B1206" s="48" t="s">
        <v>2411</v>
      </c>
      <c r="C1206" s="115"/>
      <c r="D1206" s="116" t="s">
        <v>2592</v>
      </c>
      <c r="E1206" s="171" t="s">
        <v>46</v>
      </c>
      <c r="J1206" s="119">
        <v>45947</v>
      </c>
      <c r="K1206" s="361">
        <v>3870466</v>
      </c>
      <c r="N1206" s="182" t="s">
        <v>2593</v>
      </c>
      <c r="O1206" s="163"/>
      <c r="P1206" s="198" t="s">
        <v>204</v>
      </c>
    </row>
    <row r="1207" spans="2:23" ht="32.1" hidden="1">
      <c r="B1207" s="48" t="s">
        <v>2085</v>
      </c>
      <c r="C1207" s="115"/>
      <c r="D1207" s="116" t="s">
        <v>2594</v>
      </c>
      <c r="E1207" s="171" t="s">
        <v>46</v>
      </c>
      <c r="J1207" s="119">
        <v>45947</v>
      </c>
      <c r="K1207" s="359">
        <v>3885588</v>
      </c>
      <c r="N1207" s="182" t="s">
        <v>2595</v>
      </c>
      <c r="O1207" s="163" t="s">
        <v>2596</v>
      </c>
      <c r="P1207" s="198" t="s">
        <v>49</v>
      </c>
    </row>
    <row r="1208" spans="2:23" ht="32.1" hidden="1">
      <c r="B1208" s="48" t="s">
        <v>2383</v>
      </c>
      <c r="C1208" s="115"/>
      <c r="D1208" s="116" t="s">
        <v>2597</v>
      </c>
      <c r="E1208" s="171" t="s">
        <v>46</v>
      </c>
      <c r="J1208" s="119">
        <v>45947</v>
      </c>
      <c r="K1208" s="358">
        <v>3884949</v>
      </c>
      <c r="N1208" s="182" t="s">
        <v>2598</v>
      </c>
      <c r="O1208" s="163"/>
      <c r="P1208" s="198" t="s">
        <v>49</v>
      </c>
    </row>
    <row r="1209" spans="2:23" ht="63.95" hidden="1">
      <c r="B1209" s="48" t="s">
        <v>2107</v>
      </c>
      <c r="C1209" s="115"/>
      <c r="D1209" s="116" t="s">
        <v>2599</v>
      </c>
      <c r="E1209" s="171" t="s">
        <v>46</v>
      </c>
      <c r="J1209" s="119">
        <v>45947</v>
      </c>
      <c r="K1209" s="329">
        <v>3885024</v>
      </c>
      <c r="N1209" s="182" t="s">
        <v>2600</v>
      </c>
      <c r="O1209" s="163"/>
      <c r="P1209" s="198" t="s">
        <v>49</v>
      </c>
    </row>
    <row r="1210" spans="2:23" ht="32.1" hidden="1">
      <c r="B1210" s="48" t="s">
        <v>2300</v>
      </c>
      <c r="C1210" s="115"/>
      <c r="D1210" s="116" t="s">
        <v>2601</v>
      </c>
      <c r="E1210" s="171" t="s">
        <v>46</v>
      </c>
      <c r="J1210" s="119">
        <v>45947</v>
      </c>
      <c r="K1210" s="329">
        <v>3870120</v>
      </c>
      <c r="N1210" s="182" t="s">
        <v>2602</v>
      </c>
      <c r="O1210" s="163"/>
      <c r="P1210" s="198" t="s">
        <v>49</v>
      </c>
    </row>
    <row r="1211" spans="2:23" ht="32.1" hidden="1">
      <c r="B1211" s="48" t="s">
        <v>2300</v>
      </c>
      <c r="C1211" s="115"/>
      <c r="D1211" s="116" t="s">
        <v>2603</v>
      </c>
      <c r="E1211" s="171" t="s">
        <v>46</v>
      </c>
      <c r="J1211" s="119">
        <v>45947</v>
      </c>
      <c r="K1211" s="329">
        <v>3870159</v>
      </c>
      <c r="N1211" s="182" t="s">
        <v>2602</v>
      </c>
      <c r="O1211" s="163" t="s">
        <v>2584</v>
      </c>
      <c r="P1211" s="198" t="s">
        <v>49</v>
      </c>
    </row>
    <row r="1212" spans="2:23" ht="32.1" hidden="1">
      <c r="B1212" s="48" t="s">
        <v>2300</v>
      </c>
      <c r="C1212" s="115"/>
      <c r="D1212" s="116" t="s">
        <v>2604</v>
      </c>
      <c r="E1212" s="171" t="s">
        <v>46</v>
      </c>
      <c r="J1212" s="119">
        <v>45947</v>
      </c>
      <c r="K1212" s="329">
        <v>3870408</v>
      </c>
      <c r="N1212" s="182" t="s">
        <v>2602</v>
      </c>
      <c r="O1212" s="163"/>
      <c r="P1212" s="198" t="s">
        <v>49</v>
      </c>
    </row>
    <row r="1213" spans="2:23" ht="48" hidden="1">
      <c r="B1213" s="48" t="s">
        <v>2345</v>
      </c>
      <c r="C1213" s="115"/>
      <c r="D1213" s="116" t="s">
        <v>2605</v>
      </c>
      <c r="E1213" s="171" t="s">
        <v>46</v>
      </c>
      <c r="J1213" s="119">
        <v>45947</v>
      </c>
      <c r="K1213" s="329">
        <v>3870102</v>
      </c>
      <c r="N1213" s="182" t="s">
        <v>2606</v>
      </c>
      <c r="O1213" s="163" t="s">
        <v>2596</v>
      </c>
      <c r="P1213" s="198" t="s">
        <v>49</v>
      </c>
    </row>
    <row r="1214" spans="2:23" ht="80.099999999999994" hidden="1">
      <c r="B1214" s="48" t="s">
        <v>2304</v>
      </c>
      <c r="C1214" s="115"/>
      <c r="D1214" s="116" t="s">
        <v>2607</v>
      </c>
      <c r="E1214" s="171" t="s">
        <v>46</v>
      </c>
      <c r="J1214" s="119">
        <v>45947</v>
      </c>
      <c r="K1214" s="329">
        <v>3885681</v>
      </c>
      <c r="N1214" s="182" t="s">
        <v>2608</v>
      </c>
      <c r="O1214" s="163" t="s">
        <v>2609</v>
      </c>
      <c r="P1214" s="198" t="s">
        <v>49</v>
      </c>
    </row>
    <row r="1215" spans="2:23" ht="32.1" hidden="1">
      <c r="B1215" s="48" t="s">
        <v>2134</v>
      </c>
      <c r="C1215" s="115"/>
      <c r="D1215" s="116" t="s">
        <v>2610</v>
      </c>
      <c r="E1215" s="171" t="s">
        <v>46</v>
      </c>
      <c r="J1215" s="119">
        <v>45947</v>
      </c>
      <c r="K1215" s="329">
        <v>3879638</v>
      </c>
      <c r="N1215" s="182" t="s">
        <v>2611</v>
      </c>
      <c r="O1215" s="163"/>
      <c r="P1215" s="198" t="s">
        <v>49</v>
      </c>
    </row>
    <row r="1216" spans="2:23" ht="409.6" hidden="1" customHeight="1">
      <c r="B1216" s="48" t="s">
        <v>2134</v>
      </c>
      <c r="C1216" s="115"/>
      <c r="D1216" s="116" t="s">
        <v>2612</v>
      </c>
      <c r="E1216" s="171" t="s">
        <v>46</v>
      </c>
      <c r="J1216" s="119">
        <v>45947</v>
      </c>
      <c r="K1216" s="329">
        <v>3890080</v>
      </c>
      <c r="N1216" s="182" t="s">
        <v>2613</v>
      </c>
      <c r="O1216" s="163"/>
      <c r="P1216" s="198" t="s">
        <v>49</v>
      </c>
    </row>
    <row r="1217" spans="2:16" ht="80.099999999999994" hidden="1">
      <c r="B1217" s="48" t="s">
        <v>2076</v>
      </c>
      <c r="C1217" s="115"/>
      <c r="D1217" s="116" t="s">
        <v>2614</v>
      </c>
      <c r="E1217" s="171" t="s">
        <v>46</v>
      </c>
      <c r="J1217" s="119">
        <v>45947</v>
      </c>
      <c r="K1217" s="329">
        <v>3855152</v>
      </c>
      <c r="N1217" s="182" t="s">
        <v>2615</v>
      </c>
      <c r="O1217" s="163"/>
      <c r="P1217" s="198" t="s">
        <v>49</v>
      </c>
    </row>
    <row r="1218" spans="2:16" ht="267" hidden="1" customHeight="1">
      <c r="B1218" s="48" t="s">
        <v>2062</v>
      </c>
      <c r="C1218" s="115"/>
      <c r="D1218" s="116" t="s">
        <v>2616</v>
      </c>
      <c r="E1218" s="171" t="s">
        <v>46</v>
      </c>
      <c r="J1218" s="119">
        <v>45947</v>
      </c>
      <c r="K1218" s="329">
        <v>3889956</v>
      </c>
      <c r="N1218" s="182" t="s">
        <v>2617</v>
      </c>
      <c r="O1218" s="163"/>
      <c r="P1218" s="198" t="s">
        <v>49</v>
      </c>
    </row>
    <row r="1219" spans="2:16" ht="32.1" hidden="1">
      <c r="B1219" s="48" t="s">
        <v>2203</v>
      </c>
      <c r="C1219" s="115"/>
      <c r="D1219" s="116" t="s">
        <v>2618</v>
      </c>
      <c r="E1219" s="171" t="s">
        <v>46</v>
      </c>
      <c r="J1219" s="119">
        <v>45947</v>
      </c>
      <c r="K1219" s="329">
        <v>3875492</v>
      </c>
      <c r="N1219" s="182" t="s">
        <v>2619</v>
      </c>
      <c r="O1219" s="163" t="s">
        <v>2620</v>
      </c>
      <c r="P1219" s="198" t="s">
        <v>49</v>
      </c>
    </row>
    <row r="1220" spans="2:16" ht="48" hidden="1">
      <c r="B1220" s="48" t="s">
        <v>2621</v>
      </c>
      <c r="C1220" s="115"/>
      <c r="D1220" s="116" t="s">
        <v>2622</v>
      </c>
      <c r="E1220" s="171" t="s">
        <v>46</v>
      </c>
      <c r="J1220" s="119">
        <v>45947</v>
      </c>
      <c r="K1220" s="329"/>
      <c r="N1220" s="182" t="s">
        <v>2623</v>
      </c>
      <c r="O1220" s="163"/>
      <c r="P1220" s="198" t="s">
        <v>49</v>
      </c>
    </row>
    <row r="1221" spans="2:16" ht="225.95" hidden="1" customHeight="1">
      <c r="B1221" s="48" t="s">
        <v>2624</v>
      </c>
      <c r="C1221" s="115"/>
      <c r="D1221" s="116" t="s">
        <v>2625</v>
      </c>
      <c r="E1221" s="171" t="s">
        <v>46</v>
      </c>
      <c r="J1221" s="119">
        <v>45957</v>
      </c>
      <c r="K1221" s="329">
        <v>3901700</v>
      </c>
      <c r="N1221" s="182" t="s">
        <v>2626</v>
      </c>
      <c r="O1221" s="316" t="s">
        <v>2627</v>
      </c>
      <c r="P1221" s="198" t="s">
        <v>49</v>
      </c>
    </row>
    <row r="1222" spans="2:16" ht="32.1" hidden="1">
      <c r="B1222" s="48" t="s">
        <v>2134</v>
      </c>
      <c r="C1222" s="115"/>
      <c r="D1222" s="116" t="s">
        <v>2628</v>
      </c>
      <c r="E1222" s="171" t="s">
        <v>46</v>
      </c>
      <c r="J1222" s="119">
        <v>45957</v>
      </c>
      <c r="K1222" s="329">
        <v>3901471</v>
      </c>
      <c r="N1222" s="182" t="s">
        <v>2629</v>
      </c>
      <c r="O1222" s="163" t="s">
        <v>2620</v>
      </c>
      <c r="P1222" s="198" t="s">
        <v>49</v>
      </c>
    </row>
    <row r="1223" spans="2:16" ht="63.95" hidden="1">
      <c r="B1223" s="48" t="s">
        <v>2134</v>
      </c>
      <c r="C1223" s="115"/>
      <c r="D1223" s="116" t="s">
        <v>2630</v>
      </c>
      <c r="E1223" s="171" t="s">
        <v>46</v>
      </c>
      <c r="J1223" s="119">
        <v>45957</v>
      </c>
      <c r="K1223" s="329">
        <v>3917440</v>
      </c>
      <c r="N1223" s="182" t="s">
        <v>2631</v>
      </c>
      <c r="O1223" s="163"/>
      <c r="P1223" s="198" t="s">
        <v>49</v>
      </c>
    </row>
    <row r="1224" spans="2:16" ht="32.1" hidden="1">
      <c r="B1224" s="48" t="s">
        <v>2062</v>
      </c>
      <c r="C1224" s="115"/>
      <c r="D1224" s="116" t="s">
        <v>2632</v>
      </c>
      <c r="E1224" s="171" t="s">
        <v>46</v>
      </c>
      <c r="J1224" s="119">
        <v>45957</v>
      </c>
      <c r="K1224" s="329">
        <v>3901377</v>
      </c>
      <c r="N1224" s="182" t="s">
        <v>2633</v>
      </c>
      <c r="O1224" s="163" t="s">
        <v>2620</v>
      </c>
      <c r="P1224" s="198" t="s">
        <v>49</v>
      </c>
    </row>
    <row r="1225" spans="2:16" ht="380.45" hidden="1" customHeight="1">
      <c r="B1225" s="48" t="s">
        <v>2062</v>
      </c>
      <c r="C1225" s="115"/>
      <c r="D1225" s="116" t="s">
        <v>2634</v>
      </c>
      <c r="E1225" s="171" t="s">
        <v>46</v>
      </c>
      <c r="J1225" s="119">
        <v>45957</v>
      </c>
      <c r="K1225" s="329">
        <v>3902183</v>
      </c>
      <c r="N1225" s="182" t="s">
        <v>2635</v>
      </c>
      <c r="O1225" s="163"/>
      <c r="P1225" s="198" t="s">
        <v>49</v>
      </c>
    </row>
    <row r="1226" spans="2:16" ht="128.44999999999999" hidden="1" customHeight="1">
      <c r="B1226" s="48" t="s">
        <v>2062</v>
      </c>
      <c r="C1226" s="115"/>
      <c r="D1226" s="116" t="s">
        <v>2636</v>
      </c>
      <c r="E1226" s="171" t="s">
        <v>46</v>
      </c>
      <c r="J1226" s="119">
        <v>45957</v>
      </c>
      <c r="K1226" s="329">
        <v>3907380</v>
      </c>
      <c r="N1226" s="182" t="s">
        <v>2637</v>
      </c>
      <c r="O1226" s="163"/>
      <c r="P1226" s="198" t="s">
        <v>49</v>
      </c>
    </row>
    <row r="1227" spans="2:16" ht="63.95" hidden="1">
      <c r="B1227" s="48" t="s">
        <v>2411</v>
      </c>
      <c r="C1227" s="115"/>
      <c r="D1227" s="116" t="s">
        <v>2638</v>
      </c>
      <c r="E1227" s="171" t="s">
        <v>46</v>
      </c>
      <c r="J1227" s="119">
        <v>45961</v>
      </c>
      <c r="K1227" s="329">
        <v>3957786</v>
      </c>
      <c r="N1227" s="182" t="s">
        <v>2639</v>
      </c>
      <c r="O1227" s="163" t="s">
        <v>2640</v>
      </c>
      <c r="P1227" s="198" t="s">
        <v>49</v>
      </c>
    </row>
    <row r="1228" spans="2:16" ht="80.099999999999994" hidden="1">
      <c r="B1228" s="48" t="s">
        <v>2231</v>
      </c>
      <c r="C1228" s="115"/>
      <c r="D1228" s="116" t="s">
        <v>2641</v>
      </c>
      <c r="E1228" s="171" t="s">
        <v>46</v>
      </c>
      <c r="J1228" s="119">
        <v>45961</v>
      </c>
      <c r="K1228" s="329">
        <v>3952664</v>
      </c>
      <c r="N1228" s="182" t="s">
        <v>2642</v>
      </c>
      <c r="O1228" s="163"/>
      <c r="P1228" s="198" t="s">
        <v>49</v>
      </c>
    </row>
    <row r="1229" spans="2:16" ht="192" hidden="1">
      <c r="B1229" s="48" t="s">
        <v>2231</v>
      </c>
      <c r="C1229" s="115"/>
      <c r="D1229" s="116" t="s">
        <v>2643</v>
      </c>
      <c r="E1229" s="171" t="s">
        <v>46</v>
      </c>
      <c r="J1229" s="119">
        <v>45961</v>
      </c>
      <c r="K1229" s="329">
        <v>3953144</v>
      </c>
      <c r="N1229" s="182" t="s">
        <v>2644</v>
      </c>
      <c r="O1229" s="163" t="s">
        <v>2645</v>
      </c>
      <c r="P1229" s="198" t="s">
        <v>49</v>
      </c>
    </row>
    <row r="1230" spans="2:16" ht="144" hidden="1">
      <c r="B1230" s="48" t="s">
        <v>2231</v>
      </c>
      <c r="C1230" s="115"/>
      <c r="D1230" s="116" t="s">
        <v>2646</v>
      </c>
      <c r="E1230" s="171" t="s">
        <v>46</v>
      </c>
      <c r="J1230" s="119">
        <v>45961</v>
      </c>
      <c r="K1230" s="329">
        <v>3953182</v>
      </c>
      <c r="N1230" s="182" t="s">
        <v>2647</v>
      </c>
      <c r="O1230" s="163" t="s">
        <v>2648</v>
      </c>
      <c r="P1230" s="198" t="s">
        <v>49</v>
      </c>
    </row>
    <row r="1231" spans="2:16" ht="80.099999999999994" hidden="1">
      <c r="B1231" s="48" t="s">
        <v>2109</v>
      </c>
      <c r="C1231" s="115"/>
      <c r="D1231" s="116" t="s">
        <v>2649</v>
      </c>
      <c r="E1231" s="171" t="s">
        <v>46</v>
      </c>
      <c r="J1231" s="119">
        <v>45961</v>
      </c>
      <c r="K1231" s="329">
        <v>3942021</v>
      </c>
      <c r="N1231" s="182" t="s">
        <v>2650</v>
      </c>
      <c r="O1231" s="163"/>
      <c r="P1231" s="198" t="s">
        <v>49</v>
      </c>
    </row>
    <row r="1232" spans="2:16" ht="63.95" hidden="1">
      <c r="B1232" s="48" t="s">
        <v>2065</v>
      </c>
      <c r="C1232" s="115"/>
      <c r="D1232" s="116" t="s">
        <v>2651</v>
      </c>
      <c r="E1232" s="171" t="s">
        <v>46</v>
      </c>
      <c r="J1232" s="119">
        <v>45961</v>
      </c>
      <c r="K1232" s="329">
        <v>3941915</v>
      </c>
      <c r="N1232" s="182" t="s">
        <v>2652</v>
      </c>
      <c r="O1232" s="163"/>
      <c r="P1232" s="198" t="s">
        <v>49</v>
      </c>
    </row>
    <row r="1233" spans="2:16" ht="159.94999999999999" hidden="1">
      <c r="B1233" s="48" t="s">
        <v>2065</v>
      </c>
      <c r="C1233" s="115"/>
      <c r="D1233" s="116" t="s">
        <v>2653</v>
      </c>
      <c r="E1233" s="171" t="s">
        <v>46</v>
      </c>
      <c r="J1233" s="119">
        <v>45961</v>
      </c>
      <c r="K1233" s="329">
        <v>3957695</v>
      </c>
      <c r="N1233" s="182" t="s">
        <v>2654</v>
      </c>
      <c r="O1233" s="163" t="s">
        <v>2655</v>
      </c>
      <c r="P1233" s="198" t="s">
        <v>49</v>
      </c>
    </row>
    <row r="1234" spans="2:16" ht="48" hidden="1">
      <c r="B1234" s="48" t="s">
        <v>2065</v>
      </c>
      <c r="C1234" s="115"/>
      <c r="D1234" s="116" t="s">
        <v>2656</v>
      </c>
      <c r="E1234" s="171" t="s">
        <v>46</v>
      </c>
      <c r="J1234" s="119">
        <v>45961</v>
      </c>
      <c r="K1234" s="329">
        <v>3957664</v>
      </c>
      <c r="N1234" s="182" t="s">
        <v>2657</v>
      </c>
      <c r="O1234" s="163" t="s">
        <v>2658</v>
      </c>
      <c r="P1234" s="198" t="s">
        <v>49</v>
      </c>
    </row>
    <row r="1235" spans="2:16" ht="32.1" hidden="1">
      <c r="B1235" s="48" t="s">
        <v>2345</v>
      </c>
      <c r="C1235" s="115"/>
      <c r="D1235" s="116" t="s">
        <v>2659</v>
      </c>
      <c r="E1235" s="171" t="s">
        <v>46</v>
      </c>
      <c r="J1235" s="119">
        <v>45961</v>
      </c>
      <c r="K1235" s="329">
        <v>3937250</v>
      </c>
      <c r="N1235" s="182" t="s">
        <v>2660</v>
      </c>
      <c r="O1235" s="163" t="s">
        <v>2661</v>
      </c>
      <c r="P1235" s="198" t="s">
        <v>49</v>
      </c>
    </row>
    <row r="1236" spans="2:16" ht="32.1" hidden="1">
      <c r="B1236" s="48" t="s">
        <v>2345</v>
      </c>
      <c r="C1236" s="115"/>
      <c r="D1236" s="116" t="s">
        <v>2662</v>
      </c>
      <c r="E1236" s="171" t="s">
        <v>46</v>
      </c>
      <c r="J1236" s="119">
        <v>45961</v>
      </c>
      <c r="K1236" s="329">
        <v>3942135</v>
      </c>
      <c r="N1236" s="182" t="s">
        <v>2663</v>
      </c>
      <c r="O1236" s="163"/>
      <c r="P1236" s="198" t="s">
        <v>49</v>
      </c>
    </row>
    <row r="1237" spans="2:16" ht="80.099999999999994" hidden="1">
      <c r="B1237" s="48" t="s">
        <v>2345</v>
      </c>
      <c r="C1237" s="115"/>
      <c r="D1237" s="116" t="s">
        <v>2664</v>
      </c>
      <c r="E1237" s="171" t="s">
        <v>46</v>
      </c>
      <c r="J1237" s="119">
        <v>45961</v>
      </c>
      <c r="K1237" s="329">
        <v>3942255</v>
      </c>
      <c r="N1237" s="182" t="s">
        <v>2665</v>
      </c>
      <c r="O1237" s="163" t="s">
        <v>2666</v>
      </c>
      <c r="P1237" s="198" t="s">
        <v>49</v>
      </c>
    </row>
    <row r="1238" spans="2:16" ht="63.95" hidden="1">
      <c r="B1238" s="48" t="s">
        <v>2069</v>
      </c>
      <c r="C1238" s="115"/>
      <c r="D1238" s="116" t="s">
        <v>2667</v>
      </c>
      <c r="E1238" s="171" t="s">
        <v>46</v>
      </c>
      <c r="J1238" s="119">
        <v>45961</v>
      </c>
      <c r="K1238" s="329">
        <v>3942285</v>
      </c>
      <c r="N1238" s="182" t="s">
        <v>2668</v>
      </c>
      <c r="O1238" s="163"/>
      <c r="P1238" s="198" t="s">
        <v>49</v>
      </c>
    </row>
    <row r="1239" spans="2:16" ht="63.95" hidden="1">
      <c r="B1239" s="48" t="s">
        <v>2069</v>
      </c>
      <c r="C1239" s="115"/>
      <c r="D1239" s="116" t="s">
        <v>2669</v>
      </c>
      <c r="E1239" s="171" t="s">
        <v>46</v>
      </c>
      <c r="J1239" s="119">
        <v>45961</v>
      </c>
      <c r="K1239" s="329">
        <v>3942313</v>
      </c>
      <c r="N1239" s="182" t="s">
        <v>2670</v>
      </c>
      <c r="O1239" s="163"/>
      <c r="P1239" s="198" t="s">
        <v>49</v>
      </c>
    </row>
    <row r="1240" spans="2:16" ht="32.1" hidden="1">
      <c r="B1240" s="48" t="s">
        <v>2093</v>
      </c>
      <c r="C1240" s="115"/>
      <c r="D1240" s="116" t="s">
        <v>2671</v>
      </c>
      <c r="E1240" s="171" t="s">
        <v>46</v>
      </c>
      <c r="J1240" s="119">
        <v>45961</v>
      </c>
      <c r="K1240" s="329">
        <v>3942775</v>
      </c>
      <c r="N1240" s="182" t="s">
        <v>2672</v>
      </c>
      <c r="O1240" s="163"/>
      <c r="P1240" s="198" t="s">
        <v>49</v>
      </c>
    </row>
    <row r="1241" spans="2:16" ht="32.1" hidden="1">
      <c r="B1241" s="48" t="s">
        <v>2062</v>
      </c>
      <c r="C1241" s="115"/>
      <c r="D1241" s="116" t="s">
        <v>2673</v>
      </c>
      <c r="E1241" s="171" t="s">
        <v>46</v>
      </c>
      <c r="J1241" s="119">
        <v>45961</v>
      </c>
      <c r="K1241" s="329">
        <v>3948175</v>
      </c>
      <c r="N1241" s="182" t="s">
        <v>2674</v>
      </c>
      <c r="O1241" s="163" t="s">
        <v>2675</v>
      </c>
      <c r="P1241" s="198" t="s">
        <v>49</v>
      </c>
    </row>
    <row r="1242" spans="2:16" ht="32.1">
      <c r="B1242" s="48" t="s">
        <v>2095</v>
      </c>
      <c r="C1242" s="115"/>
      <c r="D1242" s="116" t="s">
        <v>2676</v>
      </c>
      <c r="E1242" s="171" t="s">
        <v>46</v>
      </c>
      <c r="J1242" s="119">
        <v>45961</v>
      </c>
      <c r="K1242" s="329">
        <v>3947674</v>
      </c>
      <c r="N1242" s="182" t="s">
        <v>2677</v>
      </c>
      <c r="O1242" s="163" t="s">
        <v>2678</v>
      </c>
      <c r="P1242" s="198" t="s">
        <v>49</v>
      </c>
    </row>
    <row r="1243" spans="2:16" ht="32.1">
      <c r="B1243" s="48" t="s">
        <v>2095</v>
      </c>
      <c r="C1243" s="115"/>
      <c r="D1243" s="116" t="s">
        <v>2679</v>
      </c>
      <c r="E1243" s="171" t="s">
        <v>46</v>
      </c>
      <c r="J1243" s="119">
        <v>45961</v>
      </c>
      <c r="K1243" s="329">
        <v>3948102</v>
      </c>
      <c r="N1243" s="182" t="s">
        <v>2677</v>
      </c>
      <c r="O1243" s="163" t="s">
        <v>2678</v>
      </c>
      <c r="P1243" s="198" t="s">
        <v>49</v>
      </c>
    </row>
    <row r="1244" spans="2:16" ht="48" hidden="1">
      <c r="B1244" s="48" t="s">
        <v>2158</v>
      </c>
      <c r="C1244" s="115"/>
      <c r="D1244" s="116" t="s">
        <v>2680</v>
      </c>
      <c r="E1244" s="171" t="s">
        <v>46</v>
      </c>
      <c r="J1244" s="119">
        <v>45961</v>
      </c>
      <c r="K1244" s="329">
        <v>3942042</v>
      </c>
      <c r="N1244" s="182" t="s">
        <v>2668</v>
      </c>
      <c r="O1244" s="163"/>
      <c r="P1244" s="198" t="s">
        <v>49</v>
      </c>
    </row>
    <row r="1245" spans="2:16" ht="32.1" hidden="1">
      <c r="B1245" s="48" t="s">
        <v>2158</v>
      </c>
      <c r="C1245" s="115"/>
      <c r="D1245" s="116" t="s">
        <v>2681</v>
      </c>
      <c r="E1245" s="171" t="s">
        <v>46</v>
      </c>
      <c r="J1245" s="119">
        <v>45961</v>
      </c>
      <c r="K1245" s="329">
        <v>3942095</v>
      </c>
      <c r="N1245" s="182" t="s">
        <v>2670</v>
      </c>
      <c r="O1245" s="163"/>
      <c r="P1245" s="198" t="s">
        <v>49</v>
      </c>
    </row>
    <row r="1246" spans="2:16" ht="48" hidden="1">
      <c r="B1246" s="48" t="s">
        <v>2088</v>
      </c>
      <c r="C1246" s="115"/>
      <c r="D1246" s="116" t="s">
        <v>2682</v>
      </c>
      <c r="E1246" s="171" t="s">
        <v>46</v>
      </c>
      <c r="J1246" s="119">
        <v>45961</v>
      </c>
      <c r="K1246" s="329"/>
      <c r="N1246" s="182" t="s">
        <v>2683</v>
      </c>
      <c r="O1246" s="163" t="s">
        <v>2684</v>
      </c>
      <c r="P1246" s="198" t="s">
        <v>49</v>
      </c>
    </row>
    <row r="1247" spans="2:16" ht="80.099999999999994" hidden="1">
      <c r="B1247" s="48" t="s">
        <v>2088</v>
      </c>
      <c r="C1247" s="115"/>
      <c r="D1247" s="116" t="s">
        <v>2685</v>
      </c>
      <c r="E1247" s="171" t="s">
        <v>46</v>
      </c>
      <c r="J1247" s="119">
        <v>45968</v>
      </c>
      <c r="K1247" s="329">
        <v>3987154</v>
      </c>
      <c r="N1247" s="182" t="s">
        <v>2686</v>
      </c>
      <c r="O1247" s="163"/>
      <c r="P1247" s="198" t="s">
        <v>49</v>
      </c>
    </row>
    <row r="1248" spans="2:16" ht="48" hidden="1">
      <c r="B1248" s="48" t="s">
        <v>2088</v>
      </c>
      <c r="C1248" s="115"/>
      <c r="D1248" s="116" t="s">
        <v>2687</v>
      </c>
      <c r="E1248" s="171" t="s">
        <v>46</v>
      </c>
      <c r="J1248" s="119">
        <v>45968</v>
      </c>
      <c r="K1248" s="329">
        <v>3987481</v>
      </c>
      <c r="N1248" s="182" t="s">
        <v>2688</v>
      </c>
      <c r="O1248" s="163"/>
      <c r="P1248" s="198" t="s">
        <v>49</v>
      </c>
    </row>
    <row r="1249" spans="2:16" ht="128.1" hidden="1">
      <c r="B1249" s="48" t="s">
        <v>2065</v>
      </c>
      <c r="C1249" s="115"/>
      <c r="D1249" s="116" t="s">
        <v>2689</v>
      </c>
      <c r="E1249" s="171" t="s">
        <v>46</v>
      </c>
      <c r="J1249" s="119">
        <v>45968</v>
      </c>
      <c r="K1249" s="329">
        <v>3993077</v>
      </c>
      <c r="N1249" s="182" t="s">
        <v>2690</v>
      </c>
      <c r="O1249" s="163"/>
      <c r="P1249" s="198" t="s">
        <v>49</v>
      </c>
    </row>
    <row r="1250" spans="2:16" ht="48" hidden="1">
      <c r="B1250" s="48" t="s">
        <v>2300</v>
      </c>
      <c r="C1250" s="115"/>
      <c r="D1250" s="116" t="s">
        <v>2691</v>
      </c>
      <c r="E1250" s="171" t="s">
        <v>46</v>
      </c>
      <c r="J1250" s="119">
        <v>45968</v>
      </c>
      <c r="K1250" s="329">
        <v>3973582</v>
      </c>
      <c r="N1250" s="182" t="s">
        <v>2692</v>
      </c>
      <c r="O1250" s="163"/>
      <c r="P1250" s="198" t="s">
        <v>49</v>
      </c>
    </row>
    <row r="1251" spans="2:16" ht="32.1" hidden="1">
      <c r="B1251" s="48" t="s">
        <v>2069</v>
      </c>
      <c r="C1251" s="115"/>
      <c r="D1251" s="116" t="s">
        <v>2693</v>
      </c>
      <c r="E1251" s="171" t="s">
        <v>46</v>
      </c>
      <c r="J1251" s="119">
        <v>45968</v>
      </c>
      <c r="K1251" s="329">
        <v>3987116</v>
      </c>
      <c r="N1251" s="182" t="s">
        <v>2694</v>
      </c>
      <c r="O1251" s="163"/>
      <c r="P1251" s="198" t="s">
        <v>49</v>
      </c>
    </row>
    <row r="1252" spans="2:16" ht="192" hidden="1">
      <c r="B1252" s="48" t="s">
        <v>2134</v>
      </c>
      <c r="C1252" s="115"/>
      <c r="D1252" s="116" t="s">
        <v>2695</v>
      </c>
      <c r="E1252" s="171" t="s">
        <v>46</v>
      </c>
      <c r="J1252" s="119">
        <v>45968</v>
      </c>
      <c r="K1252" s="329">
        <v>3987304</v>
      </c>
      <c r="N1252" s="182" t="s">
        <v>2696</v>
      </c>
      <c r="O1252" s="163"/>
      <c r="P1252" s="198" t="s">
        <v>49</v>
      </c>
    </row>
    <row r="1253" spans="2:16" ht="63.95" hidden="1">
      <c r="B1253" s="48" t="s">
        <v>2367</v>
      </c>
      <c r="C1253" s="115"/>
      <c r="D1253" s="116" t="s">
        <v>2697</v>
      </c>
      <c r="E1253" s="171" t="s">
        <v>46</v>
      </c>
      <c r="J1253" s="119">
        <v>45968</v>
      </c>
      <c r="K1253" s="329">
        <v>3988799</v>
      </c>
      <c r="N1253" s="182" t="s">
        <v>2698</v>
      </c>
      <c r="O1253" s="163"/>
      <c r="P1253" s="198" t="s">
        <v>49</v>
      </c>
    </row>
    <row r="1254" spans="2:16" ht="32.1" hidden="1">
      <c r="B1254" s="48" t="s">
        <v>2062</v>
      </c>
      <c r="C1254" s="115"/>
      <c r="D1254" s="116" t="s">
        <v>2699</v>
      </c>
      <c r="E1254" s="171" t="s">
        <v>46</v>
      </c>
      <c r="J1254" s="119">
        <v>45968</v>
      </c>
      <c r="K1254" s="329">
        <v>3976964</v>
      </c>
      <c r="N1254" s="182" t="s">
        <v>2700</v>
      </c>
      <c r="O1254" s="163"/>
      <c r="P1254" s="198" t="s">
        <v>49</v>
      </c>
    </row>
    <row r="1255" spans="2:16" ht="32.1" hidden="1">
      <c r="B1255" s="48" t="s">
        <v>2062</v>
      </c>
      <c r="C1255" s="115"/>
      <c r="D1255" s="116" t="s">
        <v>2701</v>
      </c>
      <c r="E1255" s="171" t="s">
        <v>46</v>
      </c>
      <c r="J1255" s="119">
        <v>45968</v>
      </c>
      <c r="K1255" s="329">
        <v>3977205</v>
      </c>
      <c r="N1255" s="182" t="s">
        <v>2702</v>
      </c>
      <c r="O1255" s="163"/>
      <c r="P1255" s="198" t="s">
        <v>49</v>
      </c>
    </row>
    <row r="1256" spans="2:16" ht="32.1" hidden="1">
      <c r="B1256" s="48" t="s">
        <v>2062</v>
      </c>
      <c r="C1256" s="115"/>
      <c r="D1256" s="116" t="s">
        <v>2703</v>
      </c>
      <c r="E1256" s="171" t="s">
        <v>46</v>
      </c>
      <c r="J1256" s="119">
        <v>45968</v>
      </c>
      <c r="K1256" s="329">
        <v>3993044</v>
      </c>
      <c r="N1256" s="182" t="s">
        <v>2704</v>
      </c>
      <c r="O1256" s="163"/>
      <c r="P1256" s="198" t="s">
        <v>49</v>
      </c>
    </row>
    <row r="1257" spans="2:16" ht="32.1" hidden="1">
      <c r="B1257" s="48" t="s">
        <v>2107</v>
      </c>
      <c r="C1257" s="115"/>
      <c r="D1257" s="116" t="s">
        <v>2705</v>
      </c>
      <c r="E1257" s="171" t="s">
        <v>46</v>
      </c>
      <c r="J1257" s="119">
        <v>45975</v>
      </c>
      <c r="K1257" s="329">
        <v>4013785</v>
      </c>
      <c r="N1257" s="182" t="s">
        <v>2706</v>
      </c>
      <c r="O1257" s="163"/>
      <c r="P1257" s="198" t="s">
        <v>49</v>
      </c>
    </row>
    <row r="1258" spans="2:16" ht="32.1" hidden="1">
      <c r="B1258" s="48" t="s">
        <v>2107</v>
      </c>
      <c r="C1258" s="115"/>
      <c r="D1258" s="116" t="s">
        <v>2707</v>
      </c>
      <c r="E1258" s="171" t="s">
        <v>46</v>
      </c>
      <c r="J1258" s="119">
        <v>45975</v>
      </c>
      <c r="K1258" s="329">
        <v>4013836</v>
      </c>
      <c r="N1258" s="182" t="s">
        <v>2708</v>
      </c>
      <c r="O1258" s="163"/>
      <c r="P1258" s="198" t="s">
        <v>49</v>
      </c>
    </row>
    <row r="1259" spans="2:16" ht="32.1" hidden="1">
      <c r="B1259" s="48" t="s">
        <v>2109</v>
      </c>
      <c r="C1259" s="115"/>
      <c r="D1259" s="116" t="s">
        <v>2709</v>
      </c>
      <c r="E1259" s="171" t="s">
        <v>46</v>
      </c>
      <c r="J1259" s="119">
        <v>45975</v>
      </c>
      <c r="K1259" s="329">
        <v>4022803</v>
      </c>
      <c r="N1259" s="182" t="s">
        <v>2710</v>
      </c>
      <c r="O1259" s="163"/>
      <c r="P1259" s="198" t="s">
        <v>49</v>
      </c>
    </row>
    <row r="1260" spans="2:16" ht="32.1" hidden="1">
      <c r="B1260" s="48" t="s">
        <v>2109</v>
      </c>
      <c r="C1260" s="115"/>
      <c r="D1260" s="116" t="s">
        <v>2711</v>
      </c>
      <c r="E1260" s="171" t="s">
        <v>46</v>
      </c>
      <c r="J1260" s="119">
        <v>45975</v>
      </c>
      <c r="K1260" s="329">
        <v>4022946</v>
      </c>
      <c r="N1260" s="182" t="s">
        <v>2710</v>
      </c>
      <c r="O1260" s="163"/>
      <c r="P1260" s="198" t="s">
        <v>49</v>
      </c>
    </row>
    <row r="1261" spans="2:16" ht="32.1" hidden="1">
      <c r="B1261" s="48" t="s">
        <v>2127</v>
      </c>
      <c r="C1261" s="115"/>
      <c r="D1261" s="116" t="s">
        <v>2712</v>
      </c>
      <c r="E1261" s="171" t="s">
        <v>46</v>
      </c>
      <c r="J1261" s="119">
        <v>45975</v>
      </c>
      <c r="K1261" s="329">
        <v>4012431</v>
      </c>
      <c r="N1261" s="182" t="s">
        <v>2713</v>
      </c>
      <c r="O1261" s="163"/>
      <c r="P1261" s="198" t="s">
        <v>49</v>
      </c>
    </row>
    <row r="1262" spans="2:16" ht="48" hidden="1">
      <c r="B1262" s="48" t="s">
        <v>2130</v>
      </c>
      <c r="C1262" s="115"/>
      <c r="D1262" s="116" t="s">
        <v>2714</v>
      </c>
      <c r="E1262" s="171" t="s">
        <v>46</v>
      </c>
      <c r="J1262" s="119">
        <v>45975</v>
      </c>
      <c r="K1262" s="329">
        <v>4018528</v>
      </c>
      <c r="N1262" s="182" t="s">
        <v>2715</v>
      </c>
      <c r="O1262" s="163"/>
      <c r="P1262" s="198" t="s">
        <v>49</v>
      </c>
    </row>
    <row r="1263" spans="2:16" ht="48" hidden="1">
      <c r="B1263" s="48" t="s">
        <v>2097</v>
      </c>
      <c r="C1263" s="115"/>
      <c r="D1263" s="116" t="s">
        <v>2716</v>
      </c>
      <c r="E1263" s="171" t="s">
        <v>46</v>
      </c>
      <c r="J1263" s="119">
        <v>45975</v>
      </c>
      <c r="K1263" s="329">
        <v>4022517</v>
      </c>
      <c r="N1263" s="182" t="s">
        <v>2717</v>
      </c>
      <c r="O1263" s="163"/>
      <c r="P1263" s="198" t="s">
        <v>49</v>
      </c>
    </row>
    <row r="1264" spans="2:16" ht="111.95" hidden="1">
      <c r="B1264" s="48" t="s">
        <v>2079</v>
      </c>
      <c r="C1264" s="115"/>
      <c r="D1264" s="116" t="s">
        <v>2718</v>
      </c>
      <c r="E1264" s="171" t="s">
        <v>46</v>
      </c>
      <c r="J1264" s="119">
        <v>45975</v>
      </c>
      <c r="K1264" s="329">
        <v>4017936</v>
      </c>
      <c r="N1264" s="182" t="s">
        <v>2719</v>
      </c>
      <c r="O1264" s="163"/>
      <c r="P1264" s="198" t="s">
        <v>49</v>
      </c>
    </row>
    <row r="1265" spans="2:16" ht="63.95" hidden="1">
      <c r="B1265" s="48" t="s">
        <v>2062</v>
      </c>
      <c r="C1265" s="115"/>
      <c r="D1265" s="116" t="s">
        <v>2720</v>
      </c>
      <c r="E1265" s="171" t="s">
        <v>46</v>
      </c>
      <c r="J1265" s="119">
        <v>45975</v>
      </c>
      <c r="K1265" s="361">
        <v>4012910</v>
      </c>
      <c r="N1265" s="182" t="s">
        <v>2721</v>
      </c>
      <c r="O1265" s="163"/>
      <c r="P1265" s="198" t="s">
        <v>49</v>
      </c>
    </row>
    <row r="1266" spans="2:16" ht="111.95" hidden="1">
      <c r="B1266" s="48" t="s">
        <v>2085</v>
      </c>
      <c r="C1266" s="115"/>
      <c r="D1266" s="116" t="s">
        <v>2722</v>
      </c>
      <c r="E1266" s="171" t="s">
        <v>46</v>
      </c>
      <c r="J1266" s="119">
        <v>45982</v>
      </c>
      <c r="K1266" s="359">
        <v>4042575</v>
      </c>
      <c r="N1266" s="182" t="s">
        <v>2723</v>
      </c>
      <c r="O1266" s="163"/>
      <c r="P1266" s="198" t="s">
        <v>49</v>
      </c>
    </row>
    <row r="1267" spans="2:16" ht="32.1" hidden="1">
      <c r="B1267" s="48" t="s">
        <v>2085</v>
      </c>
      <c r="C1267" s="115"/>
      <c r="D1267" s="116" t="s">
        <v>2724</v>
      </c>
      <c r="E1267" s="171" t="s">
        <v>46</v>
      </c>
      <c r="J1267" s="119">
        <v>45982</v>
      </c>
      <c r="K1267" s="359">
        <v>4057478</v>
      </c>
      <c r="N1267" s="182" t="s">
        <v>2725</v>
      </c>
      <c r="O1267" s="163"/>
      <c r="P1267" s="198" t="s">
        <v>49</v>
      </c>
    </row>
    <row r="1268" spans="2:16" ht="48" hidden="1">
      <c r="B1268" s="48" t="s">
        <v>2383</v>
      </c>
      <c r="C1268" s="115"/>
      <c r="D1268" s="116" t="s">
        <v>2726</v>
      </c>
      <c r="E1268" s="171" t="s">
        <v>46</v>
      </c>
      <c r="J1268" s="119">
        <v>45982</v>
      </c>
      <c r="K1268" s="358">
        <v>4058167</v>
      </c>
      <c r="N1268" s="182" t="s">
        <v>2727</v>
      </c>
      <c r="O1268" s="163"/>
      <c r="P1268" s="198" t="s">
        <v>49</v>
      </c>
    </row>
    <row r="1269" spans="2:16" ht="32.1" hidden="1">
      <c r="B1269" s="48" t="s">
        <v>2088</v>
      </c>
      <c r="C1269" s="115"/>
      <c r="D1269" s="116" t="s">
        <v>2728</v>
      </c>
      <c r="E1269" s="171" t="s">
        <v>46</v>
      </c>
      <c r="J1269" s="119">
        <v>45982</v>
      </c>
      <c r="K1269" s="329">
        <v>4057549</v>
      </c>
      <c r="N1269" s="182" t="s">
        <v>2729</v>
      </c>
      <c r="O1269" s="163"/>
      <c r="P1269" s="198" t="s">
        <v>49</v>
      </c>
    </row>
    <row r="1270" spans="2:16" ht="80.099999999999994" hidden="1">
      <c r="B1270" s="48" t="s">
        <v>2127</v>
      </c>
      <c r="C1270" s="115"/>
      <c r="D1270" s="116" t="s">
        <v>2730</v>
      </c>
      <c r="E1270" s="171" t="s">
        <v>46</v>
      </c>
      <c r="J1270" s="119">
        <v>45982</v>
      </c>
      <c r="K1270" s="329">
        <v>4053189</v>
      </c>
      <c r="N1270" s="182" t="s">
        <v>2731</v>
      </c>
      <c r="O1270" s="163"/>
      <c r="P1270" s="198" t="s">
        <v>49</v>
      </c>
    </row>
    <row r="1271" spans="2:16" ht="80.099999999999994" hidden="1">
      <c r="B1271" s="48" t="s">
        <v>2127</v>
      </c>
      <c r="C1271" s="115"/>
      <c r="D1271" s="116" t="s">
        <v>2732</v>
      </c>
      <c r="E1271" s="171" t="s">
        <v>46</v>
      </c>
      <c r="J1271" s="119">
        <v>45982</v>
      </c>
      <c r="K1271" s="329">
        <v>4053153</v>
      </c>
      <c r="N1271" s="182" t="s">
        <v>2733</v>
      </c>
      <c r="O1271" s="163"/>
      <c r="P1271" s="198" t="s">
        <v>49</v>
      </c>
    </row>
    <row r="1272" spans="2:16" ht="48" hidden="1">
      <c r="B1272" s="48" t="s">
        <v>2069</v>
      </c>
      <c r="C1272" s="115"/>
      <c r="D1272" s="116" t="s">
        <v>2734</v>
      </c>
      <c r="E1272" s="171" t="s">
        <v>46</v>
      </c>
      <c r="J1272" s="119">
        <v>45982</v>
      </c>
      <c r="K1272" s="329">
        <v>4062114</v>
      </c>
      <c r="N1272" s="182" t="s">
        <v>2735</v>
      </c>
      <c r="O1272" s="163"/>
      <c r="P1272" s="198" t="s">
        <v>49</v>
      </c>
    </row>
    <row r="1273" spans="2:16" ht="48" hidden="1">
      <c r="B1273" s="48" t="s">
        <v>2736</v>
      </c>
      <c r="C1273" s="115"/>
      <c r="D1273" s="116" t="s">
        <v>2737</v>
      </c>
      <c r="E1273" s="171" t="s">
        <v>46</v>
      </c>
      <c r="J1273" s="119">
        <v>45982</v>
      </c>
      <c r="K1273" s="329">
        <v>4057669</v>
      </c>
      <c r="N1273" s="182" t="s">
        <v>2738</v>
      </c>
      <c r="O1273" s="163"/>
      <c r="P1273" s="198" t="s">
        <v>49</v>
      </c>
    </row>
    <row r="1274" spans="2:16" ht="48" hidden="1">
      <c r="B1274" s="48" t="s">
        <v>2137</v>
      </c>
      <c r="C1274" s="115"/>
      <c r="D1274" s="116" t="s">
        <v>2739</v>
      </c>
      <c r="E1274" s="171" t="s">
        <v>46</v>
      </c>
      <c r="J1274" s="119">
        <v>45982</v>
      </c>
      <c r="K1274" s="329">
        <v>4042724</v>
      </c>
      <c r="N1274" s="182" t="s">
        <v>2740</v>
      </c>
      <c r="O1274" s="163" t="s">
        <v>2741</v>
      </c>
      <c r="P1274" s="198" t="s">
        <v>49</v>
      </c>
    </row>
    <row r="1275" spans="2:16" ht="32.1" hidden="1">
      <c r="B1275" s="48" t="s">
        <v>2062</v>
      </c>
      <c r="C1275" s="115"/>
      <c r="D1275" s="116" t="s">
        <v>2742</v>
      </c>
      <c r="E1275" s="171" t="s">
        <v>46</v>
      </c>
      <c r="J1275" s="119">
        <v>45982</v>
      </c>
      <c r="K1275" s="329">
        <v>4062673</v>
      </c>
      <c r="N1275" s="182" t="s">
        <v>2743</v>
      </c>
      <c r="O1275" s="163"/>
      <c r="P1275" s="198" t="s">
        <v>49</v>
      </c>
    </row>
    <row r="1276" spans="2:16" ht="48">
      <c r="B1276" s="48" t="s">
        <v>2095</v>
      </c>
      <c r="C1276" s="115"/>
      <c r="D1276" s="116" t="s">
        <v>2744</v>
      </c>
      <c r="E1276" s="171" t="s">
        <v>46</v>
      </c>
      <c r="J1276" s="119">
        <v>45982</v>
      </c>
      <c r="K1276" s="329">
        <v>4042612</v>
      </c>
      <c r="N1276" s="182" t="s">
        <v>2745</v>
      </c>
      <c r="O1276" s="163"/>
      <c r="P1276" s="198" t="s">
        <v>49</v>
      </c>
    </row>
    <row r="1277" spans="2:16" ht="272.10000000000002" hidden="1">
      <c r="B1277" s="48" t="s">
        <v>2158</v>
      </c>
      <c r="C1277" s="115"/>
      <c r="D1277" s="116" t="s">
        <v>2746</v>
      </c>
      <c r="E1277" s="171" t="s">
        <v>46</v>
      </c>
      <c r="J1277" s="119">
        <v>45982</v>
      </c>
      <c r="K1277" s="329">
        <v>4053051</v>
      </c>
      <c r="N1277" s="182" t="s">
        <v>2747</v>
      </c>
      <c r="O1277" s="163"/>
      <c r="P1277" s="198" t="s">
        <v>49</v>
      </c>
    </row>
    <row r="1278" spans="2:16" ht="192" hidden="1">
      <c r="B1278" s="48" t="s">
        <v>2158</v>
      </c>
      <c r="C1278" s="115"/>
      <c r="D1278" s="116" t="s">
        <v>2748</v>
      </c>
      <c r="E1278" s="171" t="s">
        <v>46</v>
      </c>
      <c r="J1278" s="119">
        <v>45982</v>
      </c>
      <c r="K1278" s="329">
        <v>4062239</v>
      </c>
      <c r="N1278" s="182" t="s">
        <v>2749</v>
      </c>
      <c r="O1278" s="163"/>
      <c r="P1278" s="198" t="s">
        <v>49</v>
      </c>
    </row>
    <row r="1279" spans="2:16" ht="32.1" hidden="1">
      <c r="B1279" s="48" t="s">
        <v>2203</v>
      </c>
      <c r="C1279" s="115"/>
      <c r="D1279" s="116" t="s">
        <v>2750</v>
      </c>
      <c r="E1279" s="171" t="s">
        <v>46</v>
      </c>
      <c r="J1279" s="119">
        <v>45982</v>
      </c>
      <c r="K1279" s="361">
        <v>4042685</v>
      </c>
      <c r="N1279" s="182" t="s">
        <v>2751</v>
      </c>
      <c r="O1279" s="163"/>
      <c r="P1279" s="198" t="s">
        <v>49</v>
      </c>
    </row>
    <row r="1280" spans="2:16" ht="59.1" hidden="1" customHeight="1">
      <c r="B1280" s="48" t="s">
        <v>2085</v>
      </c>
      <c r="C1280" s="115"/>
      <c r="D1280" s="116" t="s">
        <v>2752</v>
      </c>
      <c r="E1280" s="171" t="s">
        <v>46</v>
      </c>
      <c r="J1280" s="119">
        <v>45989</v>
      </c>
      <c r="K1280" s="359">
        <v>4095860</v>
      </c>
      <c r="N1280" s="182" t="s">
        <v>2753</v>
      </c>
      <c r="O1280" s="163" t="s">
        <v>2754</v>
      </c>
      <c r="P1280" s="198" t="s">
        <v>49</v>
      </c>
    </row>
    <row r="1281" spans="2:16" ht="48" hidden="1">
      <c r="B1281" s="48" t="s">
        <v>2755</v>
      </c>
      <c r="C1281" s="115"/>
      <c r="D1281" s="116" t="s">
        <v>2756</v>
      </c>
      <c r="E1281" s="171" t="s">
        <v>46</v>
      </c>
      <c r="J1281" s="119">
        <v>45989</v>
      </c>
      <c r="K1281" s="358">
        <v>4080712</v>
      </c>
      <c r="N1281" s="182" t="s">
        <v>2757</v>
      </c>
      <c r="O1281" s="163"/>
      <c r="P1281" s="198" t="s">
        <v>49</v>
      </c>
    </row>
    <row r="1282" spans="2:16" ht="32.1" hidden="1">
      <c r="B1282" s="48" t="s">
        <v>2231</v>
      </c>
      <c r="C1282" s="115"/>
      <c r="D1282" s="116" t="s">
        <v>2758</v>
      </c>
      <c r="E1282" s="171" t="s">
        <v>46</v>
      </c>
      <c r="J1282" s="119">
        <v>45989</v>
      </c>
      <c r="K1282" s="329">
        <v>4075730</v>
      </c>
      <c r="N1282" s="182" t="s">
        <v>2759</v>
      </c>
      <c r="O1282" s="163"/>
      <c r="P1282" s="198" t="s">
        <v>49</v>
      </c>
    </row>
    <row r="1283" spans="2:16" ht="144" hidden="1">
      <c r="B1283" s="48" t="s">
        <v>2109</v>
      </c>
      <c r="C1283" s="115"/>
      <c r="D1283" s="116" t="s">
        <v>2760</v>
      </c>
      <c r="E1283" s="171" t="s">
        <v>46</v>
      </c>
      <c r="J1283" s="119">
        <v>45989</v>
      </c>
      <c r="K1283" s="329"/>
      <c r="N1283" s="182" t="s">
        <v>2761</v>
      </c>
      <c r="O1283" s="163"/>
      <c r="P1283" s="198" t="s">
        <v>49</v>
      </c>
    </row>
    <row r="1284" spans="2:16" ht="96" hidden="1">
      <c r="B1284" s="48" t="s">
        <v>2088</v>
      </c>
      <c r="C1284" s="115"/>
      <c r="D1284" s="116" t="s">
        <v>2762</v>
      </c>
      <c r="E1284" s="171" t="s">
        <v>46</v>
      </c>
      <c r="J1284" s="119">
        <v>45989</v>
      </c>
      <c r="K1284" s="329">
        <v>4090515</v>
      </c>
      <c r="N1284" s="182" t="s">
        <v>2763</v>
      </c>
      <c r="O1284" s="163" t="s">
        <v>2764</v>
      </c>
      <c r="P1284" s="198" t="s">
        <v>49</v>
      </c>
    </row>
    <row r="1285" spans="2:16" ht="48" hidden="1">
      <c r="B1285" s="48" t="s">
        <v>2127</v>
      </c>
      <c r="C1285" s="115"/>
      <c r="D1285" s="116" t="s">
        <v>2765</v>
      </c>
      <c r="E1285" s="171" t="s">
        <v>46</v>
      </c>
      <c r="J1285" s="119">
        <v>45989</v>
      </c>
      <c r="K1285" s="329">
        <v>4080720</v>
      </c>
      <c r="N1285" s="182" t="s">
        <v>2766</v>
      </c>
      <c r="O1285" s="163"/>
      <c r="P1285" s="198" t="s">
        <v>49</v>
      </c>
    </row>
    <row r="1286" spans="2:16" ht="32.1" hidden="1">
      <c r="B1286" s="48" t="s">
        <v>2130</v>
      </c>
      <c r="C1286" s="115"/>
      <c r="D1286" s="116" t="s">
        <v>2767</v>
      </c>
      <c r="E1286" s="171" t="s">
        <v>46</v>
      </c>
      <c r="J1286" s="119">
        <v>45989</v>
      </c>
      <c r="K1286" s="329">
        <v>4090799</v>
      </c>
      <c r="N1286" s="182" t="s">
        <v>2768</v>
      </c>
      <c r="O1286" s="163" t="s">
        <v>2769</v>
      </c>
      <c r="P1286" s="198" t="s">
        <v>49</v>
      </c>
    </row>
    <row r="1287" spans="2:16" ht="32.1" hidden="1">
      <c r="B1287" s="48" t="s">
        <v>2130</v>
      </c>
      <c r="C1287" s="115"/>
      <c r="D1287" s="116" t="s">
        <v>2770</v>
      </c>
      <c r="E1287" s="171" t="s">
        <v>46</v>
      </c>
      <c r="J1287" s="119">
        <v>45989</v>
      </c>
      <c r="K1287" s="329">
        <v>4090827</v>
      </c>
      <c r="N1287" s="182" t="s">
        <v>2768</v>
      </c>
      <c r="O1287" s="163"/>
      <c r="P1287" s="198" t="s">
        <v>49</v>
      </c>
    </row>
    <row r="1288" spans="2:16" ht="111.95" hidden="1">
      <c r="B1288" s="48" t="s">
        <v>2069</v>
      </c>
      <c r="C1288" s="115"/>
      <c r="D1288" s="116" t="s">
        <v>2771</v>
      </c>
      <c r="E1288" s="171" t="s">
        <v>46</v>
      </c>
      <c r="J1288" s="119">
        <v>45989</v>
      </c>
      <c r="K1288" s="329">
        <v>4085665</v>
      </c>
      <c r="N1288" s="182" t="s">
        <v>2772</v>
      </c>
      <c r="O1288" s="163"/>
      <c r="P1288" s="198" t="s">
        <v>49</v>
      </c>
    </row>
    <row r="1289" spans="2:16" ht="128.1" hidden="1">
      <c r="B1289" s="48" t="s">
        <v>2097</v>
      </c>
      <c r="C1289" s="115"/>
      <c r="D1289" s="116" t="s">
        <v>2773</v>
      </c>
      <c r="E1289" s="171" t="s">
        <v>46</v>
      </c>
      <c r="J1289" s="119">
        <v>45989</v>
      </c>
      <c r="K1289" s="329">
        <v>4075702</v>
      </c>
      <c r="N1289" s="182" t="s">
        <v>2774</v>
      </c>
      <c r="O1289" s="163"/>
      <c r="P1289" s="198" t="s">
        <v>49</v>
      </c>
    </row>
    <row r="1290" spans="2:16" ht="48" hidden="1">
      <c r="B1290" s="48" t="s">
        <v>2072</v>
      </c>
      <c r="C1290" s="115"/>
      <c r="D1290" s="116" t="s">
        <v>2775</v>
      </c>
      <c r="E1290" s="171" t="s">
        <v>46</v>
      </c>
      <c r="J1290" s="119">
        <v>45989</v>
      </c>
      <c r="K1290" s="329">
        <v>4091050</v>
      </c>
      <c r="N1290" s="182" t="s">
        <v>2776</v>
      </c>
      <c r="O1290" s="163"/>
      <c r="P1290" s="198" t="s">
        <v>49</v>
      </c>
    </row>
    <row r="1291" spans="2:16" ht="63.95" hidden="1">
      <c r="B1291" s="48" t="s">
        <v>2150</v>
      </c>
      <c r="C1291" s="115"/>
      <c r="D1291" s="116" t="s">
        <v>2777</v>
      </c>
      <c r="E1291" s="171" t="s">
        <v>46</v>
      </c>
      <c r="J1291" s="119">
        <v>45989</v>
      </c>
      <c r="K1291" s="329">
        <v>4090903</v>
      </c>
      <c r="N1291" s="182" t="s">
        <v>2778</v>
      </c>
      <c r="O1291" s="163"/>
      <c r="P1291" s="198" t="s">
        <v>49</v>
      </c>
    </row>
    <row r="1292" spans="2:16" ht="32.1" hidden="1">
      <c r="B1292" s="48" t="s">
        <v>2076</v>
      </c>
      <c r="C1292" s="115"/>
      <c r="D1292" s="116" t="s">
        <v>2779</v>
      </c>
      <c r="E1292" s="171" t="s">
        <v>46</v>
      </c>
      <c r="J1292" s="119">
        <v>45989</v>
      </c>
      <c r="K1292" s="329"/>
      <c r="N1292" s="182" t="s">
        <v>2780</v>
      </c>
      <c r="O1292" s="163"/>
      <c r="P1292" s="198" t="s">
        <v>49</v>
      </c>
    </row>
    <row r="1293" spans="2:16" ht="48" hidden="1">
      <c r="B1293" s="48" t="s">
        <v>2062</v>
      </c>
      <c r="C1293" s="115"/>
      <c r="D1293" s="116" t="s">
        <v>2781</v>
      </c>
      <c r="E1293" s="171" t="s">
        <v>46</v>
      </c>
      <c r="J1293" s="119">
        <v>45989</v>
      </c>
      <c r="K1293" s="329">
        <v>4090869</v>
      </c>
      <c r="N1293" s="182" t="s">
        <v>2782</v>
      </c>
      <c r="O1293" s="163"/>
      <c r="P1293" s="198" t="s">
        <v>49</v>
      </c>
    </row>
    <row r="1294" spans="2:16" ht="80.099999999999994" hidden="1">
      <c r="B1294" s="48" t="s">
        <v>2062</v>
      </c>
      <c r="C1294" s="115"/>
      <c r="D1294" s="116" t="s">
        <v>2783</v>
      </c>
      <c r="E1294" s="171" t="s">
        <v>46</v>
      </c>
      <c r="J1294" s="119">
        <v>45989</v>
      </c>
      <c r="K1294" s="329">
        <v>1838057</v>
      </c>
      <c r="N1294" s="182" t="s">
        <v>2784</v>
      </c>
      <c r="O1294" s="163"/>
      <c r="P1294" s="198" t="s">
        <v>49</v>
      </c>
    </row>
    <row r="1295" spans="2:16" ht="32.1" hidden="1">
      <c r="B1295" s="48" t="s">
        <v>2251</v>
      </c>
      <c r="C1295" s="115"/>
      <c r="D1295" s="116" t="s">
        <v>2785</v>
      </c>
      <c r="E1295" s="171" t="s">
        <v>46</v>
      </c>
      <c r="J1295" s="119">
        <v>45996</v>
      </c>
      <c r="K1295" s="329">
        <v>4111981</v>
      </c>
      <c r="N1295" s="182" t="s">
        <v>2786</v>
      </c>
      <c r="O1295" s="163"/>
      <c r="P1295" s="198" t="s">
        <v>49</v>
      </c>
    </row>
    <row r="1296" spans="2:16" ht="32.1" hidden="1">
      <c r="B1296" s="48" t="s">
        <v>2088</v>
      </c>
      <c r="C1296" s="115"/>
      <c r="D1296" s="116" t="s">
        <v>2787</v>
      </c>
      <c r="E1296" s="171" t="s">
        <v>46</v>
      </c>
      <c r="J1296" s="119">
        <v>45996</v>
      </c>
      <c r="K1296" s="329">
        <v>4117315</v>
      </c>
      <c r="N1296" s="182" t="s">
        <v>2788</v>
      </c>
      <c r="O1296" s="163"/>
      <c r="P1296" s="198" t="s">
        <v>49</v>
      </c>
    </row>
    <row r="1297" spans="2:16" ht="32.1" hidden="1">
      <c r="B1297" s="48" t="s">
        <v>2088</v>
      </c>
      <c r="C1297" s="115"/>
      <c r="D1297" s="116" t="s">
        <v>2789</v>
      </c>
      <c r="E1297" s="171" t="s">
        <v>46</v>
      </c>
      <c r="J1297" s="119">
        <v>45996</v>
      </c>
      <c r="K1297" s="329">
        <v>4122053</v>
      </c>
      <c r="N1297" s="182" t="s">
        <v>2790</v>
      </c>
      <c r="O1297" s="163"/>
      <c r="P1297" s="198" t="s">
        <v>49</v>
      </c>
    </row>
    <row r="1298" spans="2:16" ht="48" hidden="1">
      <c r="B1298" s="48" t="s">
        <v>2624</v>
      </c>
      <c r="C1298" s="115"/>
      <c r="D1298" s="116" t="s">
        <v>2791</v>
      </c>
      <c r="E1298" s="171" t="s">
        <v>46</v>
      </c>
      <c r="J1298" s="119">
        <v>45996</v>
      </c>
      <c r="K1298" s="329">
        <v>4123842</v>
      </c>
      <c r="N1298" s="182" t="s">
        <v>2792</v>
      </c>
      <c r="O1298" s="163"/>
      <c r="P1298" s="198" t="s">
        <v>49</v>
      </c>
    </row>
    <row r="1299" spans="2:16" ht="32.1" hidden="1">
      <c r="B1299" s="48" t="s">
        <v>2219</v>
      </c>
      <c r="C1299" s="115"/>
      <c r="D1299" s="116" t="s">
        <v>2793</v>
      </c>
      <c r="E1299" s="171" t="s">
        <v>46</v>
      </c>
      <c r="J1299" s="119">
        <v>45996</v>
      </c>
      <c r="K1299" s="329">
        <v>4122137</v>
      </c>
      <c r="N1299" s="182" t="s">
        <v>2794</v>
      </c>
      <c r="O1299" s="163"/>
      <c r="P1299" s="198" t="s">
        <v>49</v>
      </c>
    </row>
    <row r="1300" spans="2:16" ht="32.1" hidden="1">
      <c r="B1300" s="48" t="s">
        <v>2097</v>
      </c>
      <c r="C1300" s="115"/>
      <c r="D1300" s="116" t="s">
        <v>2795</v>
      </c>
      <c r="E1300" s="171" t="s">
        <v>46</v>
      </c>
      <c r="J1300" s="119">
        <v>45996</v>
      </c>
      <c r="K1300" s="329">
        <v>4121510</v>
      </c>
      <c r="N1300" s="182" t="s">
        <v>2796</v>
      </c>
      <c r="O1300" s="163"/>
      <c r="P1300" s="198" t="s">
        <v>49</v>
      </c>
    </row>
    <row r="1301" spans="2:16" ht="48" hidden="1">
      <c r="B1301" s="48" t="s">
        <v>2076</v>
      </c>
      <c r="C1301" s="115"/>
      <c r="D1301" s="116" t="s">
        <v>2797</v>
      </c>
      <c r="E1301" s="171" t="s">
        <v>46</v>
      </c>
      <c r="J1301" s="119">
        <v>45996</v>
      </c>
      <c r="K1301" s="329"/>
      <c r="N1301" s="182" t="s">
        <v>2798</v>
      </c>
      <c r="O1301" s="163"/>
      <c r="P1301" s="198" t="s">
        <v>49</v>
      </c>
    </row>
    <row r="1302" spans="2:16" ht="120.6" customHeight="1">
      <c r="B1302" s="48" t="s">
        <v>2095</v>
      </c>
      <c r="C1302" s="115"/>
      <c r="D1302" s="116" t="s">
        <v>2799</v>
      </c>
      <c r="E1302" s="171" t="s">
        <v>46</v>
      </c>
      <c r="J1302" s="119">
        <v>45996</v>
      </c>
      <c r="K1302" s="361">
        <v>4111966</v>
      </c>
      <c r="N1302" s="182" t="s">
        <v>2800</v>
      </c>
      <c r="O1302" s="163"/>
      <c r="P1302" s="198" t="s">
        <v>49</v>
      </c>
    </row>
    <row r="1303" spans="2:16" ht="30" hidden="1" customHeight="1">
      <c r="B1303" s="48" t="s">
        <v>2085</v>
      </c>
      <c r="C1303" s="115"/>
      <c r="D1303" s="116" t="s">
        <v>2801</v>
      </c>
      <c r="E1303" s="171" t="s">
        <v>46</v>
      </c>
      <c r="J1303" s="119">
        <v>46003</v>
      </c>
      <c r="K1303" s="359">
        <v>4164672</v>
      </c>
      <c r="N1303" s="182" t="s">
        <v>2802</v>
      </c>
      <c r="O1303" s="163"/>
      <c r="P1303" s="198" t="s">
        <v>49</v>
      </c>
    </row>
    <row r="1304" spans="2:16" ht="32.1" hidden="1">
      <c r="B1304" s="48" t="s">
        <v>2088</v>
      </c>
      <c r="C1304" s="115"/>
      <c r="D1304" s="116" t="s">
        <v>2803</v>
      </c>
      <c r="E1304" s="171" t="s">
        <v>46</v>
      </c>
      <c r="J1304" s="119">
        <v>46003</v>
      </c>
      <c r="K1304" s="358">
        <v>4168832</v>
      </c>
      <c r="N1304" s="182" t="s">
        <v>2804</v>
      </c>
      <c r="O1304" s="163"/>
      <c r="P1304" s="198" t="s">
        <v>49</v>
      </c>
    </row>
    <row r="1305" spans="2:16" ht="160.5" hidden="1" customHeight="1">
      <c r="B1305" s="48" t="s">
        <v>2219</v>
      </c>
      <c r="C1305" s="115"/>
      <c r="D1305" s="116" t="s">
        <v>2805</v>
      </c>
      <c r="E1305" s="171" t="s">
        <v>46</v>
      </c>
      <c r="J1305" s="119">
        <v>46003</v>
      </c>
      <c r="K1305" s="329">
        <v>4158494</v>
      </c>
      <c r="N1305" s="182" t="s">
        <v>2806</v>
      </c>
      <c r="O1305" s="163"/>
      <c r="P1305" s="198" t="s">
        <v>49</v>
      </c>
    </row>
    <row r="1306" spans="2:16" ht="63.95" hidden="1">
      <c r="B1306" s="48" t="s">
        <v>2134</v>
      </c>
      <c r="C1306" s="115"/>
      <c r="D1306" s="116" t="s">
        <v>2807</v>
      </c>
      <c r="E1306" s="171" t="s">
        <v>46</v>
      </c>
      <c r="J1306" s="119">
        <v>46003</v>
      </c>
      <c r="K1306" s="329">
        <v>4153929</v>
      </c>
      <c r="N1306" s="182" t="s">
        <v>2808</v>
      </c>
      <c r="O1306" s="163"/>
      <c r="P1306" s="198" t="s">
        <v>49</v>
      </c>
    </row>
    <row r="1307" spans="2:16" ht="111.95" hidden="1">
      <c r="B1307" s="48" t="s">
        <v>2134</v>
      </c>
      <c r="C1307" s="115"/>
      <c r="D1307" s="116" t="s">
        <v>2809</v>
      </c>
      <c r="E1307" s="171" t="s">
        <v>46</v>
      </c>
      <c r="J1307" s="119">
        <v>46003</v>
      </c>
      <c r="K1307" s="329">
        <v>4164050</v>
      </c>
      <c r="N1307" s="182" t="s">
        <v>2810</v>
      </c>
      <c r="O1307" s="163"/>
      <c r="P1307" s="198" t="s">
        <v>49</v>
      </c>
    </row>
    <row r="1308" spans="2:16" ht="32.1" hidden="1">
      <c r="B1308" s="48" t="s">
        <v>2134</v>
      </c>
      <c r="C1308" s="115"/>
      <c r="D1308" s="116" t="s">
        <v>2811</v>
      </c>
      <c r="E1308" s="171" t="s">
        <v>46</v>
      </c>
      <c r="J1308" s="119">
        <v>46003</v>
      </c>
      <c r="K1308" s="329">
        <v>4168899</v>
      </c>
      <c r="N1308" s="182" t="s">
        <v>2804</v>
      </c>
      <c r="O1308" s="163"/>
      <c r="P1308" s="198" t="s">
        <v>49</v>
      </c>
    </row>
    <row r="1309" spans="2:16" ht="48" hidden="1">
      <c r="B1309" s="48" t="s">
        <v>2137</v>
      </c>
      <c r="C1309" s="115"/>
      <c r="D1309" s="116" t="s">
        <v>2811</v>
      </c>
      <c r="E1309" s="171" t="s">
        <v>46</v>
      </c>
      <c r="J1309" s="119">
        <v>46003</v>
      </c>
      <c r="K1309" s="329">
        <v>4168860</v>
      </c>
      <c r="N1309" s="182" t="s">
        <v>2812</v>
      </c>
      <c r="O1309" s="163"/>
      <c r="P1309" s="198" t="s">
        <v>49</v>
      </c>
    </row>
    <row r="1310" spans="2:16" ht="63.95" hidden="1">
      <c r="B1310" s="48" t="s">
        <v>2062</v>
      </c>
      <c r="C1310" s="115"/>
      <c r="D1310" s="116" t="s">
        <v>2813</v>
      </c>
      <c r="E1310" s="171" t="s">
        <v>46</v>
      </c>
      <c r="J1310" s="119">
        <v>46003</v>
      </c>
      <c r="K1310" s="329">
        <v>4168491</v>
      </c>
      <c r="N1310" s="182" t="s">
        <v>2814</v>
      </c>
      <c r="O1310" s="163" t="s">
        <v>2815</v>
      </c>
      <c r="P1310" s="198" t="s">
        <v>49</v>
      </c>
    </row>
    <row r="1311" spans="2:16" ht="38.1" hidden="1" customHeight="1">
      <c r="B1311" s="48" t="s">
        <v>2203</v>
      </c>
      <c r="C1311" s="115"/>
      <c r="D1311" s="116" t="s">
        <v>2816</v>
      </c>
      <c r="E1311" s="171" t="s">
        <v>46</v>
      </c>
      <c r="J1311" s="119">
        <v>46003</v>
      </c>
      <c r="K1311" s="329">
        <v>4152794</v>
      </c>
      <c r="N1311" s="182" t="s">
        <v>2817</v>
      </c>
      <c r="O1311" s="163"/>
      <c r="P1311" s="198" t="s">
        <v>49</v>
      </c>
    </row>
    <row r="1312" spans="2:16" ht="32.1" hidden="1">
      <c r="B1312" s="48" t="s">
        <v>2088</v>
      </c>
      <c r="C1312" s="115"/>
      <c r="D1312" s="116" t="s">
        <v>2818</v>
      </c>
      <c r="E1312" s="171" t="s">
        <v>46</v>
      </c>
      <c r="J1312" s="119">
        <v>46010</v>
      </c>
      <c r="K1312" s="329">
        <v>4191920</v>
      </c>
      <c r="N1312" s="182" t="s">
        <v>2819</v>
      </c>
      <c r="O1312" s="163"/>
      <c r="P1312" s="198" t="s">
        <v>49</v>
      </c>
    </row>
    <row r="1313" spans="2:16" ht="96" hidden="1">
      <c r="B1313" s="48" t="s">
        <v>2088</v>
      </c>
      <c r="C1313" s="115"/>
      <c r="D1313" s="116" t="s">
        <v>2820</v>
      </c>
      <c r="E1313" s="171" t="s">
        <v>46</v>
      </c>
      <c r="J1313" s="119">
        <v>46010</v>
      </c>
      <c r="K1313" s="329">
        <v>4194440</v>
      </c>
      <c r="N1313" s="182" t="s">
        <v>2821</v>
      </c>
      <c r="O1313" s="163"/>
      <c r="P1313" s="198" t="s">
        <v>49</v>
      </c>
    </row>
    <row r="1314" spans="2:16" ht="341.1" hidden="1" customHeight="1">
      <c r="B1314" s="48" t="s">
        <v>2065</v>
      </c>
      <c r="C1314" s="115"/>
      <c r="D1314" s="116" t="s">
        <v>2822</v>
      </c>
      <c r="E1314" s="171" t="s">
        <v>46</v>
      </c>
      <c r="J1314" s="119">
        <v>46010</v>
      </c>
      <c r="K1314" s="329">
        <v>4058200</v>
      </c>
      <c r="N1314" s="182" t="s">
        <v>2823</v>
      </c>
      <c r="O1314" s="163"/>
      <c r="P1314" s="198" t="s">
        <v>204</v>
      </c>
    </row>
    <row r="1315" spans="2:16" ht="32.1" hidden="1">
      <c r="B1315" s="48" t="s">
        <v>2300</v>
      </c>
      <c r="C1315" s="115"/>
      <c r="D1315" s="116" t="s">
        <v>2824</v>
      </c>
      <c r="E1315" s="171" t="s">
        <v>46</v>
      </c>
      <c r="J1315" s="119">
        <v>46010</v>
      </c>
      <c r="K1315" s="329">
        <v>4184163</v>
      </c>
      <c r="N1315" s="182" t="s">
        <v>2825</v>
      </c>
      <c r="O1315" s="163"/>
      <c r="P1315" s="198" t="s">
        <v>49</v>
      </c>
    </row>
    <row r="1316" spans="2:16" ht="96" hidden="1">
      <c r="B1316" s="48" t="s">
        <v>2300</v>
      </c>
      <c r="C1316" s="115"/>
      <c r="D1316" s="116" t="s">
        <v>2826</v>
      </c>
      <c r="E1316" s="171" t="s">
        <v>46</v>
      </c>
      <c r="J1316" s="119">
        <v>46010</v>
      </c>
      <c r="K1316" s="329">
        <v>4184184</v>
      </c>
      <c r="N1316" s="182" t="s">
        <v>2827</v>
      </c>
      <c r="O1316" s="163"/>
      <c r="P1316" s="198" t="s">
        <v>49</v>
      </c>
    </row>
    <row r="1317" spans="2:16" ht="32.1" hidden="1">
      <c r="B1317" s="48" t="s">
        <v>2300</v>
      </c>
      <c r="C1317" s="115"/>
      <c r="D1317" s="116" t="s">
        <v>2828</v>
      </c>
      <c r="E1317" s="171" t="s">
        <v>46</v>
      </c>
      <c r="J1317" s="119">
        <v>46010</v>
      </c>
      <c r="K1317" s="329">
        <v>4185302</v>
      </c>
      <c r="N1317" s="182" t="s">
        <v>2829</v>
      </c>
      <c r="O1317" s="163"/>
      <c r="P1317" s="198" t="s">
        <v>49</v>
      </c>
    </row>
    <row r="1318" spans="2:16" ht="32.1" hidden="1">
      <c r="B1318" s="48" t="s">
        <v>2072</v>
      </c>
      <c r="C1318" s="115"/>
      <c r="D1318" s="116" t="s">
        <v>2830</v>
      </c>
      <c r="E1318" s="171" t="s">
        <v>46</v>
      </c>
      <c r="J1318" s="119">
        <v>46010</v>
      </c>
      <c r="K1318" s="329">
        <v>4184133</v>
      </c>
      <c r="N1318" s="182" t="s">
        <v>2831</v>
      </c>
      <c r="O1318" s="163"/>
      <c r="P1318" s="198" t="s">
        <v>49</v>
      </c>
    </row>
    <row r="1319" spans="2:16" ht="48" hidden="1">
      <c r="B1319" s="48" t="s">
        <v>2093</v>
      </c>
      <c r="C1319" s="115"/>
      <c r="D1319" s="116" t="s">
        <v>2832</v>
      </c>
      <c r="E1319" s="171" t="s">
        <v>46</v>
      </c>
      <c r="J1319" s="119">
        <v>46010</v>
      </c>
      <c r="K1319" s="329">
        <v>4189152</v>
      </c>
      <c r="N1319" s="182" t="s">
        <v>2833</v>
      </c>
      <c r="O1319" s="163"/>
      <c r="P1319" s="198" t="s">
        <v>49</v>
      </c>
    </row>
    <row r="1320" spans="2:16" ht="224.1" hidden="1">
      <c r="B1320" s="48" t="s">
        <v>2076</v>
      </c>
      <c r="C1320" s="115"/>
      <c r="D1320" s="116" t="s">
        <v>2834</v>
      </c>
      <c r="E1320" s="171" t="s">
        <v>46</v>
      </c>
      <c r="J1320" s="119">
        <v>46010</v>
      </c>
      <c r="K1320" s="329">
        <v>4195089</v>
      </c>
      <c r="N1320" s="182" t="s">
        <v>2835</v>
      </c>
      <c r="O1320" s="163"/>
      <c r="P1320" s="198" t="s">
        <v>49</v>
      </c>
    </row>
    <row r="1321" spans="2:16" ht="90.95" hidden="1" customHeight="1">
      <c r="B1321" s="48" t="s">
        <v>2062</v>
      </c>
      <c r="C1321" s="115"/>
      <c r="D1321" s="116" t="s">
        <v>2836</v>
      </c>
      <c r="E1321" s="171" t="s">
        <v>46</v>
      </c>
      <c r="J1321" s="119">
        <v>46010</v>
      </c>
      <c r="K1321" s="329">
        <v>4194848</v>
      </c>
      <c r="N1321" s="182" t="s">
        <v>2837</v>
      </c>
      <c r="O1321" s="163"/>
      <c r="P1321" s="198" t="s">
        <v>49</v>
      </c>
    </row>
    <row r="1322" spans="2:16" ht="32.1" hidden="1">
      <c r="B1322" s="48" t="s">
        <v>2158</v>
      </c>
      <c r="C1322" s="115"/>
      <c r="D1322" s="116" t="s">
        <v>2838</v>
      </c>
      <c r="E1322" s="171" t="s">
        <v>46</v>
      </c>
      <c r="J1322" s="119">
        <v>46010</v>
      </c>
      <c r="K1322" s="361">
        <v>4188754</v>
      </c>
      <c r="N1322" s="182" t="s">
        <v>2839</v>
      </c>
      <c r="O1322" s="163"/>
      <c r="P1322" s="198" t="s">
        <v>49</v>
      </c>
    </row>
    <row r="1323" spans="2:16" ht="144" hidden="1">
      <c r="B1323" s="48" t="s">
        <v>2085</v>
      </c>
      <c r="C1323" s="115"/>
      <c r="D1323" s="116" t="s">
        <v>2840</v>
      </c>
      <c r="E1323" s="171" t="s">
        <v>46</v>
      </c>
      <c r="J1323" s="119">
        <v>46017</v>
      </c>
      <c r="K1323" s="359">
        <v>4219739</v>
      </c>
      <c r="N1323" s="182" t="s">
        <v>2841</v>
      </c>
      <c r="O1323" s="163"/>
      <c r="P1323" s="198" t="s">
        <v>49</v>
      </c>
    </row>
    <row r="1324" spans="2:16" ht="63.95" hidden="1">
      <c r="B1324" s="48" t="s">
        <v>2085</v>
      </c>
      <c r="C1324" s="115"/>
      <c r="D1324" s="116" t="s">
        <v>2842</v>
      </c>
      <c r="E1324" s="171" t="s">
        <v>46</v>
      </c>
      <c r="J1324" s="119">
        <v>46017</v>
      </c>
      <c r="K1324" s="359">
        <v>4224739</v>
      </c>
      <c r="N1324" s="182" t="s">
        <v>2843</v>
      </c>
      <c r="O1324" s="163"/>
      <c r="P1324" s="198" t="s">
        <v>49</v>
      </c>
    </row>
    <row r="1325" spans="2:16" ht="32.1" hidden="1">
      <c r="B1325" s="48" t="s">
        <v>2231</v>
      </c>
      <c r="C1325" s="115"/>
      <c r="D1325" s="116" t="s">
        <v>2844</v>
      </c>
      <c r="E1325" s="171" t="s">
        <v>46</v>
      </c>
      <c r="J1325" s="119">
        <v>46017</v>
      </c>
      <c r="K1325" s="358">
        <v>4224671</v>
      </c>
      <c r="N1325" s="182" t="s">
        <v>2845</v>
      </c>
      <c r="O1325" s="163"/>
      <c r="P1325" s="198" t="s">
        <v>49</v>
      </c>
    </row>
    <row r="1326" spans="2:16" ht="48" hidden="1">
      <c r="B1326" s="48" t="s">
        <v>2065</v>
      </c>
      <c r="C1326" s="115"/>
      <c r="D1326" s="116" t="s">
        <v>2846</v>
      </c>
      <c r="E1326" s="171" t="s">
        <v>46</v>
      </c>
      <c r="J1326" s="119">
        <v>46017</v>
      </c>
      <c r="K1326" s="329"/>
      <c r="N1326" s="182" t="s">
        <v>2847</v>
      </c>
      <c r="O1326" s="163"/>
      <c r="P1326" s="198" t="s">
        <v>49</v>
      </c>
    </row>
    <row r="1327" spans="2:16" ht="409.6" hidden="1" customHeight="1">
      <c r="B1327" s="48" t="s">
        <v>2127</v>
      </c>
      <c r="C1327" s="115"/>
      <c r="D1327" s="116" t="s">
        <v>2848</v>
      </c>
      <c r="E1327" s="171" t="s">
        <v>46</v>
      </c>
      <c r="J1327" s="119">
        <v>46017</v>
      </c>
      <c r="K1327" s="329">
        <v>4224596</v>
      </c>
      <c r="N1327" s="182" t="s">
        <v>2849</v>
      </c>
      <c r="O1327" s="163"/>
      <c r="P1327" s="198" t="s">
        <v>49</v>
      </c>
    </row>
    <row r="1328" spans="2:16" ht="48" hidden="1">
      <c r="B1328" s="48" t="s">
        <v>2088</v>
      </c>
      <c r="C1328" s="115"/>
      <c r="D1328" s="116" t="s">
        <v>2850</v>
      </c>
      <c r="E1328" s="171" t="s">
        <v>46</v>
      </c>
      <c r="J1328" s="119">
        <v>46029</v>
      </c>
      <c r="K1328" s="329">
        <v>4291064</v>
      </c>
      <c r="N1328" s="182" t="s">
        <v>2851</v>
      </c>
      <c r="O1328" s="163"/>
      <c r="P1328" s="198" t="s">
        <v>49</v>
      </c>
    </row>
    <row r="1329" spans="2:16" ht="44.1" customHeight="1">
      <c r="B1329" s="48" t="s">
        <v>2095</v>
      </c>
      <c r="C1329" s="115"/>
      <c r="D1329" s="116" t="s">
        <v>2852</v>
      </c>
      <c r="E1329" s="171" t="s">
        <v>46</v>
      </c>
      <c r="J1329" s="119">
        <v>46029</v>
      </c>
      <c r="K1329" s="329">
        <v>4301959</v>
      </c>
      <c r="N1329" s="182" t="s">
        <v>2853</v>
      </c>
      <c r="O1329" s="163"/>
      <c r="P1329" s="198" t="s">
        <v>49</v>
      </c>
    </row>
    <row r="1330" spans="2:16" ht="48">
      <c r="B1330" s="48" t="s">
        <v>2095</v>
      </c>
      <c r="C1330" s="115"/>
      <c r="D1330" s="116" t="s">
        <v>2854</v>
      </c>
      <c r="E1330" s="171" t="s">
        <v>46</v>
      </c>
      <c r="J1330" s="119">
        <v>46029</v>
      </c>
      <c r="K1330" s="361">
        <v>4301980</v>
      </c>
      <c r="N1330" s="182" t="s">
        <v>2853</v>
      </c>
      <c r="O1330" s="163"/>
      <c r="P1330" s="198" t="s">
        <v>49</v>
      </c>
    </row>
    <row r="1331" spans="2:16" ht="47.45" hidden="1" customHeight="1">
      <c r="B1331" s="48" t="s">
        <v>2085</v>
      </c>
      <c r="C1331" s="115"/>
      <c r="D1331" s="116" t="s">
        <v>2855</v>
      </c>
      <c r="E1331" s="171" t="s">
        <v>46</v>
      </c>
      <c r="J1331" s="119">
        <v>46031</v>
      </c>
      <c r="K1331" s="359"/>
      <c r="N1331" s="182" t="s">
        <v>2856</v>
      </c>
      <c r="O1331" s="163"/>
      <c r="P1331" s="198" t="s">
        <v>49</v>
      </c>
    </row>
    <row r="1332" spans="2:16" ht="103.5" hidden="1" customHeight="1">
      <c r="B1332" s="48" t="s">
        <v>2231</v>
      </c>
      <c r="C1332" s="115"/>
      <c r="D1332" s="116" t="s">
        <v>2857</v>
      </c>
      <c r="E1332" s="171" t="s">
        <v>46</v>
      </c>
      <c r="J1332" s="119">
        <v>46031</v>
      </c>
      <c r="K1332" s="358"/>
      <c r="N1332" s="182" t="s">
        <v>2858</v>
      </c>
      <c r="O1332" s="163"/>
      <c r="P1332" s="198" t="s">
        <v>49</v>
      </c>
    </row>
    <row r="1333" spans="2:16" ht="45.6" hidden="1" customHeight="1">
      <c r="B1333" s="48" t="s">
        <v>2109</v>
      </c>
      <c r="C1333" s="115"/>
      <c r="D1333" s="116" t="s">
        <v>2859</v>
      </c>
      <c r="E1333" s="171" t="s">
        <v>46</v>
      </c>
      <c r="J1333" s="119">
        <v>46031</v>
      </c>
      <c r="K1333" s="329">
        <v>4306889</v>
      </c>
      <c r="N1333" s="182" t="s">
        <v>2860</v>
      </c>
      <c r="O1333" s="163"/>
      <c r="P1333" s="198" t="s">
        <v>49</v>
      </c>
    </row>
    <row r="1334" spans="2:16" ht="39" hidden="1" customHeight="1">
      <c r="B1334" s="48" t="s">
        <v>2109</v>
      </c>
      <c r="C1334" s="115"/>
      <c r="D1334" s="116" t="s">
        <v>2861</v>
      </c>
      <c r="E1334" s="171" t="s">
        <v>46</v>
      </c>
      <c r="J1334" s="119">
        <v>46031</v>
      </c>
      <c r="K1334" s="329">
        <v>4306913</v>
      </c>
      <c r="N1334" s="182" t="s">
        <v>2860</v>
      </c>
      <c r="O1334" s="163"/>
      <c r="P1334" s="198" t="s">
        <v>49</v>
      </c>
    </row>
    <row r="1335" spans="2:16" ht="54.6" hidden="1" customHeight="1">
      <c r="B1335" s="48" t="s">
        <v>2088</v>
      </c>
      <c r="C1335" s="115"/>
      <c r="D1335" s="116" t="s">
        <v>2862</v>
      </c>
      <c r="E1335" s="171" t="s">
        <v>46</v>
      </c>
      <c r="J1335" s="119">
        <v>46031</v>
      </c>
      <c r="K1335" s="329">
        <v>4311709</v>
      </c>
      <c r="N1335" s="182" t="s">
        <v>2863</v>
      </c>
      <c r="O1335" s="163"/>
      <c r="P1335" s="198" t="s">
        <v>49</v>
      </c>
    </row>
    <row r="1336" spans="2:16" ht="34.5" hidden="1" customHeight="1">
      <c r="B1336" s="48" t="s">
        <v>2101</v>
      </c>
      <c r="C1336" s="115"/>
      <c r="D1336" s="116" t="s">
        <v>2864</v>
      </c>
      <c r="E1336" s="171" t="s">
        <v>46</v>
      </c>
      <c r="J1336" s="119">
        <v>46031</v>
      </c>
      <c r="K1336" s="361">
        <v>4313280</v>
      </c>
      <c r="N1336" s="182" t="s">
        <v>2865</v>
      </c>
      <c r="O1336" s="163"/>
      <c r="P1336" s="198" t="s">
        <v>49</v>
      </c>
    </row>
    <row r="1337" spans="2:16" ht="63.95" hidden="1">
      <c r="B1337" s="48" t="s">
        <v>2085</v>
      </c>
      <c r="C1337" s="115"/>
      <c r="D1337" s="116" t="s">
        <v>2866</v>
      </c>
      <c r="E1337" s="171" t="s">
        <v>46</v>
      </c>
      <c r="J1337" s="119">
        <v>46038</v>
      </c>
      <c r="K1337" s="359">
        <v>4343344</v>
      </c>
      <c r="N1337" s="182" t="s">
        <v>2867</v>
      </c>
      <c r="O1337" s="163"/>
      <c r="P1337" s="198" t="s">
        <v>49</v>
      </c>
    </row>
    <row r="1338" spans="2:16" ht="159.94999999999999" hidden="1">
      <c r="B1338" s="48" t="s">
        <v>2085</v>
      </c>
      <c r="C1338" s="115"/>
      <c r="D1338" s="116" t="s">
        <v>2868</v>
      </c>
      <c r="E1338" s="171" t="s">
        <v>46</v>
      </c>
      <c r="J1338" s="119">
        <v>46038</v>
      </c>
      <c r="K1338" s="359">
        <v>4343643</v>
      </c>
      <c r="N1338" s="182" t="s">
        <v>2869</v>
      </c>
      <c r="O1338" s="163"/>
      <c r="P1338" s="198" t="s">
        <v>49</v>
      </c>
    </row>
    <row r="1339" spans="2:16" ht="48" hidden="1">
      <c r="B1339" s="48" t="s">
        <v>2085</v>
      </c>
      <c r="C1339" s="115"/>
      <c r="D1339" s="116" t="s">
        <v>2870</v>
      </c>
      <c r="E1339" s="171" t="s">
        <v>46</v>
      </c>
      <c r="J1339" s="119">
        <v>46038</v>
      </c>
      <c r="K1339" s="359">
        <v>4348662</v>
      </c>
      <c r="N1339" s="182" t="s">
        <v>2871</v>
      </c>
      <c r="O1339" s="163"/>
      <c r="P1339" s="198" t="s">
        <v>49</v>
      </c>
    </row>
    <row r="1340" spans="2:16" ht="32.1" hidden="1">
      <c r="B1340" s="48" t="s">
        <v>2104</v>
      </c>
      <c r="C1340" s="115"/>
      <c r="D1340" s="116" t="s">
        <v>2872</v>
      </c>
      <c r="E1340" s="171" t="s">
        <v>46</v>
      </c>
      <c r="J1340" s="119">
        <v>46038</v>
      </c>
      <c r="K1340" s="358">
        <v>4338151</v>
      </c>
      <c r="N1340" s="182" t="s">
        <v>2873</v>
      </c>
      <c r="O1340" s="163"/>
      <c r="P1340" s="198" t="s">
        <v>49</v>
      </c>
    </row>
    <row r="1341" spans="2:16" ht="48" hidden="1">
      <c r="B1341" s="48" t="s">
        <v>2231</v>
      </c>
      <c r="C1341" s="115"/>
      <c r="D1341" s="116" t="s">
        <v>2874</v>
      </c>
      <c r="E1341" s="171" t="s">
        <v>46</v>
      </c>
      <c r="J1341" s="119">
        <v>46038</v>
      </c>
      <c r="K1341" s="329">
        <v>4348701</v>
      </c>
      <c r="N1341" s="182" t="s">
        <v>2875</v>
      </c>
      <c r="O1341" s="163"/>
      <c r="P1341" s="198" t="s">
        <v>49</v>
      </c>
    </row>
    <row r="1342" spans="2:16" ht="32.1" hidden="1">
      <c r="B1342" s="48" t="s">
        <v>2109</v>
      </c>
      <c r="C1342" s="115"/>
      <c r="D1342" s="116" t="s">
        <v>2876</v>
      </c>
      <c r="E1342" s="171" t="s">
        <v>46</v>
      </c>
      <c r="J1342" s="119">
        <v>46038</v>
      </c>
      <c r="K1342" s="329">
        <v>4328048</v>
      </c>
      <c r="N1342" s="182" t="s">
        <v>2877</v>
      </c>
      <c r="O1342" s="163"/>
      <c r="P1342" s="198" t="s">
        <v>49</v>
      </c>
    </row>
    <row r="1343" spans="2:16" ht="176.1" hidden="1">
      <c r="B1343" s="48" t="s">
        <v>2134</v>
      </c>
      <c r="C1343" s="115"/>
      <c r="D1343" s="116" t="s">
        <v>2878</v>
      </c>
      <c r="E1343" s="171" t="s">
        <v>46</v>
      </c>
      <c r="J1343" s="119">
        <v>46038</v>
      </c>
      <c r="K1343" s="329">
        <v>4328466</v>
      </c>
      <c r="N1343" s="182" t="s">
        <v>2879</v>
      </c>
      <c r="O1343" s="163"/>
      <c r="P1343" s="198" t="s">
        <v>49</v>
      </c>
    </row>
    <row r="1344" spans="2:16" ht="32.1" hidden="1">
      <c r="B1344" s="48" t="s">
        <v>2079</v>
      </c>
      <c r="C1344" s="115"/>
      <c r="D1344" s="116" t="s">
        <v>2880</v>
      </c>
      <c r="E1344" s="171" t="s">
        <v>46</v>
      </c>
      <c r="J1344" s="119">
        <v>46038</v>
      </c>
      <c r="K1344" s="329">
        <v>4348982</v>
      </c>
      <c r="N1344" s="182" t="s">
        <v>2881</v>
      </c>
      <c r="O1344" s="163"/>
      <c r="P1344" s="198" t="s">
        <v>49</v>
      </c>
    </row>
    <row r="1345" spans="2:16" ht="32.1" hidden="1">
      <c r="B1345" s="48" t="s">
        <v>2079</v>
      </c>
      <c r="C1345" s="115"/>
      <c r="D1345" s="116" t="s">
        <v>2882</v>
      </c>
      <c r="E1345" s="171" t="s">
        <v>46</v>
      </c>
      <c r="J1345" s="119">
        <v>46038</v>
      </c>
      <c r="K1345" s="329">
        <v>4349071</v>
      </c>
      <c r="N1345" s="182" t="s">
        <v>2881</v>
      </c>
      <c r="O1345" s="163"/>
      <c r="P1345" s="198" t="s">
        <v>49</v>
      </c>
    </row>
    <row r="1346" spans="2:16" ht="32.1" hidden="1">
      <c r="B1346" s="48" t="s">
        <v>2079</v>
      </c>
      <c r="C1346" s="115"/>
      <c r="D1346" s="116" t="s">
        <v>2883</v>
      </c>
      <c r="E1346" s="171" t="s">
        <v>46</v>
      </c>
      <c r="J1346" s="119">
        <v>46038</v>
      </c>
      <c r="K1346" s="329">
        <v>4349084</v>
      </c>
      <c r="N1346" s="182" t="s">
        <v>2881</v>
      </c>
      <c r="O1346" s="163"/>
      <c r="P1346" s="198" t="s">
        <v>49</v>
      </c>
    </row>
    <row r="1347" spans="2:16" ht="32.1" hidden="1">
      <c r="B1347" s="48" t="s">
        <v>2062</v>
      </c>
      <c r="C1347" s="115"/>
      <c r="D1347" s="116" t="s">
        <v>2884</v>
      </c>
      <c r="E1347" s="171" t="s">
        <v>46</v>
      </c>
      <c r="J1347" s="119">
        <v>46038</v>
      </c>
      <c r="K1347" s="329">
        <v>4327955</v>
      </c>
      <c r="N1347" s="182" t="s">
        <v>2877</v>
      </c>
      <c r="O1347" s="163"/>
      <c r="P1347" s="198" t="s">
        <v>49</v>
      </c>
    </row>
    <row r="1348" spans="2:16" ht="176.1" hidden="1">
      <c r="B1348" s="48" t="s">
        <v>2062</v>
      </c>
      <c r="C1348" s="115"/>
      <c r="D1348" s="116" t="s">
        <v>2885</v>
      </c>
      <c r="E1348" s="171" t="s">
        <v>46</v>
      </c>
      <c r="J1348" s="119">
        <v>46038</v>
      </c>
      <c r="K1348" s="361">
        <v>4343287</v>
      </c>
      <c r="N1348" s="182" t="s">
        <v>2886</v>
      </c>
      <c r="O1348" s="163"/>
      <c r="P1348" s="198" t="s">
        <v>49</v>
      </c>
    </row>
    <row r="1349" spans="2:16" ht="32.1" hidden="1">
      <c r="B1349" s="48" t="s">
        <v>2085</v>
      </c>
      <c r="C1349" s="115"/>
      <c r="D1349" s="116" t="s">
        <v>2887</v>
      </c>
      <c r="E1349" s="171" t="s">
        <v>46</v>
      </c>
      <c r="J1349" s="119">
        <v>46045</v>
      </c>
      <c r="K1349" s="359">
        <v>4364718</v>
      </c>
      <c r="N1349" s="182" t="s">
        <v>2888</v>
      </c>
      <c r="O1349" s="163"/>
      <c r="P1349" s="198" t="s">
        <v>49</v>
      </c>
    </row>
    <row r="1350" spans="2:16" ht="159.94999999999999" hidden="1">
      <c r="B1350" s="48" t="s">
        <v>2085</v>
      </c>
      <c r="C1350" s="115"/>
      <c r="D1350" s="116" t="s">
        <v>2889</v>
      </c>
      <c r="E1350" s="171" t="s">
        <v>46</v>
      </c>
      <c r="J1350" s="119">
        <v>46045</v>
      </c>
      <c r="K1350" s="359">
        <v>4394511</v>
      </c>
      <c r="N1350" s="182" t="s">
        <v>2890</v>
      </c>
      <c r="O1350" s="163"/>
      <c r="P1350" s="198" t="s">
        <v>49</v>
      </c>
    </row>
    <row r="1351" spans="2:16" ht="32.1" hidden="1">
      <c r="B1351" s="48" t="s">
        <v>2109</v>
      </c>
      <c r="C1351" s="115"/>
      <c r="D1351" s="116" t="s">
        <v>2891</v>
      </c>
      <c r="E1351" s="171" t="s">
        <v>46</v>
      </c>
      <c r="J1351" s="119">
        <v>46045</v>
      </c>
      <c r="K1351" s="358">
        <v>4364759</v>
      </c>
      <c r="N1351" s="182" t="s">
        <v>2892</v>
      </c>
      <c r="O1351" s="163"/>
      <c r="P1351" s="198" t="s">
        <v>49</v>
      </c>
    </row>
    <row r="1352" spans="2:16" ht="80.099999999999994" hidden="1">
      <c r="B1352" s="48" t="s">
        <v>2109</v>
      </c>
      <c r="C1352" s="115"/>
      <c r="D1352" s="116" t="s">
        <v>2893</v>
      </c>
      <c r="E1352" s="171" t="s">
        <v>46</v>
      </c>
      <c r="J1352" s="119">
        <v>46045</v>
      </c>
      <c r="K1352" s="329"/>
      <c r="N1352" s="182" t="s">
        <v>2894</v>
      </c>
      <c r="O1352" s="163"/>
      <c r="P1352" s="198" t="s">
        <v>49</v>
      </c>
    </row>
    <row r="1353" spans="2:16" ht="32.1" hidden="1">
      <c r="B1353" s="48" t="s">
        <v>2088</v>
      </c>
      <c r="C1353" s="115"/>
      <c r="D1353" s="116" t="s">
        <v>2895</v>
      </c>
      <c r="E1353" s="171" t="s">
        <v>46</v>
      </c>
      <c r="J1353" s="119">
        <v>46045</v>
      </c>
      <c r="K1353" s="329">
        <v>4364600</v>
      </c>
      <c r="N1353" s="182" t="s">
        <v>2896</v>
      </c>
      <c r="O1353" s="163"/>
      <c r="P1353" s="198" t="s">
        <v>49</v>
      </c>
    </row>
    <row r="1354" spans="2:16" ht="32.1" hidden="1">
      <c r="B1354" s="48" t="s">
        <v>2088</v>
      </c>
      <c r="C1354" s="115"/>
      <c r="D1354" s="116" t="s">
        <v>2897</v>
      </c>
      <c r="E1354" s="171" t="s">
        <v>46</v>
      </c>
      <c r="J1354" s="119">
        <v>46045</v>
      </c>
      <c r="K1354" s="329">
        <v>4364677</v>
      </c>
      <c r="N1354" s="182" t="s">
        <v>2898</v>
      </c>
      <c r="O1354" s="163"/>
      <c r="P1354" s="198" t="s">
        <v>49</v>
      </c>
    </row>
    <row r="1355" spans="2:16" ht="48" hidden="1">
      <c r="B1355" s="48" t="s">
        <v>2088</v>
      </c>
      <c r="C1355" s="115"/>
      <c r="D1355" s="116" t="s">
        <v>2899</v>
      </c>
      <c r="E1355" s="171" t="s">
        <v>46</v>
      </c>
      <c r="J1355" s="119">
        <v>46045</v>
      </c>
      <c r="K1355" s="329">
        <v>4375620</v>
      </c>
      <c r="N1355" s="182" t="s">
        <v>2900</v>
      </c>
      <c r="O1355" s="163"/>
      <c r="P1355" s="198" t="s">
        <v>49</v>
      </c>
    </row>
    <row r="1356" spans="2:16" ht="80.099999999999994" hidden="1">
      <c r="B1356" s="48" t="s">
        <v>2088</v>
      </c>
      <c r="C1356" s="115"/>
      <c r="D1356" s="116" t="s">
        <v>2901</v>
      </c>
      <c r="E1356" s="171" t="s">
        <v>46</v>
      </c>
      <c r="J1356" s="119">
        <v>46045</v>
      </c>
      <c r="K1356" s="329">
        <v>4368893</v>
      </c>
      <c r="N1356" s="182" t="s">
        <v>2902</v>
      </c>
      <c r="O1356" s="163"/>
      <c r="P1356" s="198" t="s">
        <v>49</v>
      </c>
    </row>
    <row r="1357" spans="2:16" ht="63.95" hidden="1">
      <c r="B1357" s="48" t="s">
        <v>2127</v>
      </c>
      <c r="C1357" s="115"/>
      <c r="D1357" s="116" t="s">
        <v>2903</v>
      </c>
      <c r="E1357" s="171" t="s">
        <v>46</v>
      </c>
      <c r="J1357" s="119">
        <v>46045</v>
      </c>
      <c r="K1357" s="329">
        <v>4375685</v>
      </c>
      <c r="N1357" s="182" t="s">
        <v>2904</v>
      </c>
      <c r="O1357" s="163"/>
      <c r="P1357" s="198" t="s">
        <v>49</v>
      </c>
    </row>
    <row r="1358" spans="2:16" ht="32.1" hidden="1">
      <c r="B1358" s="48" t="s">
        <v>2345</v>
      </c>
      <c r="C1358" s="115"/>
      <c r="D1358" s="116" t="s">
        <v>2905</v>
      </c>
      <c r="E1358" s="171" t="s">
        <v>46</v>
      </c>
      <c r="J1358" s="119">
        <v>46045</v>
      </c>
      <c r="K1358" s="329">
        <v>4375357</v>
      </c>
      <c r="N1358" s="182" t="s">
        <v>2906</v>
      </c>
      <c r="O1358" s="163"/>
      <c r="P1358" s="198" t="s">
        <v>49</v>
      </c>
    </row>
    <row r="1359" spans="2:16" ht="63.95" hidden="1">
      <c r="B1359" s="48" t="s">
        <v>2130</v>
      </c>
      <c r="C1359" s="115"/>
      <c r="D1359" s="116" t="s">
        <v>2907</v>
      </c>
      <c r="E1359" s="171" t="s">
        <v>46</v>
      </c>
      <c r="J1359" s="119">
        <v>46045</v>
      </c>
      <c r="K1359" s="329">
        <v>4369693</v>
      </c>
      <c r="N1359" s="182" t="s">
        <v>2908</v>
      </c>
      <c r="O1359" s="163"/>
      <c r="P1359" s="198" t="s">
        <v>49</v>
      </c>
    </row>
    <row r="1360" spans="2:16" ht="32.1" hidden="1">
      <c r="B1360" s="48" t="s">
        <v>2072</v>
      </c>
      <c r="C1360" s="115"/>
      <c r="D1360" s="116" t="s">
        <v>2909</v>
      </c>
      <c r="E1360" s="171" t="s">
        <v>46</v>
      </c>
      <c r="J1360" s="119">
        <v>46045</v>
      </c>
      <c r="K1360" s="329">
        <v>4359219</v>
      </c>
      <c r="N1360" s="182" t="s">
        <v>2910</v>
      </c>
      <c r="O1360" s="163"/>
      <c r="P1360" s="198" t="s">
        <v>49</v>
      </c>
    </row>
    <row r="1361" spans="2:16" ht="32.1" hidden="1">
      <c r="B1361" s="48" t="s">
        <v>2072</v>
      </c>
      <c r="C1361" s="115"/>
      <c r="D1361" s="116" t="s">
        <v>2911</v>
      </c>
      <c r="E1361" s="171" t="s">
        <v>46</v>
      </c>
      <c r="J1361" s="119">
        <v>46045</v>
      </c>
      <c r="K1361" s="329">
        <v>4375387</v>
      </c>
      <c r="N1361" s="182" t="s">
        <v>2912</v>
      </c>
      <c r="O1361" s="163"/>
      <c r="P1361" s="198" t="s">
        <v>49</v>
      </c>
    </row>
    <row r="1362" spans="2:16" ht="80.099999999999994" hidden="1">
      <c r="B1362" s="48" t="s">
        <v>2134</v>
      </c>
      <c r="C1362" s="115"/>
      <c r="D1362" s="116" t="s">
        <v>2913</v>
      </c>
      <c r="E1362" s="171" t="s">
        <v>46</v>
      </c>
      <c r="J1362" s="119">
        <v>46045</v>
      </c>
      <c r="K1362" s="329"/>
      <c r="N1362" s="182" t="s">
        <v>2914</v>
      </c>
      <c r="O1362" s="163"/>
      <c r="P1362" s="198" t="s">
        <v>49</v>
      </c>
    </row>
    <row r="1363" spans="2:16" ht="63.95" hidden="1">
      <c r="B1363" s="48" t="s">
        <v>2062</v>
      </c>
      <c r="C1363" s="115"/>
      <c r="D1363" s="116" t="s">
        <v>2915</v>
      </c>
      <c r="E1363" s="171" t="s">
        <v>46</v>
      </c>
      <c r="J1363" s="119">
        <v>46045</v>
      </c>
      <c r="K1363" s="329">
        <v>4369607</v>
      </c>
      <c r="N1363" s="182" t="s">
        <v>2916</v>
      </c>
      <c r="O1363" s="163"/>
      <c r="P1363" s="198" t="s">
        <v>49</v>
      </c>
    </row>
    <row r="1364" spans="2:16" ht="32.1" hidden="1">
      <c r="B1364" s="48" t="s">
        <v>2203</v>
      </c>
      <c r="C1364" s="115"/>
      <c r="D1364" s="116" t="s">
        <v>2917</v>
      </c>
      <c r="E1364" s="171" t="s">
        <v>46</v>
      </c>
      <c r="J1364" s="119">
        <v>46045</v>
      </c>
      <c r="K1364" s="329">
        <v>4375556</v>
      </c>
      <c r="N1364" s="182" t="s">
        <v>2918</v>
      </c>
      <c r="O1364" s="163"/>
      <c r="P1364" s="198" t="s">
        <v>49</v>
      </c>
    </row>
    <row r="1365" spans="2:16" ht="63.95" hidden="1">
      <c r="B1365" s="48" t="s">
        <v>2383</v>
      </c>
      <c r="C1365" s="115"/>
      <c r="D1365" s="116" t="s">
        <v>2919</v>
      </c>
      <c r="E1365" s="171" t="s">
        <v>46</v>
      </c>
      <c r="J1365" s="119">
        <v>46052</v>
      </c>
      <c r="K1365" s="329">
        <v>4395231</v>
      </c>
      <c r="N1365" s="182" t="s">
        <v>2920</v>
      </c>
      <c r="O1365" s="163"/>
      <c r="P1365" s="198" t="s">
        <v>49</v>
      </c>
    </row>
    <row r="1366" spans="2:16" ht="96" hidden="1">
      <c r="B1366" s="48" t="s">
        <v>2107</v>
      </c>
      <c r="C1366" s="115"/>
      <c r="D1366" s="116" t="s">
        <v>2921</v>
      </c>
      <c r="E1366" s="171" t="s">
        <v>46</v>
      </c>
      <c r="J1366" s="119">
        <v>46052</v>
      </c>
      <c r="K1366" s="329">
        <v>4406619</v>
      </c>
      <c r="N1366" s="182" t="s">
        <v>2922</v>
      </c>
      <c r="O1366" s="163"/>
      <c r="P1366" s="198" t="s">
        <v>49</v>
      </c>
    </row>
    <row r="1367" spans="2:16" ht="63.95" hidden="1">
      <c r="B1367" s="48" t="s">
        <v>2107</v>
      </c>
      <c r="C1367" s="115"/>
      <c r="D1367" s="116" t="s">
        <v>2923</v>
      </c>
      <c r="E1367" s="171" t="s">
        <v>46</v>
      </c>
      <c r="J1367" s="119">
        <v>46052</v>
      </c>
      <c r="K1367" s="329">
        <v>4406656</v>
      </c>
      <c r="N1367" s="182" t="s">
        <v>2924</v>
      </c>
      <c r="O1367" s="163"/>
      <c r="P1367" s="198" t="s">
        <v>49</v>
      </c>
    </row>
    <row r="1368" spans="2:16" ht="63.95" hidden="1">
      <c r="B1368" s="48" t="s">
        <v>2065</v>
      </c>
      <c r="C1368" s="115"/>
      <c r="D1368" s="116" t="s">
        <v>2925</v>
      </c>
      <c r="E1368" s="171" t="s">
        <v>46</v>
      </c>
      <c r="J1368" s="119">
        <v>46052</v>
      </c>
      <c r="K1368" s="329">
        <v>4405625</v>
      </c>
      <c r="N1368" s="182" t="s">
        <v>2926</v>
      </c>
      <c r="O1368" s="163" t="s">
        <v>2927</v>
      </c>
      <c r="P1368" s="198" t="s">
        <v>49</v>
      </c>
    </row>
    <row r="1369" spans="2:16" ht="48" hidden="1">
      <c r="B1369" s="48" t="s">
        <v>2304</v>
      </c>
      <c r="C1369" s="115"/>
      <c r="D1369" s="116" t="s">
        <v>2928</v>
      </c>
      <c r="E1369" s="171" t="s">
        <v>46</v>
      </c>
      <c r="J1369" s="119">
        <v>46052</v>
      </c>
      <c r="K1369" s="329">
        <v>4395161</v>
      </c>
      <c r="N1369" s="182" t="s">
        <v>2929</v>
      </c>
      <c r="O1369" s="163"/>
      <c r="P1369" s="198" t="s">
        <v>49</v>
      </c>
    </row>
    <row r="1370" spans="2:16" ht="48" hidden="1">
      <c r="B1370" s="48" t="s">
        <v>2069</v>
      </c>
      <c r="C1370" s="115"/>
      <c r="D1370" s="116" t="s">
        <v>2930</v>
      </c>
      <c r="E1370" s="171" t="s">
        <v>46</v>
      </c>
      <c r="J1370" s="119">
        <v>46052</v>
      </c>
      <c r="K1370" s="329">
        <v>4405538</v>
      </c>
      <c r="N1370" s="182" t="s">
        <v>2931</v>
      </c>
      <c r="O1370" s="163"/>
      <c r="P1370" s="198" t="s">
        <v>49</v>
      </c>
    </row>
    <row r="1371" spans="2:16" ht="150" hidden="1" customHeight="1">
      <c r="B1371" s="48" t="s">
        <v>2093</v>
      </c>
      <c r="C1371" s="115"/>
      <c r="D1371" s="116" t="s">
        <v>2932</v>
      </c>
      <c r="E1371" s="171" t="s">
        <v>46</v>
      </c>
      <c r="J1371" s="119">
        <v>46052</v>
      </c>
      <c r="K1371" s="329">
        <v>4416428</v>
      </c>
      <c r="N1371" s="182" t="s">
        <v>2933</v>
      </c>
      <c r="O1371" s="163"/>
      <c r="P1371" s="198" t="s">
        <v>49</v>
      </c>
    </row>
    <row r="1372" spans="2:16" ht="243" hidden="1" customHeight="1">
      <c r="B1372" s="48" t="s">
        <v>2062</v>
      </c>
      <c r="C1372" s="115"/>
      <c r="D1372" s="116" t="s">
        <v>2934</v>
      </c>
      <c r="E1372" s="171" t="s">
        <v>46</v>
      </c>
      <c r="J1372" s="119">
        <v>46052</v>
      </c>
      <c r="K1372" s="329">
        <v>4416761</v>
      </c>
      <c r="N1372" s="182" t="s">
        <v>2935</v>
      </c>
      <c r="O1372" s="163"/>
      <c r="P1372" s="198" t="s">
        <v>49</v>
      </c>
    </row>
    <row r="1373" spans="2:16" ht="207.95" hidden="1" customHeight="1">
      <c r="B1373" s="48" t="s">
        <v>2411</v>
      </c>
      <c r="C1373" s="115"/>
      <c r="D1373" s="116" t="s">
        <v>2936</v>
      </c>
      <c r="E1373" s="171" t="s">
        <v>46</v>
      </c>
      <c r="J1373" s="119">
        <v>46059</v>
      </c>
      <c r="K1373" s="329">
        <v>4454367</v>
      </c>
      <c r="N1373" s="182" t="s">
        <v>2937</v>
      </c>
      <c r="O1373" s="163"/>
      <c r="P1373" s="198" t="s">
        <v>49</v>
      </c>
    </row>
    <row r="1374" spans="2:16" ht="88.5" hidden="1">
      <c r="B1374" s="48" t="s">
        <v>2231</v>
      </c>
      <c r="C1374" s="115"/>
      <c r="D1374" s="116" t="s">
        <v>2938</v>
      </c>
      <c r="E1374" s="171" t="s">
        <v>46</v>
      </c>
      <c r="J1374" s="119">
        <v>46059</v>
      </c>
      <c r="K1374" s="329">
        <v>4437362</v>
      </c>
      <c r="N1374" s="182" t="s">
        <v>2939</v>
      </c>
      <c r="O1374" s="163"/>
      <c r="P1374" s="198" t="s">
        <v>49</v>
      </c>
    </row>
    <row r="1375" spans="2:16" ht="113.1" hidden="1" customHeight="1">
      <c r="B1375" s="48" t="s">
        <v>2231</v>
      </c>
      <c r="C1375" s="115"/>
      <c r="D1375" s="116" t="s">
        <v>2940</v>
      </c>
      <c r="E1375" s="171" t="s">
        <v>46</v>
      </c>
      <c r="J1375" s="119">
        <v>46059</v>
      </c>
      <c r="K1375" s="329">
        <v>4448695</v>
      </c>
      <c r="N1375" s="182" t="s">
        <v>2941</v>
      </c>
      <c r="O1375" s="163" t="s">
        <v>2942</v>
      </c>
      <c r="P1375" s="198" t="s">
        <v>49</v>
      </c>
    </row>
    <row r="1376" spans="2:16" ht="32.1" hidden="1">
      <c r="B1376" s="48" t="s">
        <v>2109</v>
      </c>
      <c r="C1376" s="115"/>
      <c r="D1376" s="116" t="s">
        <v>2943</v>
      </c>
      <c r="E1376" s="171" t="s">
        <v>46</v>
      </c>
      <c r="J1376" s="119">
        <v>46059</v>
      </c>
      <c r="K1376" s="329"/>
      <c r="N1376" s="182" t="s">
        <v>2944</v>
      </c>
      <c r="O1376" s="163"/>
      <c r="P1376" s="198" t="s">
        <v>49</v>
      </c>
    </row>
    <row r="1377" spans="2:18" ht="32.1" hidden="1">
      <c r="B1377" s="48" t="s">
        <v>2109</v>
      </c>
      <c r="C1377" s="115"/>
      <c r="D1377" s="116" t="s">
        <v>2945</v>
      </c>
      <c r="E1377" s="171" t="s">
        <v>46</v>
      </c>
      <c r="J1377" s="119">
        <v>46059</v>
      </c>
      <c r="K1377" s="329">
        <v>4448062</v>
      </c>
      <c r="N1377" s="182" t="s">
        <v>2946</v>
      </c>
      <c r="O1377" s="163"/>
      <c r="P1377" s="198" t="s">
        <v>49</v>
      </c>
    </row>
    <row r="1378" spans="2:18" ht="80.099999999999994" hidden="1">
      <c r="B1378" s="48" t="s">
        <v>2088</v>
      </c>
      <c r="C1378" s="115"/>
      <c r="D1378" s="116" t="s">
        <v>2947</v>
      </c>
      <c r="E1378" s="171" t="s">
        <v>46</v>
      </c>
      <c r="J1378" s="119">
        <v>46059</v>
      </c>
      <c r="K1378" s="329">
        <v>4431929</v>
      </c>
      <c r="N1378" s="182" t="s">
        <v>2948</v>
      </c>
      <c r="O1378" s="163"/>
      <c r="P1378" s="198" t="s">
        <v>49</v>
      </c>
    </row>
    <row r="1379" spans="2:18" ht="63.95" hidden="1">
      <c r="B1379" s="48" t="s">
        <v>2065</v>
      </c>
      <c r="C1379" s="115"/>
      <c r="D1379" s="116" t="s">
        <v>2949</v>
      </c>
      <c r="E1379" s="171" t="s">
        <v>46</v>
      </c>
      <c r="J1379" s="119">
        <v>46059</v>
      </c>
      <c r="K1379" s="329"/>
      <c r="N1379" s="182" t="s">
        <v>2950</v>
      </c>
      <c r="O1379" s="163"/>
      <c r="P1379" s="198" t="s">
        <v>49</v>
      </c>
    </row>
    <row r="1380" spans="2:18" ht="48" hidden="1">
      <c r="B1380" s="48" t="s">
        <v>2069</v>
      </c>
      <c r="C1380" s="115"/>
      <c r="D1380" s="116" t="s">
        <v>2951</v>
      </c>
      <c r="E1380" s="171" t="s">
        <v>46</v>
      </c>
      <c r="J1380" s="119">
        <v>46059</v>
      </c>
      <c r="K1380" s="329">
        <v>4431878</v>
      </c>
      <c r="N1380" s="182" t="s">
        <v>2952</v>
      </c>
      <c r="O1380" s="163"/>
      <c r="P1380" s="198" t="s">
        <v>49</v>
      </c>
    </row>
    <row r="1381" spans="2:18" ht="111.95" hidden="1">
      <c r="B1381" s="48" t="s">
        <v>2069</v>
      </c>
      <c r="C1381" s="115"/>
      <c r="D1381" s="116" t="s">
        <v>2953</v>
      </c>
      <c r="E1381" s="171" t="s">
        <v>46</v>
      </c>
      <c r="J1381" s="119">
        <v>46059</v>
      </c>
      <c r="K1381" s="329">
        <v>4438259</v>
      </c>
      <c r="N1381" s="182" t="s">
        <v>2954</v>
      </c>
      <c r="O1381" s="163"/>
      <c r="P1381" s="198" t="s">
        <v>49</v>
      </c>
    </row>
    <row r="1382" spans="2:18" ht="48" hidden="1">
      <c r="B1382" s="48" t="s">
        <v>2150</v>
      </c>
      <c r="C1382" s="115"/>
      <c r="D1382" s="116" t="s">
        <v>2955</v>
      </c>
      <c r="E1382" s="171" t="s">
        <v>46</v>
      </c>
      <c r="J1382" s="119">
        <v>46059</v>
      </c>
      <c r="K1382" s="329">
        <v>4437298</v>
      </c>
      <c r="N1382" s="182" t="s">
        <v>2956</v>
      </c>
      <c r="O1382" s="163"/>
      <c r="P1382" s="198" t="s">
        <v>49</v>
      </c>
    </row>
    <row r="1383" spans="2:18" ht="48" hidden="1">
      <c r="B1383" s="48" t="s">
        <v>2062</v>
      </c>
      <c r="C1383" s="115"/>
      <c r="D1383" s="116" t="s">
        <v>2957</v>
      </c>
      <c r="E1383" s="171" t="s">
        <v>46</v>
      </c>
      <c r="J1383" s="119">
        <v>46059</v>
      </c>
      <c r="K1383" s="329">
        <v>4437339</v>
      </c>
      <c r="N1383" s="182" t="s">
        <v>2958</v>
      </c>
      <c r="O1383" s="163"/>
      <c r="P1383" s="198" t="s">
        <v>49</v>
      </c>
    </row>
    <row r="1384" spans="2:18" ht="80.099999999999994" hidden="1">
      <c r="B1384" s="48" t="s">
        <v>2101</v>
      </c>
      <c r="C1384" s="115"/>
      <c r="D1384" s="116" t="s">
        <v>2959</v>
      </c>
      <c r="E1384" s="171" t="s">
        <v>46</v>
      </c>
      <c r="J1384" s="119">
        <v>46059</v>
      </c>
      <c r="K1384" s="329">
        <v>4431855</v>
      </c>
      <c r="N1384" s="182" t="s">
        <v>2960</v>
      </c>
      <c r="O1384" s="163"/>
      <c r="P1384" s="198" t="s">
        <v>49</v>
      </c>
    </row>
    <row r="1385" spans="2:18" ht="128.1" hidden="1">
      <c r="B1385" s="48" t="s">
        <v>2383</v>
      </c>
      <c r="C1385" s="115"/>
      <c r="D1385" s="116" t="s">
        <v>2961</v>
      </c>
      <c r="E1385" s="171" t="s">
        <v>46</v>
      </c>
      <c r="J1385" s="119">
        <v>46066</v>
      </c>
      <c r="K1385" s="329">
        <v>4467941</v>
      </c>
      <c r="N1385" s="182" t="s">
        <v>2962</v>
      </c>
      <c r="O1385" s="163"/>
      <c r="P1385" s="198" t="s">
        <v>49</v>
      </c>
    </row>
    <row r="1386" spans="2:18" ht="48" hidden="1">
      <c r="B1386" s="48" t="s">
        <v>2231</v>
      </c>
      <c r="C1386" s="115"/>
      <c r="D1386" s="116" t="s">
        <v>2963</v>
      </c>
      <c r="E1386" s="171" t="s">
        <v>46</v>
      </c>
      <c r="J1386" s="119">
        <v>46066</v>
      </c>
      <c r="K1386" s="329">
        <v>4479414</v>
      </c>
      <c r="N1386" s="182" t="s">
        <v>2964</v>
      </c>
      <c r="O1386" s="163"/>
      <c r="P1386" s="198" t="s">
        <v>49</v>
      </c>
    </row>
    <row r="1387" spans="2:18" ht="63.95" hidden="1">
      <c r="B1387" s="48" t="s">
        <v>2069</v>
      </c>
      <c r="C1387" s="115"/>
      <c r="D1387" s="116" t="s">
        <v>2965</v>
      </c>
      <c r="E1387" s="171" t="s">
        <v>46</v>
      </c>
      <c r="J1387" s="119">
        <v>46066</v>
      </c>
      <c r="K1387" s="329">
        <v>4483635</v>
      </c>
      <c r="N1387" s="182" t="s">
        <v>2966</v>
      </c>
      <c r="O1387" s="163"/>
      <c r="P1387" s="198" t="s">
        <v>49</v>
      </c>
    </row>
    <row r="1388" spans="2:18" ht="48" hidden="1">
      <c r="B1388" s="48" t="s">
        <v>2097</v>
      </c>
      <c r="C1388" s="115"/>
      <c r="D1388" s="116" t="s">
        <v>2967</v>
      </c>
      <c r="E1388" s="171" t="s">
        <v>46</v>
      </c>
      <c r="J1388" s="119">
        <v>46066</v>
      </c>
      <c r="K1388" s="329">
        <v>4467990</v>
      </c>
      <c r="N1388" s="182" t="s">
        <v>2968</v>
      </c>
      <c r="O1388" s="163"/>
      <c r="P1388" s="198" t="s">
        <v>49</v>
      </c>
    </row>
    <row r="1389" spans="2:18" ht="32.1" hidden="1">
      <c r="B1389" s="48" t="s">
        <v>2367</v>
      </c>
      <c r="C1389" s="115"/>
      <c r="D1389" s="116" t="s">
        <v>2969</v>
      </c>
      <c r="E1389" s="171" t="s">
        <v>46</v>
      </c>
      <c r="J1389" s="119">
        <v>46066</v>
      </c>
      <c r="K1389" s="329">
        <v>4489577</v>
      </c>
      <c r="N1389" s="182" t="s">
        <v>2970</v>
      </c>
      <c r="O1389" s="163"/>
      <c r="P1389" s="198" t="s">
        <v>49</v>
      </c>
    </row>
    <row r="1390" spans="2:18" ht="32.1" hidden="1">
      <c r="B1390" s="48" t="s">
        <v>2062</v>
      </c>
      <c r="C1390" s="115"/>
      <c r="D1390" s="116" t="s">
        <v>2971</v>
      </c>
      <c r="E1390" s="171" t="s">
        <v>46</v>
      </c>
      <c r="J1390" s="119">
        <v>46066</v>
      </c>
      <c r="K1390" s="329">
        <v>4484691</v>
      </c>
      <c r="N1390" s="182" t="s">
        <v>2972</v>
      </c>
      <c r="O1390" s="163"/>
      <c r="P1390" s="198" t="s">
        <v>49</v>
      </c>
    </row>
    <row r="1391" spans="2:18" ht="96">
      <c r="B1391" s="48" t="s">
        <v>2095</v>
      </c>
      <c r="C1391" s="115"/>
      <c r="D1391" s="116" t="s">
        <v>2973</v>
      </c>
      <c r="E1391" s="171" t="s">
        <v>46</v>
      </c>
      <c r="J1391" s="119">
        <v>46066</v>
      </c>
      <c r="K1391" s="329">
        <v>4478733</v>
      </c>
      <c r="N1391" s="182" t="s">
        <v>2974</v>
      </c>
      <c r="O1391" s="163"/>
      <c r="P1391" s="198" t="s">
        <v>49</v>
      </c>
      <c r="Q1391" s="198" t="s">
        <v>204</v>
      </c>
      <c r="R1391" s="198" t="s">
        <v>204</v>
      </c>
    </row>
    <row r="1392" spans="2:18" ht="48" hidden="1">
      <c r="B1392" s="48" t="s">
        <v>2411</v>
      </c>
      <c r="C1392" s="115"/>
      <c r="D1392" s="116" t="s">
        <v>2975</v>
      </c>
      <c r="E1392" s="171" t="s">
        <v>46</v>
      </c>
      <c r="J1392" s="119">
        <v>46073</v>
      </c>
      <c r="K1392" s="329"/>
      <c r="N1392" s="182" t="s">
        <v>2976</v>
      </c>
      <c r="O1392" s="163"/>
      <c r="P1392" s="198" t="s">
        <v>49</v>
      </c>
    </row>
    <row r="1393" spans="2:16" ht="63.95" hidden="1">
      <c r="B1393" s="48" t="s">
        <v>2411</v>
      </c>
      <c r="C1393" s="115"/>
      <c r="D1393" s="116" t="s">
        <v>2977</v>
      </c>
      <c r="E1393" s="171" t="s">
        <v>46</v>
      </c>
      <c r="J1393" s="119">
        <v>46073</v>
      </c>
      <c r="K1393" s="329"/>
      <c r="N1393" s="182" t="s">
        <v>2978</v>
      </c>
      <c r="O1393" s="163"/>
      <c r="P1393" s="198" t="s">
        <v>49</v>
      </c>
    </row>
    <row r="1394" spans="2:16" ht="96" hidden="1">
      <c r="B1394" s="48" t="s">
        <v>2383</v>
      </c>
      <c r="C1394" s="115"/>
      <c r="D1394" s="116" t="s">
        <v>2979</v>
      </c>
      <c r="E1394" s="171" t="s">
        <v>46</v>
      </c>
      <c r="J1394" s="119">
        <v>46073</v>
      </c>
      <c r="K1394" s="329">
        <v>4504260</v>
      </c>
      <c r="N1394" s="182" t="s">
        <v>2980</v>
      </c>
      <c r="O1394" s="163"/>
      <c r="P1394" s="198" t="s">
        <v>49</v>
      </c>
    </row>
    <row r="1395" spans="2:16" ht="32.1" hidden="1">
      <c r="B1395" s="48" t="s">
        <v>2107</v>
      </c>
      <c r="C1395" s="115"/>
      <c r="D1395" s="116" t="s">
        <v>2981</v>
      </c>
      <c r="E1395" s="171" t="s">
        <v>46</v>
      </c>
      <c r="J1395" s="119">
        <v>46073</v>
      </c>
      <c r="K1395" s="329">
        <v>4515718</v>
      </c>
      <c r="N1395" s="182" t="s">
        <v>2982</v>
      </c>
      <c r="O1395" s="163"/>
      <c r="P1395" s="198" t="s">
        <v>49</v>
      </c>
    </row>
    <row r="1396" spans="2:16" ht="32.1" hidden="1">
      <c r="B1396" s="48" t="s">
        <v>2088</v>
      </c>
      <c r="C1396" s="115"/>
      <c r="D1396" s="116" t="s">
        <v>2983</v>
      </c>
      <c r="E1396" s="171" t="s">
        <v>46</v>
      </c>
      <c r="J1396" s="119">
        <v>46073</v>
      </c>
      <c r="K1396" s="329"/>
      <c r="N1396" s="182" t="s">
        <v>2984</v>
      </c>
      <c r="O1396" s="163"/>
      <c r="P1396" s="198" t="s">
        <v>49</v>
      </c>
    </row>
    <row r="1397" spans="2:16" ht="128.1" hidden="1">
      <c r="B1397" s="48" t="s">
        <v>2134</v>
      </c>
      <c r="C1397" s="115"/>
      <c r="D1397" s="116" t="s">
        <v>2985</v>
      </c>
      <c r="E1397" s="171" t="s">
        <v>46</v>
      </c>
      <c r="J1397" s="119">
        <v>46073</v>
      </c>
      <c r="K1397" s="329">
        <v>4504415</v>
      </c>
      <c r="N1397" s="182" t="s">
        <v>2986</v>
      </c>
      <c r="O1397" s="163"/>
      <c r="P1397" s="198" t="s">
        <v>49</v>
      </c>
    </row>
    <row r="1398" spans="2:16" ht="159.94999999999999" hidden="1">
      <c r="B1398" s="48" t="s">
        <v>2076</v>
      </c>
      <c r="C1398" s="115"/>
      <c r="D1398" s="116" t="s">
        <v>2987</v>
      </c>
      <c r="E1398" s="171" t="s">
        <v>46</v>
      </c>
      <c r="J1398" s="119">
        <v>46073</v>
      </c>
      <c r="K1398" s="329">
        <v>4510120</v>
      </c>
      <c r="N1398" s="182" t="s">
        <v>2988</v>
      </c>
      <c r="O1398" s="163"/>
      <c r="P1398" s="198" t="s">
        <v>49</v>
      </c>
    </row>
    <row r="1399" spans="2:16" ht="32.1" hidden="1">
      <c r="B1399" s="48" t="s">
        <v>2062</v>
      </c>
      <c r="C1399" s="115"/>
      <c r="D1399" s="116" t="s">
        <v>2989</v>
      </c>
      <c r="E1399" s="171" t="s">
        <v>46</v>
      </c>
      <c r="J1399" s="119">
        <v>46073</v>
      </c>
      <c r="K1399" s="329">
        <v>4510082</v>
      </c>
      <c r="N1399" s="182" t="s">
        <v>2990</v>
      </c>
      <c r="O1399" s="163"/>
      <c r="P1399" s="198" t="s">
        <v>49</v>
      </c>
    </row>
    <row r="1400" spans="2:16" ht="32.1" hidden="1">
      <c r="B1400" s="48" t="s">
        <v>2062</v>
      </c>
      <c r="C1400" s="115"/>
      <c r="D1400" s="116" t="s">
        <v>2991</v>
      </c>
      <c r="E1400" s="171" t="s">
        <v>46</v>
      </c>
      <c r="J1400" s="119">
        <v>46073</v>
      </c>
      <c r="K1400" s="329">
        <v>4520740</v>
      </c>
      <c r="N1400" s="182" t="s">
        <v>2992</v>
      </c>
      <c r="O1400" s="163"/>
      <c r="P1400" s="198" t="s">
        <v>49</v>
      </c>
    </row>
    <row r="1401" spans="2:16" ht="32.1" hidden="1">
      <c r="B1401" s="48" t="s">
        <v>2411</v>
      </c>
      <c r="C1401" s="115"/>
      <c r="D1401" s="116" t="s">
        <v>2993</v>
      </c>
      <c r="E1401" s="171" t="s">
        <v>46</v>
      </c>
      <c r="J1401" s="119">
        <v>46080</v>
      </c>
      <c r="K1401" s="361"/>
      <c r="N1401" s="182" t="s">
        <v>2994</v>
      </c>
      <c r="O1401" s="163"/>
      <c r="P1401" s="198" t="s">
        <v>49</v>
      </c>
    </row>
    <row r="1402" spans="2:16" ht="32.1" hidden="1">
      <c r="B1402" s="48" t="s">
        <v>2995</v>
      </c>
      <c r="C1402" s="115"/>
      <c r="D1402" s="116" t="s">
        <v>2996</v>
      </c>
      <c r="E1402" s="171" t="s">
        <v>46</v>
      </c>
      <c r="J1402" s="119">
        <v>46080</v>
      </c>
      <c r="K1402" s="359"/>
      <c r="N1402" s="182" t="s">
        <v>2997</v>
      </c>
      <c r="O1402" s="163"/>
      <c r="P1402" s="198" t="s">
        <v>49</v>
      </c>
    </row>
    <row r="1403" spans="2:16" ht="48" hidden="1">
      <c r="B1403" s="48" t="s">
        <v>2383</v>
      </c>
      <c r="C1403" s="115"/>
      <c r="D1403" s="116" t="s">
        <v>2998</v>
      </c>
      <c r="E1403" s="171" t="s">
        <v>46</v>
      </c>
      <c r="J1403" s="119">
        <v>46080</v>
      </c>
      <c r="K1403" s="358">
        <v>4549135</v>
      </c>
      <c r="N1403" s="182" t="s">
        <v>2999</v>
      </c>
      <c r="O1403" s="163"/>
      <c r="P1403" s="198" t="s">
        <v>49</v>
      </c>
    </row>
    <row r="1404" spans="2:16" ht="32.1" hidden="1">
      <c r="B1404" s="48" t="s">
        <v>2109</v>
      </c>
      <c r="C1404" s="115"/>
      <c r="D1404" s="116" t="s">
        <v>3000</v>
      </c>
      <c r="E1404" s="171" t="s">
        <v>46</v>
      </c>
      <c r="J1404" s="119">
        <v>46080</v>
      </c>
      <c r="N1404" s="182" t="s">
        <v>2997</v>
      </c>
      <c r="O1404" s="163"/>
      <c r="P1404" s="198" t="s">
        <v>49</v>
      </c>
    </row>
    <row r="1405" spans="2:16" ht="192" hidden="1">
      <c r="B1405" s="48" t="s">
        <v>2109</v>
      </c>
      <c r="C1405" s="115"/>
      <c r="D1405" s="116" t="s">
        <v>3001</v>
      </c>
      <c r="E1405" s="171" t="s">
        <v>46</v>
      </c>
      <c r="J1405" s="119">
        <v>46080</v>
      </c>
      <c r="K1405" s="329">
        <v>4559365</v>
      </c>
      <c r="N1405" s="182" t="s">
        <v>3002</v>
      </c>
      <c r="O1405" s="163"/>
      <c r="P1405" s="198" t="s">
        <v>49</v>
      </c>
    </row>
    <row r="1406" spans="2:16" ht="96" hidden="1">
      <c r="B1406" s="48" t="s">
        <v>2109</v>
      </c>
      <c r="C1406" s="115"/>
      <c r="D1406" s="116" t="s">
        <v>3003</v>
      </c>
      <c r="E1406" s="171" t="s">
        <v>46</v>
      </c>
      <c r="J1406" s="119">
        <v>46080</v>
      </c>
      <c r="K1406" s="329">
        <v>4559510</v>
      </c>
      <c r="N1406" s="182" t="s">
        <v>3004</v>
      </c>
      <c r="O1406" s="163"/>
      <c r="P1406" s="198" t="s">
        <v>49</v>
      </c>
    </row>
    <row r="1407" spans="2:16" ht="32.1" hidden="1">
      <c r="B1407" s="48" t="s">
        <v>2109</v>
      </c>
      <c r="C1407" s="115"/>
      <c r="D1407" s="116" t="s">
        <v>3005</v>
      </c>
      <c r="E1407" s="171" t="s">
        <v>46</v>
      </c>
      <c r="J1407" s="119">
        <v>46080</v>
      </c>
      <c r="K1407" s="329">
        <v>4559518</v>
      </c>
      <c r="N1407" s="182" t="s">
        <v>3006</v>
      </c>
      <c r="O1407" s="163"/>
      <c r="P1407" s="198" t="s">
        <v>49</v>
      </c>
    </row>
    <row r="1408" spans="2:16" ht="48" hidden="1">
      <c r="B1408" s="48" t="s">
        <v>2109</v>
      </c>
      <c r="C1408" s="115"/>
      <c r="D1408" s="116" t="s">
        <v>3007</v>
      </c>
      <c r="E1408" s="171" t="s">
        <v>46</v>
      </c>
      <c r="J1408" s="119">
        <v>46080</v>
      </c>
      <c r="K1408" s="329">
        <v>4559546</v>
      </c>
      <c r="N1408" s="182" t="s">
        <v>3008</v>
      </c>
      <c r="O1408" s="163"/>
      <c r="P1408" s="198" t="s">
        <v>49</v>
      </c>
    </row>
    <row r="1409" spans="2:16" ht="32.1" hidden="1">
      <c r="B1409" s="48" t="s">
        <v>2109</v>
      </c>
      <c r="C1409" s="115"/>
      <c r="D1409" s="116" t="s">
        <v>3009</v>
      </c>
      <c r="E1409" s="171" t="s">
        <v>46</v>
      </c>
      <c r="J1409" s="119">
        <v>46080</v>
      </c>
      <c r="K1409" s="329">
        <v>4559552</v>
      </c>
      <c r="N1409" s="182" t="s">
        <v>3008</v>
      </c>
      <c r="O1409" s="163"/>
      <c r="P1409" s="198" t="s">
        <v>49</v>
      </c>
    </row>
    <row r="1410" spans="2:16" ht="354.75" hidden="1">
      <c r="B1410" s="48" t="s">
        <v>2065</v>
      </c>
      <c r="C1410" s="115"/>
      <c r="D1410" s="116" t="s">
        <v>3010</v>
      </c>
      <c r="E1410" s="171" t="s">
        <v>46</v>
      </c>
      <c r="J1410" s="119">
        <v>46080</v>
      </c>
      <c r="K1410" s="329">
        <v>4559768</v>
      </c>
      <c r="N1410" s="182" t="s">
        <v>3011</v>
      </c>
      <c r="O1410" s="163" t="s">
        <v>3012</v>
      </c>
      <c r="P1410" s="198" t="s">
        <v>204</v>
      </c>
    </row>
    <row r="1411" spans="2:16" ht="96" hidden="1">
      <c r="B1411" s="48" t="s">
        <v>2345</v>
      </c>
      <c r="C1411" s="115"/>
      <c r="D1411" s="116" t="s">
        <v>3013</v>
      </c>
      <c r="E1411" s="171" t="s">
        <v>46</v>
      </c>
      <c r="J1411" s="119">
        <v>46080</v>
      </c>
      <c r="K1411" s="329">
        <v>4548983</v>
      </c>
      <c r="N1411" s="182" t="s">
        <v>3014</v>
      </c>
      <c r="O1411" s="163"/>
      <c r="P1411" s="198" t="s">
        <v>49</v>
      </c>
    </row>
    <row r="1412" spans="2:16" ht="83.1" hidden="1" customHeight="1">
      <c r="B1412" s="48" t="s">
        <v>2367</v>
      </c>
      <c r="C1412" s="115"/>
      <c r="D1412" s="116" t="s">
        <v>3015</v>
      </c>
      <c r="E1412" s="171" t="s">
        <v>46</v>
      </c>
      <c r="J1412" s="119">
        <v>46080</v>
      </c>
      <c r="K1412" s="329">
        <v>4554560</v>
      </c>
      <c r="N1412" s="182" t="s">
        <v>3016</v>
      </c>
      <c r="O1412" s="163"/>
      <c r="P1412" s="198" t="s">
        <v>49</v>
      </c>
    </row>
    <row r="1413" spans="2:16" ht="80.099999999999994" hidden="1">
      <c r="B1413" s="48" t="s">
        <v>2062</v>
      </c>
      <c r="C1413" s="115"/>
      <c r="D1413" s="116" t="s">
        <v>3017</v>
      </c>
      <c r="E1413" s="171" t="s">
        <v>46</v>
      </c>
      <c r="J1413" s="119">
        <v>46080</v>
      </c>
      <c r="K1413" s="329">
        <v>4540275</v>
      </c>
      <c r="N1413" s="182" t="s">
        <v>3018</v>
      </c>
      <c r="O1413" s="163"/>
      <c r="P1413" s="198" t="s">
        <v>49</v>
      </c>
    </row>
    <row r="1414" spans="2:16" ht="32.1" hidden="1">
      <c r="B1414" s="48" t="s">
        <v>2062</v>
      </c>
      <c r="C1414" s="115"/>
      <c r="D1414" s="116" t="s">
        <v>3019</v>
      </c>
      <c r="E1414" s="171" t="s">
        <v>46</v>
      </c>
      <c r="J1414" s="119">
        <v>46080</v>
      </c>
      <c r="K1414" s="329">
        <v>4540308</v>
      </c>
      <c r="N1414" s="182" t="s">
        <v>3020</v>
      </c>
      <c r="O1414" s="163"/>
      <c r="P1414" s="198" t="s">
        <v>49</v>
      </c>
    </row>
    <row r="1415" spans="2:16" ht="128.1" hidden="1">
      <c r="B1415" s="48" t="s">
        <v>2062</v>
      </c>
      <c r="C1415" s="115"/>
      <c r="D1415" s="116" t="s">
        <v>3021</v>
      </c>
      <c r="E1415" s="171" t="s">
        <v>46</v>
      </c>
      <c r="J1415" s="119">
        <v>46080</v>
      </c>
      <c r="K1415" s="329">
        <v>4549073</v>
      </c>
      <c r="N1415" s="182" t="s">
        <v>3022</v>
      </c>
      <c r="O1415" s="163"/>
      <c r="P1415" s="198" t="s">
        <v>49</v>
      </c>
    </row>
    <row r="1416" spans="2:16" ht="32.1" hidden="1">
      <c r="B1416" s="48" t="s">
        <v>2101</v>
      </c>
      <c r="C1416" s="115"/>
      <c r="D1416" s="116" t="s">
        <v>3023</v>
      </c>
      <c r="E1416" s="171" t="s">
        <v>46</v>
      </c>
      <c r="J1416" s="119">
        <v>46080</v>
      </c>
      <c r="K1416" s="329"/>
      <c r="N1416" s="182" t="s">
        <v>2997</v>
      </c>
      <c r="O1416" s="163"/>
      <c r="P1416" s="198" t="s">
        <v>49</v>
      </c>
    </row>
    <row r="1417" spans="2:16" ht="32.1" hidden="1">
      <c r="B1417" s="48" t="s">
        <v>2411</v>
      </c>
      <c r="C1417" s="115"/>
      <c r="D1417" s="116" t="s">
        <v>3024</v>
      </c>
      <c r="E1417" s="171" t="s">
        <v>46</v>
      </c>
      <c r="J1417" s="119">
        <v>46087</v>
      </c>
      <c r="K1417" s="329"/>
      <c r="N1417" s="182" t="s">
        <v>3025</v>
      </c>
      <c r="O1417" s="163"/>
      <c r="P1417" s="198" t="s">
        <v>49</v>
      </c>
    </row>
    <row r="1418" spans="2:16" ht="32.1" hidden="1">
      <c r="B1418" s="48" t="s">
        <v>2107</v>
      </c>
      <c r="C1418" s="115"/>
      <c r="D1418" s="116" t="s">
        <v>3026</v>
      </c>
      <c r="E1418" s="171" t="s">
        <v>46</v>
      </c>
      <c r="J1418" s="119">
        <v>46087</v>
      </c>
      <c r="K1418" s="329">
        <v>4594198</v>
      </c>
      <c r="N1418" s="182" t="s">
        <v>3027</v>
      </c>
      <c r="O1418" s="163"/>
      <c r="P1418" s="198" t="s">
        <v>49</v>
      </c>
    </row>
    <row r="1419" spans="2:16" ht="32.1" hidden="1">
      <c r="B1419" s="48" t="s">
        <v>2109</v>
      </c>
      <c r="C1419" s="115"/>
      <c r="D1419" s="116" t="s">
        <v>3028</v>
      </c>
      <c r="E1419" s="171" t="s">
        <v>46</v>
      </c>
      <c r="J1419" s="119">
        <v>46087</v>
      </c>
      <c r="K1419" s="329">
        <v>4555958</v>
      </c>
      <c r="N1419" s="182" t="s">
        <v>3029</v>
      </c>
      <c r="O1419" s="163"/>
      <c r="P1419" s="198" t="s">
        <v>49</v>
      </c>
    </row>
    <row r="1420" spans="2:16" ht="63.95" hidden="1">
      <c r="B1420" s="48" t="s">
        <v>2088</v>
      </c>
      <c r="C1420" s="115"/>
      <c r="D1420" s="116" t="s">
        <v>3030</v>
      </c>
      <c r="E1420" s="171" t="s">
        <v>46</v>
      </c>
      <c r="J1420" s="119">
        <v>46087</v>
      </c>
      <c r="K1420" s="329"/>
      <c r="N1420" s="182" t="s">
        <v>3031</v>
      </c>
      <c r="O1420" s="163"/>
      <c r="P1420" s="198" t="s">
        <v>49</v>
      </c>
    </row>
    <row r="1421" spans="2:16" ht="32.1" hidden="1">
      <c r="B1421" s="48" t="s">
        <v>2130</v>
      </c>
      <c r="C1421" s="115"/>
      <c r="D1421" s="116" t="s">
        <v>3032</v>
      </c>
      <c r="E1421" s="171" t="s">
        <v>46</v>
      </c>
      <c r="J1421" s="119">
        <v>46087</v>
      </c>
      <c r="K1421" s="329">
        <v>4580610</v>
      </c>
      <c r="N1421" s="182" t="s">
        <v>3033</v>
      </c>
      <c r="O1421" s="163"/>
      <c r="P1421" s="198" t="s">
        <v>49</v>
      </c>
    </row>
    <row r="1422" spans="2:16" ht="32.1" hidden="1">
      <c r="B1422" s="48" t="s">
        <v>2130</v>
      </c>
      <c r="C1422" s="115"/>
      <c r="D1422" s="116" t="s">
        <v>3034</v>
      </c>
      <c r="E1422" s="171" t="s">
        <v>46</v>
      </c>
      <c r="J1422" s="119">
        <v>46087</v>
      </c>
      <c r="K1422" s="329">
        <v>4584811</v>
      </c>
      <c r="N1422" s="182" t="s">
        <v>3035</v>
      </c>
      <c r="O1422" s="163"/>
      <c r="P1422" s="198" t="s">
        <v>49</v>
      </c>
    </row>
    <row r="1423" spans="2:16" ht="176.1" hidden="1">
      <c r="B1423" s="48" t="s">
        <v>2304</v>
      </c>
      <c r="C1423" s="115"/>
      <c r="D1423" s="116" t="s">
        <v>3036</v>
      </c>
      <c r="E1423" s="171" t="s">
        <v>46</v>
      </c>
      <c r="J1423" s="119">
        <v>46087</v>
      </c>
      <c r="K1423" s="329">
        <v>4580645</v>
      </c>
      <c r="N1423" s="182" t="s">
        <v>3037</v>
      </c>
      <c r="O1423" s="163"/>
      <c r="P1423" s="198" t="s">
        <v>49</v>
      </c>
    </row>
    <row r="1424" spans="2:16" ht="32.1" hidden="1">
      <c r="B1424" s="48" t="s">
        <v>2069</v>
      </c>
      <c r="C1424" s="115"/>
      <c r="D1424" s="116" t="s">
        <v>3028</v>
      </c>
      <c r="E1424" s="171" t="s">
        <v>46</v>
      </c>
      <c r="J1424" s="119">
        <v>46087</v>
      </c>
      <c r="K1424" s="329">
        <v>4574554</v>
      </c>
      <c r="N1424" s="182" t="s">
        <v>3038</v>
      </c>
      <c r="O1424" s="163"/>
      <c r="P1424" s="198" t="s">
        <v>49</v>
      </c>
    </row>
    <row r="1425" spans="2:16" ht="32.1" hidden="1">
      <c r="B1425" s="48" t="s">
        <v>2069</v>
      </c>
      <c r="C1425" s="115"/>
      <c r="D1425" s="116" t="s">
        <v>3039</v>
      </c>
      <c r="E1425" s="171" t="s">
        <v>46</v>
      </c>
      <c r="J1425" s="119">
        <v>46087</v>
      </c>
      <c r="K1425" s="329">
        <v>4510532</v>
      </c>
      <c r="N1425" s="182" t="s">
        <v>3040</v>
      </c>
      <c r="O1425" s="163"/>
      <c r="P1425" s="198" t="s">
        <v>49</v>
      </c>
    </row>
    <row r="1426" spans="2:16" ht="32.1" hidden="1">
      <c r="B1426" s="48" t="s">
        <v>2072</v>
      </c>
      <c r="C1426" s="115"/>
      <c r="D1426" s="116" t="s">
        <v>3041</v>
      </c>
      <c r="E1426" s="171" t="s">
        <v>46</v>
      </c>
      <c r="J1426" s="119">
        <v>46087</v>
      </c>
      <c r="K1426" s="329"/>
      <c r="N1426" s="182" t="s">
        <v>3042</v>
      </c>
      <c r="O1426" s="163"/>
      <c r="P1426" s="198" t="s">
        <v>49</v>
      </c>
    </row>
    <row r="1427" spans="2:16" ht="63.95" hidden="1">
      <c r="B1427" s="48" t="s">
        <v>2150</v>
      </c>
      <c r="C1427" s="115"/>
      <c r="D1427" s="116" t="s">
        <v>3043</v>
      </c>
      <c r="E1427" s="171" t="s">
        <v>46</v>
      </c>
      <c r="J1427" s="119">
        <v>46087</v>
      </c>
      <c r="K1427" s="329"/>
      <c r="N1427" s="182" t="s">
        <v>3044</v>
      </c>
      <c r="O1427" s="163"/>
      <c r="P1427" s="198" t="s">
        <v>49</v>
      </c>
    </row>
    <row r="1428" spans="2:16" ht="409.6" hidden="1">
      <c r="B1428" s="48" t="s">
        <v>2076</v>
      </c>
      <c r="C1428" s="115"/>
      <c r="D1428" s="116" t="s">
        <v>3045</v>
      </c>
      <c r="E1428" s="171" t="s">
        <v>46</v>
      </c>
      <c r="J1428" s="119">
        <v>46087</v>
      </c>
      <c r="K1428" s="329">
        <v>4580681</v>
      </c>
      <c r="N1428" s="182" t="s">
        <v>3046</v>
      </c>
      <c r="O1428" s="163"/>
      <c r="P1428" s="198" t="s">
        <v>49</v>
      </c>
    </row>
    <row r="1429" spans="2:16" ht="409.6" hidden="1">
      <c r="B1429" s="48" t="s">
        <v>2076</v>
      </c>
      <c r="C1429" s="115"/>
      <c r="D1429" s="116" t="s">
        <v>3047</v>
      </c>
      <c r="E1429" s="171" t="s">
        <v>46</v>
      </c>
      <c r="J1429" s="119">
        <v>46087</v>
      </c>
      <c r="K1429" s="329">
        <v>4585027</v>
      </c>
      <c r="N1429" s="182" t="s">
        <v>3048</v>
      </c>
      <c r="O1429" s="163"/>
      <c r="P1429" s="198" t="s">
        <v>49</v>
      </c>
    </row>
    <row r="1430" spans="2:16" ht="48" hidden="1">
      <c r="B1430" s="48" t="s">
        <v>2367</v>
      </c>
      <c r="C1430" s="115"/>
      <c r="D1430" s="116" t="s">
        <v>3049</v>
      </c>
      <c r="E1430" s="171" t="s">
        <v>46</v>
      </c>
      <c r="J1430" s="119">
        <v>46087</v>
      </c>
      <c r="K1430" s="329">
        <v>4584896</v>
      </c>
      <c r="N1430" s="182" t="s">
        <v>3050</v>
      </c>
      <c r="O1430" s="163"/>
      <c r="P1430" s="198" t="s">
        <v>49</v>
      </c>
    </row>
    <row r="1431" spans="2:16" ht="32.1" hidden="1">
      <c r="B1431" s="48" t="s">
        <v>2079</v>
      </c>
      <c r="C1431" s="115"/>
      <c r="D1431" s="116" t="s">
        <v>3051</v>
      </c>
      <c r="E1431" s="171" t="s">
        <v>46</v>
      </c>
      <c r="J1431" s="119">
        <v>46087</v>
      </c>
      <c r="K1431" s="329">
        <v>4595654</v>
      </c>
      <c r="N1431" s="182" t="s">
        <v>3052</v>
      </c>
      <c r="O1431" s="163"/>
      <c r="P1431" s="198" t="s">
        <v>49</v>
      </c>
    </row>
    <row r="1432" spans="2:16" ht="32.1" hidden="1">
      <c r="B1432" s="48" t="s">
        <v>2062</v>
      </c>
      <c r="C1432" s="115"/>
      <c r="D1432" s="116" t="s">
        <v>3053</v>
      </c>
      <c r="E1432" s="171" t="s">
        <v>46</v>
      </c>
      <c r="J1432" s="119">
        <v>46087</v>
      </c>
      <c r="K1432" s="329">
        <v>4590731</v>
      </c>
      <c r="N1432" s="182" t="s">
        <v>3054</v>
      </c>
      <c r="O1432" s="163"/>
      <c r="P1432" s="198" t="s">
        <v>49</v>
      </c>
    </row>
    <row r="1433" spans="2:16" ht="32.1" hidden="1">
      <c r="B1433" s="48" t="s">
        <v>2062</v>
      </c>
      <c r="C1433" s="115"/>
      <c r="D1433" s="116" t="s">
        <v>3055</v>
      </c>
      <c r="E1433" s="171" t="s">
        <v>46</v>
      </c>
      <c r="J1433" s="119">
        <v>46087</v>
      </c>
      <c r="K1433" s="329">
        <v>4596195</v>
      </c>
      <c r="N1433" s="182" t="s">
        <v>3056</v>
      </c>
      <c r="O1433" s="163"/>
      <c r="P1433" s="198" t="s">
        <v>49</v>
      </c>
    </row>
    <row r="1434" spans="2:16" ht="32.1" hidden="1">
      <c r="B1434" s="48" t="s">
        <v>2158</v>
      </c>
      <c r="C1434" s="115"/>
      <c r="D1434" s="116" t="s">
        <v>3057</v>
      </c>
      <c r="E1434" s="171" t="s">
        <v>46</v>
      </c>
      <c r="J1434" s="119">
        <v>46087</v>
      </c>
      <c r="K1434" s="329">
        <v>4595287</v>
      </c>
      <c r="N1434" s="182" t="s">
        <v>3058</v>
      </c>
      <c r="O1434" s="163"/>
      <c r="P1434" s="198" t="s">
        <v>49</v>
      </c>
    </row>
    <row r="1435" spans="2:16" ht="63.95" hidden="1">
      <c r="B1435" s="48" t="s">
        <v>2065</v>
      </c>
      <c r="C1435" s="115"/>
      <c r="D1435" s="116" t="s">
        <v>3059</v>
      </c>
      <c r="E1435" s="171" t="s">
        <v>46</v>
      </c>
      <c r="J1435" s="119">
        <v>46094</v>
      </c>
      <c r="K1435" s="329">
        <v>4615854</v>
      </c>
      <c r="N1435" s="182" t="s">
        <v>3060</v>
      </c>
      <c r="O1435" s="163"/>
      <c r="P1435" s="198" t="s">
        <v>49</v>
      </c>
    </row>
    <row r="1436" spans="2:16" ht="32.1" hidden="1">
      <c r="B1436" s="48" t="s">
        <v>2300</v>
      </c>
      <c r="C1436" s="115"/>
      <c r="D1436" s="116" t="s">
        <v>3061</v>
      </c>
      <c r="E1436" s="171" t="s">
        <v>46</v>
      </c>
      <c r="J1436" s="119">
        <v>46094</v>
      </c>
      <c r="K1436" s="329">
        <v>4619841</v>
      </c>
      <c r="N1436" s="182" t="s">
        <v>3062</v>
      </c>
      <c r="O1436" s="163"/>
      <c r="P1436" s="198" t="s">
        <v>49</v>
      </c>
    </row>
    <row r="1437" spans="2:16" ht="409.6" hidden="1">
      <c r="B1437" s="48" t="s">
        <v>2069</v>
      </c>
      <c r="C1437" s="115"/>
      <c r="D1437" s="116" t="s">
        <v>3063</v>
      </c>
      <c r="E1437" s="171" t="s">
        <v>46</v>
      </c>
      <c r="J1437" s="119">
        <v>46094</v>
      </c>
      <c r="K1437" s="329">
        <v>4615058</v>
      </c>
      <c r="N1437" s="182" t="s">
        <v>3064</v>
      </c>
      <c r="O1437" s="163"/>
      <c r="P1437" s="198" t="s">
        <v>49</v>
      </c>
    </row>
    <row r="1438" spans="2:16" ht="32.1" hidden="1">
      <c r="B1438" s="48" t="s">
        <v>2069</v>
      </c>
      <c r="C1438" s="115"/>
      <c r="D1438" s="116" t="s">
        <v>3065</v>
      </c>
      <c r="E1438" s="171" t="s">
        <v>46</v>
      </c>
      <c r="J1438" s="119">
        <v>46094</v>
      </c>
      <c r="K1438" s="329">
        <v>4624921</v>
      </c>
      <c r="N1438" s="182" t="s">
        <v>3066</v>
      </c>
      <c r="O1438" s="163"/>
      <c r="P1438" s="198" t="s">
        <v>49</v>
      </c>
    </row>
    <row r="1439" spans="2:16" ht="77.45" hidden="1" customHeight="1">
      <c r="B1439" s="48" t="s">
        <v>2150</v>
      </c>
      <c r="C1439" s="115"/>
      <c r="D1439" s="116" t="s">
        <v>3067</v>
      </c>
      <c r="E1439" s="171" t="s">
        <v>46</v>
      </c>
      <c r="J1439" s="119">
        <v>46094</v>
      </c>
      <c r="K1439" s="329">
        <v>4804756</v>
      </c>
      <c r="N1439" s="182" t="s">
        <v>3068</v>
      </c>
      <c r="O1439" s="163"/>
      <c r="P1439" s="198" t="s">
        <v>49</v>
      </c>
    </row>
    <row r="1440" spans="2:16" ht="32.1" hidden="1">
      <c r="B1440" s="48" t="s">
        <v>2367</v>
      </c>
      <c r="C1440" s="115"/>
      <c r="D1440" s="116" t="s">
        <v>3069</v>
      </c>
      <c r="E1440" s="171" t="s">
        <v>46</v>
      </c>
      <c r="J1440" s="119">
        <v>46094</v>
      </c>
      <c r="K1440" s="329">
        <v>4610075</v>
      </c>
      <c r="N1440" s="182" t="s">
        <v>3070</v>
      </c>
      <c r="O1440" s="163"/>
      <c r="P1440" s="198" t="s">
        <v>49</v>
      </c>
    </row>
    <row r="1441" spans="2:16" ht="48" hidden="1">
      <c r="B1441" s="48" t="s">
        <v>2367</v>
      </c>
      <c r="C1441" s="115"/>
      <c r="D1441" s="116" t="s">
        <v>3071</v>
      </c>
      <c r="E1441" s="171" t="s">
        <v>46</v>
      </c>
      <c r="J1441" s="119">
        <v>46094</v>
      </c>
      <c r="K1441" s="329">
        <v>4621036</v>
      </c>
      <c r="N1441" s="182" t="s">
        <v>3072</v>
      </c>
      <c r="O1441" s="163"/>
      <c r="P1441" s="198" t="s">
        <v>49</v>
      </c>
    </row>
    <row r="1442" spans="2:16" ht="48" hidden="1">
      <c r="B1442" s="48" t="s">
        <v>2367</v>
      </c>
      <c r="C1442" s="115"/>
      <c r="D1442" s="116" t="s">
        <v>3073</v>
      </c>
      <c r="E1442" s="171" t="s">
        <v>46</v>
      </c>
      <c r="J1442" s="119">
        <v>46094</v>
      </c>
      <c r="K1442" s="329">
        <v>4630845</v>
      </c>
      <c r="N1442" s="182" t="s">
        <v>3074</v>
      </c>
      <c r="O1442" s="163"/>
      <c r="P1442" s="198" t="s">
        <v>49</v>
      </c>
    </row>
    <row r="1443" spans="2:16" ht="48" hidden="1">
      <c r="B1443" s="48" t="s">
        <v>2079</v>
      </c>
      <c r="C1443" s="115"/>
      <c r="D1443" s="116" t="s">
        <v>3075</v>
      </c>
      <c r="E1443" s="171" t="s">
        <v>46</v>
      </c>
      <c r="J1443" s="119">
        <v>46094</v>
      </c>
      <c r="K1443" s="329"/>
      <c r="N1443" s="182" t="s">
        <v>3076</v>
      </c>
      <c r="O1443" s="163"/>
      <c r="P1443" s="198" t="s">
        <v>49</v>
      </c>
    </row>
    <row r="1444" spans="2:16" ht="80.099999999999994" hidden="1">
      <c r="B1444" s="48" t="s">
        <v>2062</v>
      </c>
      <c r="C1444" s="115"/>
      <c r="D1444" s="116" t="s">
        <v>3077</v>
      </c>
      <c r="E1444" s="171" t="s">
        <v>46</v>
      </c>
      <c r="J1444" s="119">
        <v>46094</v>
      </c>
      <c r="K1444" s="329">
        <v>4615812</v>
      </c>
      <c r="N1444" s="182" t="s">
        <v>3078</v>
      </c>
      <c r="O1444" s="163"/>
      <c r="P1444" s="198" t="s">
        <v>49</v>
      </c>
    </row>
    <row r="1445" spans="2:16" ht="32.1" hidden="1">
      <c r="B1445" s="48" t="s">
        <v>2062</v>
      </c>
      <c r="C1445" s="115"/>
      <c r="D1445" s="116" t="s">
        <v>3079</v>
      </c>
      <c r="E1445" s="171" t="s">
        <v>46</v>
      </c>
      <c r="J1445" s="119">
        <v>46094</v>
      </c>
      <c r="K1445" s="329">
        <v>4630738</v>
      </c>
      <c r="N1445" s="182" t="s">
        <v>3080</v>
      </c>
      <c r="O1445" s="163"/>
      <c r="P1445" s="198" t="s">
        <v>49</v>
      </c>
    </row>
    <row r="1446" spans="2:16" ht="67.5" hidden="1" customHeight="1">
      <c r="B1446" s="48" t="s">
        <v>2411</v>
      </c>
      <c r="C1446" s="115"/>
      <c r="D1446" s="116" t="s">
        <v>3081</v>
      </c>
      <c r="E1446" s="171" t="s">
        <v>46</v>
      </c>
      <c r="J1446" s="119">
        <v>46113</v>
      </c>
      <c r="K1446" s="361"/>
      <c r="N1446" s="182" t="s">
        <v>3082</v>
      </c>
      <c r="O1446" s="163"/>
      <c r="P1446" s="198" t="s">
        <v>49</v>
      </c>
    </row>
    <row r="1447" spans="2:16" ht="66.599999999999994" hidden="1" customHeight="1">
      <c r="B1447" s="48" t="s">
        <v>2085</v>
      </c>
      <c r="C1447" s="115"/>
      <c r="D1447" s="116" t="s">
        <v>3083</v>
      </c>
      <c r="E1447" s="171" t="s">
        <v>46</v>
      </c>
      <c r="J1447" s="119">
        <v>46113</v>
      </c>
      <c r="K1447" s="359">
        <v>4646134</v>
      </c>
      <c r="N1447" s="182" t="s">
        <v>3084</v>
      </c>
      <c r="O1447" s="163"/>
      <c r="P1447" s="198" t="s">
        <v>49</v>
      </c>
    </row>
    <row r="1448" spans="2:16" ht="72.95" hidden="1" customHeight="1">
      <c r="B1448" s="48" t="s">
        <v>2085</v>
      </c>
      <c r="C1448" s="115"/>
      <c r="D1448" s="116" t="s">
        <v>3085</v>
      </c>
      <c r="E1448" s="171" t="s">
        <v>46</v>
      </c>
      <c r="J1448" s="119">
        <v>46113</v>
      </c>
      <c r="K1448" s="359">
        <v>4714216</v>
      </c>
      <c r="N1448" s="182" t="s">
        <v>3086</v>
      </c>
      <c r="O1448" s="163"/>
      <c r="P1448" s="198" t="s">
        <v>49</v>
      </c>
    </row>
    <row r="1449" spans="2:16" ht="138.94999999999999" hidden="1" customHeight="1">
      <c r="B1449" s="48" t="s">
        <v>2109</v>
      </c>
      <c r="C1449" s="115"/>
      <c r="D1449" s="116" t="s">
        <v>3087</v>
      </c>
      <c r="E1449" s="171" t="s">
        <v>46</v>
      </c>
      <c r="J1449" s="119">
        <v>46113</v>
      </c>
      <c r="K1449" s="358">
        <v>4644254</v>
      </c>
      <c r="N1449" s="182" t="s">
        <v>3088</v>
      </c>
      <c r="O1449" s="163"/>
      <c r="P1449" s="198" t="s">
        <v>49</v>
      </c>
    </row>
    <row r="1450" spans="2:16" ht="48.6" hidden="1" customHeight="1">
      <c r="B1450" s="48" t="s">
        <v>2109</v>
      </c>
      <c r="C1450" s="115"/>
      <c r="D1450" s="116" t="s">
        <v>3089</v>
      </c>
      <c r="E1450" s="171" t="s">
        <v>46</v>
      </c>
      <c r="J1450" s="119">
        <v>46113</v>
      </c>
      <c r="K1450" s="329">
        <v>4644323</v>
      </c>
      <c r="N1450" s="182" t="s">
        <v>3090</v>
      </c>
      <c r="O1450" s="163"/>
      <c r="P1450" s="198" t="s">
        <v>49</v>
      </c>
    </row>
    <row r="1451" spans="2:16" ht="72" hidden="1" customHeight="1">
      <c r="B1451" s="48" t="s">
        <v>2088</v>
      </c>
      <c r="C1451" s="115"/>
      <c r="D1451" s="116" t="s">
        <v>3091</v>
      </c>
      <c r="E1451" s="171" t="s">
        <v>46</v>
      </c>
      <c r="J1451" s="119">
        <v>46113</v>
      </c>
      <c r="K1451" s="329"/>
      <c r="N1451" s="182" t="s">
        <v>3092</v>
      </c>
      <c r="O1451" s="163"/>
      <c r="P1451" s="198" t="s">
        <v>49</v>
      </c>
    </row>
    <row r="1452" spans="2:16" ht="48.6" hidden="1" customHeight="1">
      <c r="B1452" s="48" t="s">
        <v>2624</v>
      </c>
      <c r="C1452" s="115"/>
      <c r="D1452" s="116" t="s">
        <v>3093</v>
      </c>
      <c r="E1452" s="171" t="s">
        <v>46</v>
      </c>
      <c r="J1452" s="119">
        <v>46113</v>
      </c>
      <c r="K1452" s="329">
        <v>4679455</v>
      </c>
      <c r="N1452" s="182" t="s">
        <v>3094</v>
      </c>
      <c r="O1452" s="163"/>
      <c r="P1452" s="198" t="s">
        <v>49</v>
      </c>
    </row>
    <row r="1453" spans="2:16" ht="77.45" hidden="1" customHeight="1">
      <c r="B1453" s="48" t="s">
        <v>2345</v>
      </c>
      <c r="C1453" s="115"/>
      <c r="D1453" s="116" t="s">
        <v>3095</v>
      </c>
      <c r="E1453" s="171" t="s">
        <v>46</v>
      </c>
      <c r="J1453" s="119">
        <v>46113</v>
      </c>
      <c r="K1453" s="329">
        <v>4629899</v>
      </c>
      <c r="N1453" s="182" t="s">
        <v>3096</v>
      </c>
      <c r="O1453" s="163"/>
      <c r="P1453" s="198" t="s">
        <v>49</v>
      </c>
    </row>
    <row r="1454" spans="2:16" ht="65.45" hidden="1" customHeight="1">
      <c r="B1454" s="48" t="s">
        <v>2130</v>
      </c>
      <c r="C1454" s="115"/>
      <c r="D1454" s="116" t="s">
        <v>3097</v>
      </c>
      <c r="E1454" s="171" t="s">
        <v>46</v>
      </c>
      <c r="J1454" s="119">
        <v>46113</v>
      </c>
      <c r="K1454" s="329">
        <v>4650576</v>
      </c>
      <c r="N1454" s="182" t="s">
        <v>3098</v>
      </c>
      <c r="O1454" s="163"/>
      <c r="P1454" s="198" t="s">
        <v>49</v>
      </c>
    </row>
    <row r="1455" spans="2:16" ht="48.6" hidden="1" customHeight="1">
      <c r="B1455" s="48" t="s">
        <v>2304</v>
      </c>
      <c r="C1455" s="115"/>
      <c r="D1455" s="116" t="s">
        <v>3099</v>
      </c>
      <c r="E1455" s="171" t="s">
        <v>46</v>
      </c>
      <c r="J1455" s="119">
        <v>46113</v>
      </c>
      <c r="K1455" s="329">
        <v>4689833</v>
      </c>
      <c r="N1455" s="182" t="s">
        <v>3100</v>
      </c>
      <c r="O1455" s="163"/>
      <c r="P1455" s="198" t="s">
        <v>49</v>
      </c>
    </row>
    <row r="1456" spans="2:16" ht="48.6" hidden="1" customHeight="1">
      <c r="B1456" s="48" t="s">
        <v>2072</v>
      </c>
      <c r="C1456" s="115"/>
      <c r="D1456" s="116" t="s">
        <v>3101</v>
      </c>
      <c r="E1456" s="171" t="s">
        <v>46</v>
      </c>
      <c r="J1456" s="119">
        <v>46113</v>
      </c>
      <c r="K1456" s="329">
        <v>4679331</v>
      </c>
      <c r="N1456" s="182" t="s">
        <v>3102</v>
      </c>
      <c r="O1456" s="163"/>
      <c r="P1456" s="198" t="s">
        <v>49</v>
      </c>
    </row>
    <row r="1457" spans="2:16" ht="182.1" hidden="1" customHeight="1">
      <c r="B1457" s="48" t="s">
        <v>2150</v>
      </c>
      <c r="C1457" s="115"/>
      <c r="D1457" s="116" t="s">
        <v>3103</v>
      </c>
      <c r="E1457" s="171" t="s">
        <v>46</v>
      </c>
      <c r="J1457" s="119">
        <v>46113</v>
      </c>
      <c r="K1457" s="329"/>
      <c r="N1457" s="182" t="s">
        <v>3104</v>
      </c>
      <c r="O1457" s="163"/>
      <c r="P1457" s="198" t="s">
        <v>49</v>
      </c>
    </row>
    <row r="1458" spans="2:16" ht="117.95" hidden="1" customHeight="1">
      <c r="B1458" s="48" t="s">
        <v>2079</v>
      </c>
      <c r="C1458" s="115"/>
      <c r="D1458" s="116" t="s">
        <v>3105</v>
      </c>
      <c r="E1458" s="171" t="s">
        <v>46</v>
      </c>
      <c r="J1458" s="119">
        <v>46113</v>
      </c>
      <c r="K1458" s="329">
        <v>4650574</v>
      </c>
      <c r="N1458" s="182" t="s">
        <v>3106</v>
      </c>
      <c r="O1458" s="163"/>
      <c r="P1458" s="198" t="s">
        <v>49</v>
      </c>
    </row>
    <row r="1459" spans="2:16" ht="145.5" hidden="1" customHeight="1">
      <c r="B1459" s="48" t="s">
        <v>2079</v>
      </c>
      <c r="C1459" s="115"/>
      <c r="D1459" s="116" t="s">
        <v>3107</v>
      </c>
      <c r="E1459" s="171" t="s">
        <v>46</v>
      </c>
      <c r="J1459" s="119">
        <v>46113</v>
      </c>
      <c r="K1459" s="329">
        <v>4655708</v>
      </c>
      <c r="N1459" s="182" t="s">
        <v>3108</v>
      </c>
      <c r="O1459" s="163"/>
      <c r="P1459" s="198" t="s">
        <v>49</v>
      </c>
    </row>
    <row r="1460" spans="2:16" ht="111" hidden="1" customHeight="1">
      <c r="B1460" s="48" t="s">
        <v>2079</v>
      </c>
      <c r="C1460" s="115"/>
      <c r="D1460" s="116" t="s">
        <v>3109</v>
      </c>
      <c r="E1460" s="171" t="s">
        <v>46</v>
      </c>
      <c r="J1460" s="119">
        <v>46113</v>
      </c>
      <c r="K1460" s="361">
        <v>4719147</v>
      </c>
      <c r="N1460" s="182" t="s">
        <v>3109</v>
      </c>
      <c r="O1460" s="163"/>
      <c r="P1460" s="198" t="s">
        <v>49</v>
      </c>
    </row>
    <row r="1461" spans="2:16" ht="66.599999999999994" hidden="1" customHeight="1">
      <c r="B1461" s="48" t="s">
        <v>2085</v>
      </c>
      <c r="C1461" s="115"/>
      <c r="D1461" s="116" t="s">
        <v>3110</v>
      </c>
      <c r="E1461" s="171" t="s">
        <v>46</v>
      </c>
      <c r="J1461" s="119">
        <v>46122</v>
      </c>
      <c r="K1461" s="359">
        <v>4759905</v>
      </c>
      <c r="N1461" s="182" t="s">
        <v>3111</v>
      </c>
      <c r="O1461" s="163"/>
      <c r="P1461" s="198" t="s">
        <v>49</v>
      </c>
    </row>
    <row r="1462" spans="2:16" ht="51.6" hidden="1" customHeight="1">
      <c r="B1462" s="48" t="s">
        <v>2127</v>
      </c>
      <c r="C1462" s="115"/>
      <c r="D1462" s="116" t="s">
        <v>3112</v>
      </c>
      <c r="E1462" s="171" t="s">
        <v>46</v>
      </c>
      <c r="J1462" s="119">
        <v>46122</v>
      </c>
      <c r="K1462" s="358">
        <v>4759816</v>
      </c>
      <c r="N1462" s="182" t="s">
        <v>3113</v>
      </c>
      <c r="O1462" s="163"/>
      <c r="P1462" s="198" t="s">
        <v>49</v>
      </c>
    </row>
    <row r="1463" spans="2:16" ht="153.94999999999999" hidden="1" customHeight="1">
      <c r="B1463" s="48" t="s">
        <v>2127</v>
      </c>
      <c r="C1463" s="115"/>
      <c r="D1463" s="116" t="s">
        <v>3114</v>
      </c>
      <c r="E1463" s="171" t="s">
        <v>46</v>
      </c>
      <c r="J1463" s="119">
        <v>46122</v>
      </c>
      <c r="K1463" s="329">
        <v>4759843</v>
      </c>
      <c r="N1463" s="182" t="s">
        <v>3115</v>
      </c>
      <c r="O1463" s="163"/>
      <c r="P1463" s="198" t="s">
        <v>49</v>
      </c>
    </row>
    <row r="1464" spans="2:16" ht="51.6" customHeight="1">
      <c r="B1464" s="48" t="s">
        <v>2095</v>
      </c>
      <c r="C1464" s="115"/>
      <c r="D1464" s="116" t="s">
        <v>3116</v>
      </c>
      <c r="E1464" s="171" t="s">
        <v>46</v>
      </c>
      <c r="J1464" s="119">
        <v>46122</v>
      </c>
      <c r="K1464" s="329">
        <v>4764599</v>
      </c>
      <c r="N1464" s="182" t="s">
        <v>3117</v>
      </c>
      <c r="O1464" s="163"/>
      <c r="P1464" s="198" t="s">
        <v>49</v>
      </c>
    </row>
    <row r="1465" spans="2:16" ht="51.6" hidden="1" customHeight="1">
      <c r="B1465" s="48" t="s">
        <v>2109</v>
      </c>
      <c r="C1465" s="115"/>
      <c r="D1465" s="116" t="s">
        <v>3118</v>
      </c>
      <c r="E1465" s="171" t="s">
        <v>46</v>
      </c>
      <c r="J1465" s="119">
        <v>46129</v>
      </c>
      <c r="K1465" s="329">
        <v>4784424</v>
      </c>
      <c r="N1465" s="182" t="s">
        <v>3119</v>
      </c>
      <c r="O1465" s="163"/>
      <c r="P1465" s="198" t="s">
        <v>49</v>
      </c>
    </row>
    <row r="1466" spans="2:16" ht="51.6" hidden="1" customHeight="1">
      <c r="B1466" s="48" t="s">
        <v>2624</v>
      </c>
      <c r="C1466" s="115"/>
      <c r="D1466" s="116" t="s">
        <v>3120</v>
      </c>
      <c r="E1466" s="171" t="s">
        <v>46</v>
      </c>
      <c r="J1466" s="119">
        <v>46129</v>
      </c>
      <c r="K1466" s="329">
        <v>4789852</v>
      </c>
      <c r="N1466" s="182" t="s">
        <v>3121</v>
      </c>
      <c r="O1466" s="163"/>
      <c r="P1466" s="198" t="s">
        <v>49</v>
      </c>
    </row>
    <row r="1467" spans="2:16" ht="51.6" hidden="1" customHeight="1">
      <c r="B1467" s="48" t="s">
        <v>2065</v>
      </c>
      <c r="C1467" s="115"/>
      <c r="D1467" s="116" t="s">
        <v>3122</v>
      </c>
      <c r="E1467" s="171" t="s">
        <v>46</v>
      </c>
      <c r="J1467" s="119">
        <v>46129</v>
      </c>
      <c r="K1467" s="353">
        <v>4800388</v>
      </c>
      <c r="N1467" s="182" t="s">
        <v>3123</v>
      </c>
      <c r="O1467" s="163"/>
      <c r="P1467" s="198" t="s">
        <v>49</v>
      </c>
    </row>
    <row r="1468" spans="2:16" ht="180.6" hidden="1" customHeight="1">
      <c r="B1468" s="48" t="s">
        <v>2150</v>
      </c>
      <c r="C1468" s="115"/>
      <c r="D1468" s="116" t="s">
        <v>3124</v>
      </c>
      <c r="E1468" s="171" t="s">
        <v>46</v>
      </c>
      <c r="J1468" s="119">
        <v>46129</v>
      </c>
      <c r="K1468" s="353">
        <v>4804756</v>
      </c>
      <c r="N1468" s="182" t="s">
        <v>3125</v>
      </c>
      <c r="O1468" s="163"/>
      <c r="P1468" s="198" t="s">
        <v>49</v>
      </c>
    </row>
    <row r="1469" spans="2:16" ht="151.5" hidden="1" customHeight="1">
      <c r="B1469" s="48" t="s">
        <v>2062</v>
      </c>
      <c r="C1469" s="115"/>
      <c r="D1469" s="116" t="s">
        <v>3126</v>
      </c>
      <c r="E1469" s="171" t="s">
        <v>46</v>
      </c>
      <c r="J1469" s="119">
        <v>46129</v>
      </c>
      <c r="K1469" s="329">
        <v>4794835</v>
      </c>
      <c r="N1469" s="182" t="s">
        <v>3127</v>
      </c>
      <c r="O1469" s="163"/>
      <c r="P1469" s="198" t="s">
        <v>204</v>
      </c>
    </row>
    <row r="1470" spans="2:16" ht="32.1" hidden="1">
      <c r="B1470" s="48" t="s">
        <v>2062</v>
      </c>
      <c r="C1470" s="115"/>
      <c r="D1470" s="116" t="s">
        <v>3128</v>
      </c>
      <c r="E1470" s="171" t="s">
        <v>46</v>
      </c>
      <c r="J1470" s="119">
        <v>46129</v>
      </c>
      <c r="K1470" s="329">
        <v>4794890</v>
      </c>
      <c r="N1470" s="182" t="s">
        <v>3129</v>
      </c>
      <c r="O1470" s="163"/>
      <c r="P1470" s="198" t="s">
        <v>49</v>
      </c>
    </row>
    <row r="1471" spans="2:16" ht="51.6" hidden="1" customHeight="1">
      <c r="B1471" s="48" t="s">
        <v>2130</v>
      </c>
      <c r="C1471" s="115"/>
      <c r="D1471" s="116" t="s">
        <v>3130</v>
      </c>
      <c r="E1471" s="171" t="s">
        <v>46</v>
      </c>
      <c r="J1471" s="119">
        <v>46136</v>
      </c>
      <c r="K1471" s="329"/>
      <c r="N1471" s="182" t="s">
        <v>3131</v>
      </c>
      <c r="O1471" s="163"/>
      <c r="P1471" s="198" t="s">
        <v>49</v>
      </c>
    </row>
    <row r="1472" spans="2:16" ht="48.6" hidden="1" customHeight="1">
      <c r="B1472" s="48" t="s">
        <v>2130</v>
      </c>
      <c r="C1472" s="115"/>
      <c r="D1472" s="116" t="s">
        <v>3132</v>
      </c>
      <c r="E1472" s="171" t="s">
        <v>46</v>
      </c>
      <c r="J1472" s="119">
        <v>46136</v>
      </c>
      <c r="K1472" s="329">
        <v>4829973</v>
      </c>
      <c r="N1472" s="182" t="s">
        <v>3133</v>
      </c>
      <c r="O1472" s="163"/>
      <c r="P1472" s="198" t="s">
        <v>49</v>
      </c>
    </row>
    <row r="1473" spans="2:23" ht="48.6" hidden="1" customHeight="1">
      <c r="B1473" s="48" t="s">
        <v>2130</v>
      </c>
      <c r="C1473" s="115"/>
      <c r="D1473" s="116" t="s">
        <v>3134</v>
      </c>
      <c r="E1473" s="171" t="s">
        <v>46</v>
      </c>
      <c r="J1473" s="119">
        <v>46213</v>
      </c>
      <c r="K1473" s="329"/>
      <c r="N1473" s="182" t="s">
        <v>3135</v>
      </c>
      <c r="O1473" s="163"/>
      <c r="P1473" s="198" t="s">
        <v>49</v>
      </c>
    </row>
    <row r="1474" spans="2:23" ht="48.6" hidden="1" customHeight="1">
      <c r="B1474" s="48" t="s">
        <v>2130</v>
      </c>
      <c r="C1474" s="115"/>
      <c r="D1474" s="116" t="s">
        <v>3136</v>
      </c>
      <c r="E1474" s="171" t="s">
        <v>46</v>
      </c>
      <c r="J1474" s="119">
        <v>46248</v>
      </c>
      <c r="K1474" s="329"/>
      <c r="N1474" s="182" t="s">
        <v>3137</v>
      </c>
      <c r="O1474" s="163"/>
      <c r="P1474" s="198" t="s">
        <v>49</v>
      </c>
    </row>
    <row r="1475" spans="2:23" ht="48.6" hidden="1" customHeight="1">
      <c r="B1475" s="48" t="s">
        <v>2130</v>
      </c>
      <c r="C1475" s="115"/>
      <c r="D1475" s="116" t="s">
        <v>3138</v>
      </c>
      <c r="E1475" s="171" t="s">
        <v>46</v>
      </c>
      <c r="J1475" s="119">
        <v>46255</v>
      </c>
      <c r="K1475" s="329"/>
      <c r="N1475" s="182" t="s">
        <v>3139</v>
      </c>
      <c r="O1475" s="163"/>
      <c r="P1475" s="198" t="s">
        <v>49</v>
      </c>
    </row>
    <row r="1476" spans="2:23" ht="48.6" hidden="1" customHeight="1">
      <c r="B1476" s="48" t="s">
        <v>2130</v>
      </c>
      <c r="C1476" s="115"/>
      <c r="D1476" s="116" t="s">
        <v>3140</v>
      </c>
      <c r="E1476" s="171" t="s">
        <v>46</v>
      </c>
      <c r="J1476" s="119">
        <v>46269</v>
      </c>
      <c r="K1476" s="329"/>
      <c r="N1476" s="182" t="s">
        <v>3141</v>
      </c>
      <c r="O1476" s="163"/>
      <c r="P1476" s="198" t="s">
        <v>204</v>
      </c>
    </row>
    <row r="1477" spans="2:23" s="1" customFormat="1" ht="48.6" hidden="1" customHeight="1">
      <c r="B1477" s="48" t="s">
        <v>2130</v>
      </c>
      <c r="C1477" s="115"/>
      <c r="D1477" s="116" t="s">
        <v>3142</v>
      </c>
      <c r="E1477" s="171" t="s">
        <v>46</v>
      </c>
      <c r="J1477" s="119">
        <v>46269</v>
      </c>
      <c r="K1477" s="329"/>
      <c r="N1477" s="182" t="s">
        <v>3143</v>
      </c>
      <c r="O1477" s="163"/>
      <c r="P1477" s="198" t="s">
        <v>49</v>
      </c>
      <c r="U1477" s="6"/>
      <c r="V1477" s="6"/>
      <c r="W1477" s="6"/>
    </row>
    <row r="1478" spans="2:23" s="1" customFormat="1" ht="48.6" hidden="1" customHeight="1">
      <c r="B1478" s="48" t="s">
        <v>2130</v>
      </c>
      <c r="C1478" s="115"/>
      <c r="D1478" s="116" t="s">
        <v>3144</v>
      </c>
      <c r="E1478" s="171" t="s">
        <v>46</v>
      </c>
      <c r="J1478" s="119">
        <v>46276</v>
      </c>
      <c r="K1478" s="329"/>
      <c r="N1478" s="182" t="s">
        <v>3145</v>
      </c>
      <c r="O1478" s="163"/>
      <c r="P1478" s="198" t="s">
        <v>204</v>
      </c>
      <c r="U1478" s="6"/>
      <c r="V1478" s="6"/>
      <c r="W1478" s="6"/>
    </row>
    <row r="1479" spans="2:23" s="1" customFormat="1" ht="48.6" hidden="1" customHeight="1">
      <c r="B1479" s="48" t="s">
        <v>2069</v>
      </c>
      <c r="C1479" s="115"/>
      <c r="D1479" s="116" t="s">
        <v>3146</v>
      </c>
      <c r="E1479" s="171" t="s">
        <v>46</v>
      </c>
      <c r="J1479" s="119">
        <v>46136</v>
      </c>
      <c r="K1479" s="329">
        <v>4650393</v>
      </c>
      <c r="N1479" s="182" t="s">
        <v>3147</v>
      </c>
      <c r="O1479" s="163"/>
      <c r="P1479" s="198" t="s">
        <v>49</v>
      </c>
      <c r="U1479" s="6"/>
      <c r="V1479" s="6"/>
      <c r="W1479" s="6"/>
    </row>
    <row r="1480" spans="2:23" s="1" customFormat="1" ht="48.6" hidden="1" customHeight="1">
      <c r="B1480" s="48" t="s">
        <v>2069</v>
      </c>
      <c r="C1480" s="115"/>
      <c r="D1480" s="116" t="s">
        <v>3148</v>
      </c>
      <c r="E1480" s="171" t="s">
        <v>46</v>
      </c>
      <c r="J1480" s="119">
        <v>46136</v>
      </c>
      <c r="K1480" s="329">
        <v>4840387</v>
      </c>
      <c r="N1480" s="182" t="s">
        <v>3149</v>
      </c>
      <c r="O1480" s="163"/>
      <c r="P1480" s="198" t="s">
        <v>49</v>
      </c>
      <c r="U1480" s="6"/>
      <c r="V1480" s="6"/>
      <c r="W1480" s="6"/>
    </row>
    <row r="1481" spans="2:23" s="1" customFormat="1" ht="96" hidden="1" customHeight="1">
      <c r="B1481" s="48" t="s">
        <v>2093</v>
      </c>
      <c r="C1481" s="115"/>
      <c r="D1481" s="116" t="s">
        <v>3150</v>
      </c>
      <c r="E1481" s="171" t="s">
        <v>46</v>
      </c>
      <c r="J1481" s="119">
        <v>46136</v>
      </c>
      <c r="K1481" s="329">
        <v>4818776</v>
      </c>
      <c r="N1481" s="182" t="s">
        <v>3151</v>
      </c>
      <c r="O1481" s="163"/>
      <c r="P1481" s="198" t="s">
        <v>49</v>
      </c>
      <c r="U1481" s="6"/>
      <c r="V1481" s="6"/>
      <c r="W1481" s="6"/>
    </row>
    <row r="1482" spans="2:23" s="1" customFormat="1" ht="48.6" hidden="1" customHeight="1">
      <c r="B1482" s="48" t="s">
        <v>2079</v>
      </c>
      <c r="C1482" s="115"/>
      <c r="D1482" s="116" t="s">
        <v>3152</v>
      </c>
      <c r="E1482" s="171" t="s">
        <v>46</v>
      </c>
      <c r="J1482" s="119">
        <v>46136</v>
      </c>
      <c r="K1482" s="329">
        <v>4840892</v>
      </c>
      <c r="N1482" s="182" t="s">
        <v>3153</v>
      </c>
      <c r="O1482" s="163"/>
      <c r="P1482" s="198" t="s">
        <v>49</v>
      </c>
      <c r="U1482" s="6"/>
      <c r="V1482" s="6"/>
      <c r="W1482" s="6"/>
    </row>
    <row r="1483" spans="2:23" s="1" customFormat="1" ht="48.6" customHeight="1">
      <c r="B1483" s="48" t="s">
        <v>2095</v>
      </c>
      <c r="C1483" s="115"/>
      <c r="D1483" s="116" t="s">
        <v>3154</v>
      </c>
      <c r="E1483" s="171" t="s">
        <v>46</v>
      </c>
      <c r="J1483" s="119">
        <v>46136</v>
      </c>
      <c r="K1483" s="329">
        <v>4689276</v>
      </c>
      <c r="N1483" s="182" t="s">
        <v>3155</v>
      </c>
      <c r="O1483" s="163"/>
      <c r="P1483" s="198" t="s">
        <v>204</v>
      </c>
      <c r="U1483" s="6"/>
      <c r="V1483" s="6"/>
      <c r="W1483" s="6"/>
    </row>
    <row r="1484" spans="2:23" s="1" customFormat="1" ht="97.5" hidden="1" customHeight="1">
      <c r="B1484" s="48" t="s">
        <v>2107</v>
      </c>
      <c r="C1484" s="115"/>
      <c r="D1484" s="116" t="s">
        <v>3156</v>
      </c>
      <c r="E1484" s="171" t="s">
        <v>46</v>
      </c>
      <c r="J1484" s="119">
        <v>46142</v>
      </c>
      <c r="K1484" s="329">
        <v>4861124</v>
      </c>
      <c r="N1484" s="182" t="s">
        <v>3157</v>
      </c>
      <c r="O1484" s="163"/>
      <c r="P1484" s="198" t="s">
        <v>49</v>
      </c>
      <c r="U1484" s="6"/>
      <c r="V1484" s="6"/>
      <c r="W1484" s="6"/>
    </row>
    <row r="1485" spans="2:23" s="1" customFormat="1" ht="32.1" hidden="1">
      <c r="B1485" s="48" t="s">
        <v>2107</v>
      </c>
      <c r="C1485" s="115"/>
      <c r="D1485" s="116" t="s">
        <v>3158</v>
      </c>
      <c r="E1485" s="171" t="s">
        <v>46</v>
      </c>
      <c r="J1485" s="119">
        <v>46142</v>
      </c>
      <c r="K1485" s="329">
        <v>4861831</v>
      </c>
      <c r="N1485" s="182" t="s">
        <v>3159</v>
      </c>
      <c r="O1485" s="163"/>
      <c r="P1485" s="198" t="s">
        <v>49</v>
      </c>
      <c r="U1485" s="6"/>
      <c r="V1485" s="6"/>
      <c r="W1485" s="6"/>
    </row>
    <row r="1486" spans="2:23" s="1" customFormat="1" ht="32.1" hidden="1">
      <c r="B1486" s="48" t="s">
        <v>2107</v>
      </c>
      <c r="C1486" s="115"/>
      <c r="D1486" s="116" t="s">
        <v>3160</v>
      </c>
      <c r="E1486" s="171" t="s">
        <v>46</v>
      </c>
      <c r="J1486" s="119">
        <v>46142</v>
      </c>
      <c r="K1486" s="329">
        <v>4867549</v>
      </c>
      <c r="N1486" s="182" t="s">
        <v>3161</v>
      </c>
      <c r="O1486" s="163"/>
      <c r="P1486" s="198" t="s">
        <v>49</v>
      </c>
      <c r="U1486" s="6"/>
      <c r="V1486" s="6"/>
      <c r="W1486" s="6"/>
    </row>
    <row r="1487" spans="2:23" s="1" customFormat="1" ht="32.1" hidden="1">
      <c r="B1487" s="48" t="s">
        <v>2109</v>
      </c>
      <c r="C1487" s="115"/>
      <c r="D1487" s="116" t="s">
        <v>3162</v>
      </c>
      <c r="E1487" s="171" t="s">
        <v>46</v>
      </c>
      <c r="J1487" s="119">
        <v>46142</v>
      </c>
      <c r="K1487" s="329">
        <v>4862214</v>
      </c>
      <c r="N1487" s="182" t="s">
        <v>3163</v>
      </c>
      <c r="O1487" s="163"/>
      <c r="P1487" s="198" t="s">
        <v>49</v>
      </c>
      <c r="U1487" s="6"/>
      <c r="V1487" s="6"/>
      <c r="W1487" s="6"/>
    </row>
    <row r="1488" spans="2:23" s="1" customFormat="1" ht="43.5" hidden="1" customHeight="1">
      <c r="B1488" s="48" t="s">
        <v>2065</v>
      </c>
      <c r="C1488" s="115"/>
      <c r="D1488" s="116" t="s">
        <v>3164</v>
      </c>
      <c r="E1488" s="171" t="s">
        <v>46</v>
      </c>
      <c r="J1488" s="119">
        <v>46142</v>
      </c>
      <c r="K1488" s="329">
        <v>4860664</v>
      </c>
      <c r="N1488" s="182" t="s">
        <v>3165</v>
      </c>
      <c r="O1488" s="163"/>
      <c r="P1488" s="198" t="s">
        <v>49</v>
      </c>
      <c r="U1488" s="6"/>
      <c r="V1488" s="6"/>
      <c r="W1488" s="6"/>
    </row>
    <row r="1489" spans="2:23" s="1" customFormat="1" ht="32.1" hidden="1">
      <c r="B1489" s="48" t="s">
        <v>2065</v>
      </c>
      <c r="C1489" s="115"/>
      <c r="D1489" s="116" t="s">
        <v>3166</v>
      </c>
      <c r="E1489" s="171" t="s">
        <v>46</v>
      </c>
      <c r="J1489" s="119">
        <v>46142</v>
      </c>
      <c r="K1489" s="329">
        <v>4861027</v>
      </c>
      <c r="N1489" s="182" t="s">
        <v>3167</v>
      </c>
      <c r="O1489" s="163"/>
      <c r="P1489" s="198" t="s">
        <v>49</v>
      </c>
      <c r="U1489" s="6"/>
      <c r="V1489" s="6"/>
      <c r="W1489" s="6"/>
    </row>
    <row r="1490" spans="2:23" s="1" customFormat="1" ht="32.1" hidden="1">
      <c r="B1490" s="48" t="s">
        <v>2304</v>
      </c>
      <c r="C1490" s="115"/>
      <c r="D1490" s="116" t="s">
        <v>3168</v>
      </c>
      <c r="E1490" s="171" t="s">
        <v>46</v>
      </c>
      <c r="J1490" s="119">
        <v>46142</v>
      </c>
      <c r="K1490" s="329">
        <v>4855773</v>
      </c>
      <c r="N1490" s="182" t="s">
        <v>3169</v>
      </c>
      <c r="O1490" s="163"/>
      <c r="P1490" s="198" t="s">
        <v>49</v>
      </c>
      <c r="U1490" s="6"/>
      <c r="V1490" s="6"/>
      <c r="W1490" s="6"/>
    </row>
    <row r="1491" spans="2:23" s="1" customFormat="1" ht="32.1" hidden="1">
      <c r="B1491" s="48" t="s">
        <v>2137</v>
      </c>
      <c r="C1491" s="115"/>
      <c r="D1491" s="116" t="s">
        <v>3170</v>
      </c>
      <c r="E1491" s="171" t="s">
        <v>46</v>
      </c>
      <c r="J1491" s="119">
        <v>46142</v>
      </c>
      <c r="K1491" s="329">
        <v>4873337</v>
      </c>
      <c r="N1491" s="182" t="s">
        <v>3171</v>
      </c>
      <c r="O1491" s="163"/>
      <c r="P1491" s="198" t="s">
        <v>49</v>
      </c>
      <c r="U1491" s="6"/>
      <c r="V1491" s="6"/>
      <c r="W1491" s="6"/>
    </row>
    <row r="1492" spans="2:23" s="1" customFormat="1" ht="90" hidden="1" customHeight="1">
      <c r="B1492" s="48" t="s">
        <v>2137</v>
      </c>
      <c r="C1492" s="115"/>
      <c r="D1492" s="116" t="s">
        <v>3172</v>
      </c>
      <c r="E1492" s="171" t="s">
        <v>46</v>
      </c>
      <c r="J1492" s="119">
        <v>46142</v>
      </c>
      <c r="K1492" s="329">
        <v>4873648</v>
      </c>
      <c r="N1492" s="182" t="s">
        <v>3173</v>
      </c>
      <c r="O1492" s="163"/>
      <c r="P1492" s="198" t="s">
        <v>49</v>
      </c>
      <c r="U1492" s="6"/>
      <c r="V1492" s="6"/>
      <c r="W1492" s="6"/>
    </row>
    <row r="1493" spans="2:23" s="1" customFormat="1" ht="90" hidden="1" customHeight="1">
      <c r="B1493" s="48" t="s">
        <v>2137</v>
      </c>
      <c r="C1493" s="115"/>
      <c r="D1493" s="116" t="s">
        <v>3174</v>
      </c>
      <c r="E1493" s="171" t="s">
        <v>46</v>
      </c>
      <c r="J1493" s="119">
        <v>46206</v>
      </c>
      <c r="K1493" s="329"/>
      <c r="N1493" s="182" t="s">
        <v>3175</v>
      </c>
      <c r="O1493" s="163"/>
      <c r="P1493" s="198" t="s">
        <v>49</v>
      </c>
      <c r="U1493" s="6"/>
      <c r="V1493" s="6"/>
      <c r="W1493" s="6"/>
    </row>
    <row r="1494" spans="2:23" s="1" customFormat="1" ht="90" hidden="1" customHeight="1">
      <c r="B1494" s="48" t="s">
        <v>2137</v>
      </c>
      <c r="C1494" s="115"/>
      <c r="D1494" s="116" t="s">
        <v>3176</v>
      </c>
      <c r="E1494" s="171" t="s">
        <v>46</v>
      </c>
      <c r="J1494" s="119">
        <v>46255</v>
      </c>
      <c r="K1494" s="329"/>
      <c r="N1494" s="182" t="s">
        <v>3177</v>
      </c>
      <c r="O1494" s="163"/>
      <c r="P1494" s="198" t="s">
        <v>204</v>
      </c>
      <c r="U1494" s="6"/>
      <c r="V1494" s="6"/>
      <c r="W1494" s="6"/>
    </row>
    <row r="1495" spans="2:23" s="1" customFormat="1" ht="90" hidden="1" customHeight="1">
      <c r="B1495" s="48" t="s">
        <v>2137</v>
      </c>
      <c r="C1495" s="115"/>
      <c r="D1495" s="116" t="s">
        <v>3178</v>
      </c>
      <c r="E1495" s="171" t="s">
        <v>46</v>
      </c>
      <c r="J1495" s="119">
        <v>46262</v>
      </c>
      <c r="K1495" s="329"/>
      <c r="N1495" s="182" t="s">
        <v>3179</v>
      </c>
      <c r="O1495" s="163"/>
      <c r="P1495" s="198" t="s">
        <v>49</v>
      </c>
      <c r="U1495" s="6"/>
      <c r="V1495" s="6"/>
      <c r="W1495" s="6"/>
    </row>
    <row r="1496" spans="2:23" s="1" customFormat="1" ht="90" hidden="1" customHeight="1">
      <c r="B1496" s="48" t="s">
        <v>2137</v>
      </c>
      <c r="C1496" s="115"/>
      <c r="D1496" s="116" t="s">
        <v>3180</v>
      </c>
      <c r="E1496" s="171" t="s">
        <v>46</v>
      </c>
      <c r="J1496" s="119">
        <v>46262</v>
      </c>
      <c r="K1496" s="329"/>
      <c r="N1496" s="182" t="s">
        <v>3181</v>
      </c>
      <c r="O1496" s="163"/>
      <c r="P1496" s="198" t="s">
        <v>204</v>
      </c>
      <c r="U1496" s="6"/>
      <c r="V1496" s="6"/>
      <c r="W1496" s="6"/>
    </row>
    <row r="1497" spans="2:23" s="1" customFormat="1" ht="90" hidden="1" customHeight="1">
      <c r="B1497" s="48" t="s">
        <v>2137</v>
      </c>
      <c r="C1497" s="115"/>
      <c r="D1497" s="116" t="s">
        <v>3182</v>
      </c>
      <c r="E1497" s="171" t="s">
        <v>46</v>
      </c>
      <c r="J1497" s="119">
        <v>46276</v>
      </c>
      <c r="K1497" s="329"/>
      <c r="N1497" s="182" t="s">
        <v>3183</v>
      </c>
      <c r="O1497" s="163"/>
      <c r="P1497" s="198" t="s">
        <v>204</v>
      </c>
      <c r="U1497" s="6"/>
      <c r="V1497" s="6"/>
      <c r="W1497" s="6"/>
    </row>
    <row r="1498" spans="2:23" s="1" customFormat="1" ht="90" hidden="1" customHeight="1">
      <c r="B1498" s="48" t="s">
        <v>2137</v>
      </c>
      <c r="C1498" s="115"/>
      <c r="D1498" s="116" t="s">
        <v>3184</v>
      </c>
      <c r="E1498" s="171" t="s">
        <v>46</v>
      </c>
      <c r="J1498" s="119">
        <v>46276</v>
      </c>
      <c r="K1498" s="329"/>
      <c r="N1498" s="182" t="s">
        <v>3185</v>
      </c>
      <c r="O1498" s="163"/>
      <c r="P1498" s="198" t="s">
        <v>204</v>
      </c>
      <c r="U1498" s="6"/>
      <c r="V1498" s="6"/>
      <c r="W1498" s="6"/>
    </row>
    <row r="1499" spans="2:23" s="1" customFormat="1" ht="32.1" hidden="1">
      <c r="B1499" s="48" t="s">
        <v>3186</v>
      </c>
      <c r="C1499" s="115"/>
      <c r="D1499" s="116" t="s">
        <v>3187</v>
      </c>
      <c r="E1499" s="171" t="s">
        <v>46</v>
      </c>
      <c r="J1499" s="119">
        <v>46142</v>
      </c>
      <c r="K1499" s="329"/>
      <c r="N1499" s="182" t="s">
        <v>3188</v>
      </c>
      <c r="O1499" s="163"/>
      <c r="P1499" s="198" t="s">
        <v>49</v>
      </c>
      <c r="U1499" s="6"/>
      <c r="V1499" s="6"/>
      <c r="W1499" s="6"/>
    </row>
    <row r="1500" spans="2:23" s="1" customFormat="1" ht="66.95" hidden="1" customHeight="1">
      <c r="B1500" s="48" t="s">
        <v>2101</v>
      </c>
      <c r="C1500" s="115"/>
      <c r="D1500" s="116" t="s">
        <v>3189</v>
      </c>
      <c r="E1500" s="171" t="s">
        <v>46</v>
      </c>
      <c r="J1500" s="119">
        <v>46142</v>
      </c>
      <c r="K1500" s="361">
        <v>4872476</v>
      </c>
      <c r="N1500" s="182" t="s">
        <v>3190</v>
      </c>
      <c r="O1500" s="163"/>
      <c r="P1500" s="198" t="s">
        <v>49</v>
      </c>
      <c r="U1500" s="6"/>
      <c r="V1500" s="6"/>
      <c r="W1500" s="6"/>
    </row>
    <row r="1501" spans="2:23" s="1" customFormat="1" ht="53.25" hidden="1">
      <c r="B1501" s="48" t="s">
        <v>2085</v>
      </c>
      <c r="C1501" s="115"/>
      <c r="D1501" s="116" t="s">
        <v>3191</v>
      </c>
      <c r="E1501" s="171" t="s">
        <v>46</v>
      </c>
      <c r="J1501" s="119">
        <v>46150</v>
      </c>
      <c r="K1501" s="359">
        <v>4912798</v>
      </c>
      <c r="N1501" s="182" t="s">
        <v>3192</v>
      </c>
      <c r="O1501" s="163"/>
      <c r="P1501" s="198" t="s">
        <v>49</v>
      </c>
      <c r="U1501" s="6"/>
      <c r="V1501" s="6"/>
      <c r="W1501" s="6"/>
    </row>
    <row r="1502" spans="2:23" s="1" customFormat="1" ht="53.25" hidden="1">
      <c r="B1502" s="48" t="s">
        <v>2109</v>
      </c>
      <c r="C1502" s="115"/>
      <c r="D1502" s="116" t="s">
        <v>3193</v>
      </c>
      <c r="E1502" s="171" t="s">
        <v>46</v>
      </c>
      <c r="J1502" s="119">
        <v>46150</v>
      </c>
      <c r="K1502" s="358">
        <v>4901601</v>
      </c>
      <c r="N1502" s="182" t="s">
        <v>3194</v>
      </c>
      <c r="O1502" s="163"/>
      <c r="P1502" s="198" t="s">
        <v>49</v>
      </c>
      <c r="U1502" s="6"/>
      <c r="V1502" s="6"/>
      <c r="W1502" s="6"/>
    </row>
    <row r="1503" spans="2:23" s="1" customFormat="1" ht="36" hidden="1">
      <c r="B1503" s="48" t="s">
        <v>2088</v>
      </c>
      <c r="C1503" s="115"/>
      <c r="D1503" s="116" t="s">
        <v>3195</v>
      </c>
      <c r="E1503" s="171" t="s">
        <v>46</v>
      </c>
      <c r="J1503" s="119">
        <v>46150</v>
      </c>
      <c r="K1503" s="329">
        <v>4895082</v>
      </c>
      <c r="N1503" s="182" t="s">
        <v>3196</v>
      </c>
      <c r="O1503" s="163"/>
      <c r="P1503" s="198" t="s">
        <v>49</v>
      </c>
      <c r="U1503" s="6"/>
      <c r="V1503" s="6"/>
      <c r="W1503" s="6"/>
    </row>
    <row r="1504" spans="2:23" s="1" customFormat="1" ht="70.5" hidden="1">
      <c r="B1504" s="48" t="s">
        <v>2088</v>
      </c>
      <c r="C1504" s="115"/>
      <c r="D1504" s="116" t="s">
        <v>3197</v>
      </c>
      <c r="E1504" s="171" t="s">
        <v>46</v>
      </c>
      <c r="J1504" s="119">
        <v>46150</v>
      </c>
      <c r="K1504" s="329">
        <v>4913914</v>
      </c>
      <c r="N1504" s="182" t="s">
        <v>3198</v>
      </c>
      <c r="O1504" s="163"/>
      <c r="P1504" s="198" t="s">
        <v>49</v>
      </c>
      <c r="U1504" s="6"/>
      <c r="V1504" s="6"/>
      <c r="W1504" s="6"/>
    </row>
    <row r="1505" spans="2:23" s="1" customFormat="1" ht="36" hidden="1">
      <c r="B1505" s="48" t="s">
        <v>2127</v>
      </c>
      <c r="C1505" s="115"/>
      <c r="D1505" s="116" t="s">
        <v>3199</v>
      </c>
      <c r="E1505" s="171" t="s">
        <v>46</v>
      </c>
      <c r="J1505" s="119">
        <v>46150</v>
      </c>
      <c r="K1505" s="329">
        <v>4907018</v>
      </c>
      <c r="N1505" s="182" t="s">
        <v>3200</v>
      </c>
      <c r="O1505" s="163"/>
      <c r="P1505" s="198" t="s">
        <v>49</v>
      </c>
      <c r="U1505" s="6"/>
      <c r="V1505" s="6"/>
      <c r="W1505" s="6"/>
    </row>
    <row r="1506" spans="2:23" s="1" customFormat="1" ht="36" hidden="1">
      <c r="B1506" s="48" t="s">
        <v>2072</v>
      </c>
      <c r="C1506" s="115"/>
      <c r="D1506" s="116" t="s">
        <v>3201</v>
      </c>
      <c r="E1506" s="171" t="s">
        <v>46</v>
      </c>
      <c r="J1506" s="119">
        <v>46150</v>
      </c>
      <c r="K1506" s="329">
        <v>4906969</v>
      </c>
      <c r="N1506" s="182" t="s">
        <v>3202</v>
      </c>
      <c r="O1506" s="163"/>
      <c r="P1506" s="198" t="s">
        <v>49</v>
      </c>
      <c r="U1506" s="6"/>
      <c r="V1506" s="6"/>
      <c r="W1506" s="6"/>
    </row>
    <row r="1507" spans="2:23" s="1" customFormat="1" ht="53.25" hidden="1">
      <c r="B1507" s="48" t="s">
        <v>2134</v>
      </c>
      <c r="C1507" s="115"/>
      <c r="D1507" s="116" t="s">
        <v>3203</v>
      </c>
      <c r="E1507" s="171" t="s">
        <v>46</v>
      </c>
      <c r="J1507" s="119">
        <v>46150</v>
      </c>
      <c r="K1507" s="329">
        <v>4913445</v>
      </c>
      <c r="N1507" s="182" t="s">
        <v>3204</v>
      </c>
      <c r="O1507" s="163"/>
      <c r="P1507" s="198" t="s">
        <v>49</v>
      </c>
      <c r="U1507" s="6"/>
      <c r="V1507" s="6"/>
      <c r="W1507" s="6"/>
    </row>
    <row r="1508" spans="2:23" s="1" customFormat="1" ht="53.25" hidden="1">
      <c r="B1508" s="48" t="s">
        <v>2134</v>
      </c>
      <c r="C1508" s="115"/>
      <c r="D1508" s="116" t="s">
        <v>3205</v>
      </c>
      <c r="E1508" s="171" t="s">
        <v>46</v>
      </c>
      <c r="J1508" s="119">
        <v>46150</v>
      </c>
      <c r="K1508" s="329">
        <v>4914112</v>
      </c>
      <c r="N1508" s="182" t="s">
        <v>3206</v>
      </c>
      <c r="O1508" s="163"/>
      <c r="P1508" s="198" t="s">
        <v>49</v>
      </c>
      <c r="U1508" s="6"/>
      <c r="V1508" s="6"/>
      <c r="W1508" s="6"/>
    </row>
    <row r="1509" spans="2:23" s="1" customFormat="1" ht="70.5" hidden="1">
      <c r="B1509" s="48" t="s">
        <v>2367</v>
      </c>
      <c r="C1509" s="115"/>
      <c r="D1509" s="116" t="s">
        <v>3207</v>
      </c>
      <c r="E1509" s="171" t="s">
        <v>46</v>
      </c>
      <c r="J1509" s="119">
        <v>46150</v>
      </c>
      <c r="K1509" s="329">
        <v>4900589</v>
      </c>
      <c r="N1509" s="316" t="s">
        <v>3208</v>
      </c>
      <c r="O1509" s="316"/>
      <c r="P1509" s="198" t="s">
        <v>49</v>
      </c>
      <c r="U1509" s="6"/>
      <c r="V1509" s="6"/>
      <c r="W1509" s="6"/>
    </row>
    <row r="1510" spans="2:23" s="1" customFormat="1" ht="36">
      <c r="B1510" s="48" t="s">
        <v>2095</v>
      </c>
      <c r="C1510" s="115"/>
      <c r="D1510" s="116" t="s">
        <v>3209</v>
      </c>
      <c r="E1510" s="171" t="s">
        <v>46</v>
      </c>
      <c r="J1510" s="119">
        <v>46150</v>
      </c>
      <c r="K1510" s="329">
        <v>4906996</v>
      </c>
      <c r="N1510" s="182" t="s">
        <v>3210</v>
      </c>
      <c r="O1510" s="163"/>
      <c r="P1510" s="198" t="s">
        <v>49</v>
      </c>
      <c r="U1510" s="6"/>
      <c r="V1510" s="6"/>
      <c r="W1510" s="6"/>
    </row>
    <row r="1511" spans="2:23" s="1" customFormat="1" ht="36">
      <c r="B1511" s="48" t="s">
        <v>2095</v>
      </c>
      <c r="C1511" s="115"/>
      <c r="D1511" s="116" t="s">
        <v>3211</v>
      </c>
      <c r="E1511" s="171" t="s">
        <v>46</v>
      </c>
      <c r="J1511" s="119">
        <v>46220</v>
      </c>
      <c r="K1511" s="329"/>
      <c r="N1511" s="182" t="s">
        <v>3212</v>
      </c>
      <c r="O1511" s="163"/>
      <c r="P1511" s="198" t="s">
        <v>49</v>
      </c>
      <c r="U1511" s="6"/>
      <c r="V1511" s="6"/>
      <c r="W1511" s="6"/>
    </row>
    <row r="1512" spans="2:23" s="1" customFormat="1" ht="36" hidden="1">
      <c r="B1512" s="48" t="s">
        <v>2624</v>
      </c>
      <c r="C1512" s="115"/>
      <c r="D1512" s="116" t="s">
        <v>3213</v>
      </c>
      <c r="E1512" s="171" t="s">
        <v>46</v>
      </c>
      <c r="J1512" s="119">
        <v>46156</v>
      </c>
      <c r="K1512" s="329">
        <v>4947280</v>
      </c>
      <c r="N1512" s="182" t="s">
        <v>3214</v>
      </c>
      <c r="O1512" s="163"/>
      <c r="P1512" s="198" t="s">
        <v>49</v>
      </c>
      <c r="U1512" s="6"/>
      <c r="V1512" s="6"/>
      <c r="W1512" s="6"/>
    </row>
    <row r="1513" spans="2:23" s="1" customFormat="1" ht="53.25" hidden="1">
      <c r="B1513" s="48" t="s">
        <v>2304</v>
      </c>
      <c r="C1513" s="115"/>
      <c r="D1513" s="116" t="s">
        <v>3215</v>
      </c>
      <c r="E1513" s="171" t="s">
        <v>46</v>
      </c>
      <c r="J1513" s="119">
        <v>46156</v>
      </c>
      <c r="K1513" s="329">
        <v>4947134</v>
      </c>
      <c r="N1513" s="182" t="s">
        <v>3216</v>
      </c>
      <c r="O1513" s="163"/>
      <c r="P1513" s="198" t="s">
        <v>49</v>
      </c>
      <c r="U1513" s="6"/>
      <c r="V1513" s="6"/>
      <c r="W1513" s="6"/>
    </row>
    <row r="1514" spans="2:23" s="1" customFormat="1" ht="106.5" hidden="1">
      <c r="B1514" s="48" t="s">
        <v>2411</v>
      </c>
      <c r="C1514" s="115"/>
      <c r="D1514" s="116" t="s">
        <v>3217</v>
      </c>
      <c r="E1514" s="171" t="s">
        <v>46</v>
      </c>
      <c r="J1514" s="119">
        <v>46164</v>
      </c>
      <c r="K1514" s="329">
        <v>4993411</v>
      </c>
      <c r="N1514" s="182" t="s">
        <v>3218</v>
      </c>
      <c r="O1514" s="163"/>
      <c r="P1514" s="198" t="s">
        <v>49</v>
      </c>
      <c r="U1514" s="6"/>
      <c r="V1514" s="6"/>
      <c r="W1514" s="6"/>
    </row>
    <row r="1515" spans="2:23" s="1" customFormat="1" ht="88.5" hidden="1">
      <c r="B1515" s="48" t="s">
        <v>2411</v>
      </c>
      <c r="C1515" s="115"/>
      <c r="D1515" s="116" t="s">
        <v>3219</v>
      </c>
      <c r="E1515" s="171" t="s">
        <v>46</v>
      </c>
      <c r="J1515" s="119">
        <v>46227</v>
      </c>
      <c r="K1515" s="329"/>
      <c r="N1515" s="182" t="s">
        <v>3220</v>
      </c>
      <c r="O1515" s="163"/>
      <c r="P1515" s="198" t="s">
        <v>49</v>
      </c>
      <c r="U1515" s="6"/>
      <c r="V1515" s="6"/>
      <c r="W1515" s="6"/>
    </row>
    <row r="1516" spans="2:23" s="1" customFormat="1" ht="36" hidden="1">
      <c r="B1516" s="48" t="s">
        <v>2109</v>
      </c>
      <c r="C1516" s="115"/>
      <c r="D1516" s="116" t="s">
        <v>3221</v>
      </c>
      <c r="E1516" s="171" t="s">
        <v>46</v>
      </c>
      <c r="J1516" s="119">
        <v>46164</v>
      </c>
      <c r="K1516" s="329">
        <v>4974267</v>
      </c>
      <c r="N1516" s="182" t="s">
        <v>3222</v>
      </c>
      <c r="O1516" s="163"/>
      <c r="P1516" s="198" t="s">
        <v>49</v>
      </c>
      <c r="U1516" s="6"/>
      <c r="V1516" s="6"/>
      <c r="W1516" s="6"/>
    </row>
    <row r="1517" spans="2:23" s="1" customFormat="1" ht="53.25" hidden="1">
      <c r="B1517" s="48" t="s">
        <v>2088</v>
      </c>
      <c r="C1517" s="115"/>
      <c r="D1517" s="116" t="s">
        <v>3223</v>
      </c>
      <c r="E1517" s="171" t="s">
        <v>46</v>
      </c>
      <c r="J1517" s="119">
        <v>46164</v>
      </c>
      <c r="K1517" s="329">
        <v>4993286</v>
      </c>
      <c r="N1517" s="182" t="s">
        <v>3224</v>
      </c>
      <c r="O1517" s="163"/>
      <c r="P1517" s="198" t="s">
        <v>49</v>
      </c>
      <c r="U1517" s="6"/>
      <c r="V1517" s="6"/>
      <c r="W1517" s="6"/>
    </row>
    <row r="1518" spans="2:23" s="1" customFormat="1" ht="231" hidden="1">
      <c r="B1518" s="48" t="s">
        <v>2624</v>
      </c>
      <c r="C1518" s="115"/>
      <c r="D1518" s="116" t="s">
        <v>3225</v>
      </c>
      <c r="E1518" s="171" t="s">
        <v>46</v>
      </c>
      <c r="J1518" s="119">
        <v>46164</v>
      </c>
      <c r="K1518" s="329">
        <v>4980228</v>
      </c>
      <c r="N1518" s="182" t="s">
        <v>3226</v>
      </c>
      <c r="O1518" s="163"/>
      <c r="P1518" s="198" t="s">
        <v>49</v>
      </c>
      <c r="U1518" s="6"/>
      <c r="V1518" s="6"/>
      <c r="W1518" s="6"/>
    </row>
    <row r="1519" spans="2:23" s="1" customFormat="1" ht="195" hidden="1">
      <c r="B1519" s="48" t="s">
        <v>2624</v>
      </c>
      <c r="C1519" s="115"/>
      <c r="D1519" s="116" t="s">
        <v>3227</v>
      </c>
      <c r="E1519" s="171" t="s">
        <v>46</v>
      </c>
      <c r="J1519" s="119">
        <v>46164</v>
      </c>
      <c r="K1519" s="329">
        <v>4993144</v>
      </c>
      <c r="N1519" s="182" t="s">
        <v>3228</v>
      </c>
      <c r="O1519" s="163"/>
      <c r="P1519" s="198" t="s">
        <v>49</v>
      </c>
      <c r="U1519" s="6"/>
      <c r="V1519" s="6"/>
      <c r="W1519" s="6"/>
    </row>
    <row r="1520" spans="2:23" s="1" customFormat="1" ht="36" hidden="1">
      <c r="B1520" s="48" t="s">
        <v>2624</v>
      </c>
      <c r="C1520" s="115"/>
      <c r="D1520" s="116" t="s">
        <v>3229</v>
      </c>
      <c r="E1520" s="171" t="s">
        <v>46</v>
      </c>
      <c r="J1520" s="119">
        <v>46164</v>
      </c>
      <c r="K1520" s="329">
        <v>4993235</v>
      </c>
      <c r="N1520" s="182" t="s">
        <v>3230</v>
      </c>
      <c r="O1520" s="163"/>
      <c r="P1520" s="198" t="s">
        <v>49</v>
      </c>
      <c r="U1520" s="6"/>
      <c r="V1520" s="6"/>
      <c r="W1520" s="6"/>
    </row>
    <row r="1521" spans="2:23" s="1" customFormat="1" ht="53.25" hidden="1">
      <c r="B1521" s="48" t="s">
        <v>2300</v>
      </c>
      <c r="C1521" s="115"/>
      <c r="D1521" s="116" t="s">
        <v>3231</v>
      </c>
      <c r="E1521" s="171" t="s">
        <v>46</v>
      </c>
      <c r="J1521" s="119">
        <v>46164</v>
      </c>
      <c r="K1521" s="329">
        <v>4979895</v>
      </c>
      <c r="N1521" s="182" t="s">
        <v>3232</v>
      </c>
      <c r="O1521" s="163"/>
      <c r="P1521" s="198" t="s">
        <v>49</v>
      </c>
      <c r="U1521" s="6"/>
      <c r="V1521" s="6"/>
      <c r="W1521" s="6"/>
    </row>
    <row r="1522" spans="2:23" s="1" customFormat="1" ht="53.25" hidden="1">
      <c r="B1522" s="48" t="s">
        <v>2300</v>
      </c>
      <c r="C1522" s="115"/>
      <c r="D1522" s="116" t="s">
        <v>3233</v>
      </c>
      <c r="E1522" s="171" t="s">
        <v>46</v>
      </c>
      <c r="J1522" s="119">
        <v>46164</v>
      </c>
      <c r="K1522" s="329">
        <v>4979917</v>
      </c>
      <c r="N1522" s="182" t="s">
        <v>3234</v>
      </c>
      <c r="O1522" s="163"/>
      <c r="P1522" s="198" t="s">
        <v>49</v>
      </c>
      <c r="U1522" s="6"/>
      <c r="V1522" s="6"/>
      <c r="W1522" s="6"/>
    </row>
    <row r="1523" spans="2:23" s="1" customFormat="1" ht="53.25" hidden="1">
      <c r="B1523" s="48" t="s">
        <v>2300</v>
      </c>
      <c r="C1523" s="115"/>
      <c r="D1523" s="116" t="s">
        <v>3235</v>
      </c>
      <c r="E1523" s="171" t="s">
        <v>46</v>
      </c>
      <c r="J1523" s="119">
        <v>46213</v>
      </c>
      <c r="K1523" s="329"/>
      <c r="N1523" s="182" t="s">
        <v>3236</v>
      </c>
      <c r="O1523" s="163"/>
      <c r="P1523" s="198" t="s">
        <v>49</v>
      </c>
      <c r="U1523" s="6"/>
      <c r="V1523" s="6"/>
      <c r="W1523" s="6"/>
    </row>
    <row r="1524" spans="2:23" s="1" customFormat="1" ht="124.5" hidden="1">
      <c r="B1524" s="48" t="s">
        <v>2300</v>
      </c>
      <c r="C1524" s="115"/>
      <c r="D1524" s="116" t="s">
        <v>3237</v>
      </c>
      <c r="E1524" s="171" t="s">
        <v>46</v>
      </c>
      <c r="J1524" s="119">
        <v>46241</v>
      </c>
      <c r="K1524" s="361"/>
      <c r="N1524" s="182" t="s">
        <v>3238</v>
      </c>
      <c r="O1524" s="163"/>
      <c r="P1524" s="198" t="s">
        <v>49</v>
      </c>
      <c r="U1524" s="6"/>
      <c r="V1524" s="6"/>
      <c r="W1524" s="6"/>
    </row>
    <row r="1525" spans="2:23" s="1" customFormat="1" ht="53.25" hidden="1">
      <c r="B1525" s="48" t="s">
        <v>2062</v>
      </c>
      <c r="C1525" s="115"/>
      <c r="D1525" s="116" t="s">
        <v>3239</v>
      </c>
      <c r="E1525" s="171" t="s">
        <v>46</v>
      </c>
      <c r="J1525" s="119">
        <v>46164</v>
      </c>
      <c r="K1525" s="361"/>
      <c r="N1525" s="182" t="s">
        <v>3240</v>
      </c>
      <c r="O1525" s="163"/>
      <c r="P1525" s="198" t="s">
        <v>49</v>
      </c>
      <c r="U1525" s="6"/>
      <c r="V1525" s="6"/>
      <c r="W1525" s="6"/>
    </row>
    <row r="1526" spans="2:23" s="1" customFormat="1" ht="53.25" hidden="1">
      <c r="B1526" s="48" t="s">
        <v>2085</v>
      </c>
      <c r="C1526" s="115"/>
      <c r="D1526" s="116" t="s">
        <v>3241</v>
      </c>
      <c r="E1526" s="171" t="s">
        <v>46</v>
      </c>
      <c r="J1526" s="355">
        <v>46171</v>
      </c>
      <c r="K1526" s="359">
        <v>5033833</v>
      </c>
      <c r="N1526" s="182" t="s">
        <v>3242</v>
      </c>
      <c r="O1526" s="316"/>
      <c r="P1526" s="356" t="s">
        <v>49</v>
      </c>
      <c r="S1526" s="357"/>
      <c r="U1526" s="6"/>
      <c r="V1526" s="6"/>
      <c r="W1526" s="6"/>
    </row>
    <row r="1527" spans="2:23" s="1" customFormat="1" ht="70.5" hidden="1">
      <c r="B1527" s="48" t="s">
        <v>2383</v>
      </c>
      <c r="C1527" s="115"/>
      <c r="D1527" s="116" t="s">
        <v>3243</v>
      </c>
      <c r="E1527" s="171" t="s">
        <v>46</v>
      </c>
      <c r="J1527" s="119">
        <v>46171</v>
      </c>
      <c r="K1527" s="358">
        <v>5027823</v>
      </c>
      <c r="N1527" s="182" t="s">
        <v>3244</v>
      </c>
      <c r="O1527" s="163"/>
      <c r="P1527" s="198" t="s">
        <v>49</v>
      </c>
      <c r="U1527" s="6"/>
      <c r="V1527" s="6"/>
      <c r="W1527" s="6"/>
    </row>
    <row r="1528" spans="2:23" s="1" customFormat="1" ht="15" hidden="1">
      <c r="B1528" s="48"/>
      <c r="C1528" s="115"/>
      <c r="D1528" s="116"/>
      <c r="E1528" s="171"/>
      <c r="J1528" s="119"/>
      <c r="K1528" s="329"/>
      <c r="N1528" s="182"/>
      <c r="O1528" s="163"/>
      <c r="P1528" s="198"/>
      <c r="U1528" s="6"/>
      <c r="V1528" s="6"/>
      <c r="W1528" s="6"/>
    </row>
    <row r="1529" spans="2:23" s="1" customFormat="1" ht="36" hidden="1">
      <c r="B1529" s="48" t="s">
        <v>2624</v>
      </c>
      <c r="C1529" s="115"/>
      <c r="D1529" s="116" t="s">
        <v>3245</v>
      </c>
      <c r="E1529" s="171" t="s">
        <v>46</v>
      </c>
      <c r="J1529" s="119">
        <v>46171</v>
      </c>
      <c r="K1529" s="329"/>
      <c r="N1529" s="182" t="s">
        <v>3246</v>
      </c>
      <c r="O1529" s="163"/>
      <c r="P1529" s="198" t="s">
        <v>49</v>
      </c>
      <c r="U1529" s="6"/>
      <c r="V1529" s="6"/>
      <c r="W1529" s="6"/>
    </row>
    <row r="1530" spans="2:23" s="1" customFormat="1" ht="36" hidden="1">
      <c r="B1530" s="48" t="s">
        <v>2062</v>
      </c>
      <c r="C1530" s="115"/>
      <c r="D1530" s="116" t="s">
        <v>3247</v>
      </c>
      <c r="E1530" s="171" t="s">
        <v>46</v>
      </c>
      <c r="J1530" s="119">
        <v>46171</v>
      </c>
      <c r="K1530" s="329">
        <v>5034302</v>
      </c>
      <c r="N1530" s="182" t="s">
        <v>3248</v>
      </c>
      <c r="O1530" s="163"/>
      <c r="P1530" s="198" t="s">
        <v>49</v>
      </c>
      <c r="U1530" s="6"/>
      <c r="V1530" s="6"/>
      <c r="W1530" s="6"/>
    </row>
    <row r="1531" spans="2:23" s="1" customFormat="1" ht="36" hidden="1">
      <c r="B1531" s="48" t="s">
        <v>2062</v>
      </c>
      <c r="C1531" s="115"/>
      <c r="D1531" s="116" t="s">
        <v>3249</v>
      </c>
      <c r="E1531" s="171" t="s">
        <v>46</v>
      </c>
      <c r="J1531" s="119">
        <v>46171</v>
      </c>
      <c r="K1531" s="329">
        <v>5027411</v>
      </c>
      <c r="N1531" s="182" t="s">
        <v>3250</v>
      </c>
      <c r="O1531" s="163"/>
      <c r="P1531" s="198" t="s">
        <v>49</v>
      </c>
      <c r="U1531" s="6"/>
      <c r="V1531" s="6"/>
      <c r="W1531" s="6"/>
    </row>
    <row r="1532" spans="2:23" s="1" customFormat="1" ht="159.75" hidden="1">
      <c r="B1532" s="48" t="s">
        <v>2062</v>
      </c>
      <c r="C1532" s="115"/>
      <c r="D1532" s="116" t="s">
        <v>3251</v>
      </c>
      <c r="E1532" s="171" t="s">
        <v>46</v>
      </c>
      <c r="J1532" s="119">
        <v>46171</v>
      </c>
      <c r="K1532" s="329">
        <v>5027473</v>
      </c>
      <c r="N1532" s="182" t="s">
        <v>3252</v>
      </c>
      <c r="O1532" s="163"/>
      <c r="P1532" s="198" t="s">
        <v>204</v>
      </c>
      <c r="U1532" s="6"/>
      <c r="V1532" s="6"/>
      <c r="W1532" s="6"/>
    </row>
    <row r="1533" spans="2:23" s="1" customFormat="1" ht="36" hidden="1">
      <c r="B1533" s="48" t="s">
        <v>2062</v>
      </c>
      <c r="C1533" s="115"/>
      <c r="D1533" s="116" t="s">
        <v>3253</v>
      </c>
      <c r="E1533" s="171" t="s">
        <v>46</v>
      </c>
      <c r="J1533" s="119">
        <v>46171</v>
      </c>
      <c r="K1533" s="329"/>
      <c r="N1533" s="182" t="s">
        <v>3254</v>
      </c>
      <c r="O1533" s="163"/>
      <c r="P1533" s="198" t="s">
        <v>49</v>
      </c>
      <c r="U1533" s="6"/>
      <c r="V1533" s="6"/>
      <c r="W1533" s="6"/>
    </row>
    <row r="1534" spans="2:23" s="1" customFormat="1" ht="36" hidden="1">
      <c r="B1534" s="48" t="s">
        <v>2062</v>
      </c>
      <c r="C1534" s="115"/>
      <c r="D1534" s="116" t="s">
        <v>3255</v>
      </c>
      <c r="E1534" s="171" t="s">
        <v>46</v>
      </c>
      <c r="J1534" s="119">
        <v>46168</v>
      </c>
      <c r="K1534" s="329"/>
      <c r="N1534" s="182" t="s">
        <v>3256</v>
      </c>
      <c r="O1534" s="163"/>
      <c r="P1534" s="198" t="s">
        <v>49</v>
      </c>
      <c r="U1534" s="6"/>
      <c r="V1534" s="6"/>
      <c r="W1534" s="6"/>
    </row>
    <row r="1535" spans="2:23" s="1" customFormat="1" ht="53.25" hidden="1">
      <c r="B1535" s="48" t="s">
        <v>2062</v>
      </c>
      <c r="C1535" s="115"/>
      <c r="D1535" s="116" t="s">
        <v>3257</v>
      </c>
      <c r="E1535" s="171" t="s">
        <v>46</v>
      </c>
      <c r="J1535" s="119">
        <v>46220</v>
      </c>
      <c r="K1535" s="329"/>
      <c r="N1535" s="182" t="s">
        <v>3258</v>
      </c>
      <c r="O1535" s="163"/>
      <c r="P1535" s="198" t="s">
        <v>49</v>
      </c>
      <c r="U1535" s="6"/>
      <c r="V1535" s="6"/>
      <c r="W1535" s="6"/>
    </row>
    <row r="1536" spans="2:23" s="1" customFormat="1" ht="70.5" hidden="1">
      <c r="B1536" s="48" t="s">
        <v>2062</v>
      </c>
      <c r="C1536" s="115"/>
      <c r="D1536" s="116" t="s">
        <v>3259</v>
      </c>
      <c r="E1536" s="171" t="s">
        <v>46</v>
      </c>
      <c r="J1536" s="119">
        <v>46220</v>
      </c>
      <c r="K1536" s="329"/>
      <c r="N1536" s="182" t="s">
        <v>3260</v>
      </c>
      <c r="O1536" s="163"/>
      <c r="P1536" s="198" t="s">
        <v>49</v>
      </c>
      <c r="U1536" s="6"/>
      <c r="V1536" s="6"/>
      <c r="W1536" s="6"/>
    </row>
    <row r="1537" spans="2:23" s="1" customFormat="1" ht="248.25" hidden="1">
      <c r="B1537" s="48" t="s">
        <v>2062</v>
      </c>
      <c r="C1537" s="115"/>
      <c r="D1537" s="116" t="s">
        <v>3261</v>
      </c>
      <c r="E1537" s="171" t="s">
        <v>46</v>
      </c>
      <c r="J1537" s="119">
        <v>46227</v>
      </c>
      <c r="K1537" s="329"/>
      <c r="N1537" s="182" t="s">
        <v>3262</v>
      </c>
      <c r="O1537" s="163"/>
      <c r="P1537" s="198" t="s">
        <v>204</v>
      </c>
      <c r="U1537" s="6"/>
      <c r="V1537" s="6"/>
      <c r="W1537" s="6"/>
    </row>
    <row r="1538" spans="2:23" s="1" customFormat="1" ht="70.5" hidden="1">
      <c r="B1538" s="48" t="s">
        <v>2062</v>
      </c>
      <c r="C1538" s="115"/>
      <c r="D1538" s="116" t="s">
        <v>3263</v>
      </c>
      <c r="E1538" s="171" t="s">
        <v>46</v>
      </c>
      <c r="J1538" s="119">
        <v>46227</v>
      </c>
      <c r="K1538" s="329"/>
      <c r="N1538" s="182" t="s">
        <v>3264</v>
      </c>
      <c r="O1538" s="163"/>
      <c r="P1538" s="198" t="s">
        <v>49</v>
      </c>
      <c r="U1538" s="6"/>
      <c r="V1538" s="6"/>
      <c r="W1538" s="6"/>
    </row>
    <row r="1539" spans="2:23" s="1" customFormat="1" ht="88.5" hidden="1">
      <c r="B1539" s="48" t="s">
        <v>2231</v>
      </c>
      <c r="C1539" s="115"/>
      <c r="D1539" s="116" t="s">
        <v>3265</v>
      </c>
      <c r="E1539" s="171" t="s">
        <v>46</v>
      </c>
      <c r="J1539" s="119">
        <v>46171</v>
      </c>
      <c r="K1539" s="329"/>
      <c r="N1539" s="182" t="s">
        <v>3266</v>
      </c>
      <c r="O1539" s="163"/>
      <c r="P1539" s="198" t="s">
        <v>49</v>
      </c>
      <c r="U1539" s="6"/>
      <c r="V1539" s="6"/>
      <c r="W1539" s="6"/>
    </row>
    <row r="1540" spans="2:23" s="1" customFormat="1" ht="70.5" hidden="1">
      <c r="B1540" s="48" t="s">
        <v>2231</v>
      </c>
      <c r="C1540" s="115"/>
      <c r="D1540" s="116" t="s">
        <v>3267</v>
      </c>
      <c r="E1540" s="171" t="s">
        <v>46</v>
      </c>
      <c r="J1540" s="119">
        <v>46178</v>
      </c>
      <c r="K1540" s="329"/>
      <c r="N1540" s="182" t="s">
        <v>3268</v>
      </c>
      <c r="O1540" s="163"/>
      <c r="P1540" s="198" t="s">
        <v>49</v>
      </c>
      <c r="U1540" s="6"/>
      <c r="V1540" s="6"/>
      <c r="W1540" s="6"/>
    </row>
    <row r="1541" spans="2:23" s="1" customFormat="1" ht="301.5" hidden="1">
      <c r="B1541" s="48" t="s">
        <v>2231</v>
      </c>
      <c r="C1541" s="115"/>
      <c r="D1541" s="116" t="s">
        <v>3269</v>
      </c>
      <c r="E1541" s="171" t="s">
        <v>46</v>
      </c>
      <c r="J1541" s="119">
        <v>46220</v>
      </c>
      <c r="K1541" s="329"/>
      <c r="N1541" s="182" t="s">
        <v>3270</v>
      </c>
      <c r="O1541" s="163"/>
      <c r="P1541" s="198" t="s">
        <v>49</v>
      </c>
      <c r="U1541" s="6"/>
      <c r="V1541" s="6"/>
      <c r="W1541" s="6"/>
    </row>
    <row r="1542" spans="2:23" s="1" customFormat="1" ht="36" hidden="1">
      <c r="B1542" s="48" t="s">
        <v>2231</v>
      </c>
      <c r="C1542" s="115"/>
      <c r="D1542" s="116" t="s">
        <v>3271</v>
      </c>
      <c r="E1542" s="171" t="s">
        <v>46</v>
      </c>
      <c r="J1542" s="119">
        <v>46227</v>
      </c>
      <c r="K1542" s="329"/>
      <c r="N1542" s="182" t="s">
        <v>3272</v>
      </c>
      <c r="O1542" s="163"/>
      <c r="P1542" s="198" t="s">
        <v>49</v>
      </c>
      <c r="U1542" s="6"/>
      <c r="V1542" s="6"/>
      <c r="W1542" s="6"/>
    </row>
    <row r="1543" spans="2:23" s="1" customFormat="1" ht="36" hidden="1">
      <c r="B1543" s="48" t="s">
        <v>2231</v>
      </c>
      <c r="C1543" s="115"/>
      <c r="D1543" s="116" t="s">
        <v>3273</v>
      </c>
      <c r="E1543" s="171" t="s">
        <v>46</v>
      </c>
      <c r="J1543" s="119">
        <v>46269</v>
      </c>
      <c r="K1543" s="329"/>
      <c r="N1543" s="182" t="s">
        <v>3274</v>
      </c>
      <c r="O1543" s="163"/>
      <c r="P1543" s="198" t="s">
        <v>49</v>
      </c>
      <c r="U1543" s="6"/>
      <c r="V1543" s="6"/>
      <c r="W1543" s="6"/>
    </row>
    <row r="1544" spans="2:23" s="1" customFormat="1" ht="53.25" hidden="1">
      <c r="B1544" s="48" t="s">
        <v>2231</v>
      </c>
      <c r="C1544" s="115"/>
      <c r="D1544" s="116" t="s">
        <v>3275</v>
      </c>
      <c r="E1544" s="171" t="s">
        <v>46</v>
      </c>
      <c r="J1544" s="119">
        <v>46269</v>
      </c>
      <c r="K1544" s="329"/>
      <c r="N1544" s="182" t="s">
        <v>3276</v>
      </c>
      <c r="O1544" s="163"/>
      <c r="P1544" s="198" t="s">
        <v>204</v>
      </c>
      <c r="U1544" s="6"/>
      <c r="V1544" s="6"/>
      <c r="W1544" s="6"/>
    </row>
    <row r="1545" spans="2:23" s="1" customFormat="1" ht="36" hidden="1">
      <c r="B1545" s="48" t="s">
        <v>2231</v>
      </c>
      <c r="C1545" s="115"/>
      <c r="D1545" s="116" t="s">
        <v>3273</v>
      </c>
      <c r="E1545" s="171" t="s">
        <v>46</v>
      </c>
      <c r="J1545" s="119">
        <v>46276</v>
      </c>
      <c r="K1545" s="329"/>
      <c r="N1545" s="182" t="s">
        <v>3274</v>
      </c>
      <c r="O1545" s="163"/>
      <c r="P1545" s="198" t="s">
        <v>49</v>
      </c>
      <c r="U1545" s="6"/>
      <c r="V1545" s="6"/>
      <c r="W1545" s="6"/>
    </row>
    <row r="1546" spans="2:23" s="1" customFormat="1" ht="36" hidden="1">
      <c r="B1546" s="48" t="s">
        <v>2107</v>
      </c>
      <c r="C1546" s="115"/>
      <c r="D1546" s="116" t="s">
        <v>3277</v>
      </c>
      <c r="E1546" s="171" t="s">
        <v>46</v>
      </c>
      <c r="J1546" s="119">
        <v>46178</v>
      </c>
      <c r="K1546" s="329">
        <v>5095242</v>
      </c>
      <c r="N1546" s="182" t="s">
        <v>3278</v>
      </c>
      <c r="O1546" s="163"/>
      <c r="P1546" s="198" t="s">
        <v>49</v>
      </c>
      <c r="U1546" s="6"/>
      <c r="V1546" s="6"/>
      <c r="W1546" s="6"/>
    </row>
    <row r="1547" spans="2:23" s="1" customFormat="1" ht="36" hidden="1">
      <c r="B1547" s="48" t="s">
        <v>2109</v>
      </c>
      <c r="C1547" s="115"/>
      <c r="D1547" s="116" t="s">
        <v>3279</v>
      </c>
      <c r="E1547" s="171" t="s">
        <v>46</v>
      </c>
      <c r="J1547" s="119">
        <v>46178</v>
      </c>
      <c r="K1547" s="329">
        <v>5067708</v>
      </c>
      <c r="N1547" s="182" t="s">
        <v>3280</v>
      </c>
      <c r="O1547" s="163"/>
      <c r="P1547" s="198" t="s">
        <v>49</v>
      </c>
      <c r="U1547" s="6"/>
      <c r="V1547" s="6"/>
      <c r="W1547" s="6"/>
    </row>
    <row r="1548" spans="2:23" s="1" customFormat="1" ht="53.25" hidden="1">
      <c r="B1548" s="48" t="s">
        <v>2109</v>
      </c>
      <c r="C1548" s="115"/>
      <c r="D1548" s="116" t="s">
        <v>3281</v>
      </c>
      <c r="E1548" s="171" t="s">
        <v>46</v>
      </c>
      <c r="J1548" s="119">
        <v>46178</v>
      </c>
      <c r="K1548" s="329">
        <v>5067720</v>
      </c>
      <c r="N1548" s="182" t="s">
        <v>3280</v>
      </c>
      <c r="O1548" s="163"/>
      <c r="P1548" s="198" t="s">
        <v>49</v>
      </c>
      <c r="U1548" s="6"/>
      <c r="V1548" s="6"/>
      <c r="W1548" s="6"/>
    </row>
    <row r="1549" spans="2:23" s="1" customFormat="1" ht="36" hidden="1">
      <c r="B1549" s="48" t="s">
        <v>2109</v>
      </c>
      <c r="C1549" s="115"/>
      <c r="D1549" s="116" t="s">
        <v>3282</v>
      </c>
      <c r="E1549" s="171" t="s">
        <v>46</v>
      </c>
      <c r="J1549" s="119">
        <v>46178</v>
      </c>
      <c r="K1549" s="329">
        <v>5074961</v>
      </c>
      <c r="N1549" s="182" t="s">
        <v>3283</v>
      </c>
      <c r="O1549" s="163"/>
      <c r="P1549" s="198" t="s">
        <v>49</v>
      </c>
      <c r="U1549" s="6"/>
      <c r="V1549" s="6"/>
      <c r="W1549" s="6"/>
    </row>
    <row r="1550" spans="2:23" s="1" customFormat="1" ht="36" hidden="1">
      <c r="B1550" s="48" t="s">
        <v>2088</v>
      </c>
      <c r="C1550" s="115"/>
      <c r="D1550" s="116" t="s">
        <v>3284</v>
      </c>
      <c r="E1550" s="171" t="s">
        <v>46</v>
      </c>
      <c r="J1550" s="119">
        <v>46178</v>
      </c>
      <c r="K1550" s="329">
        <v>5095257</v>
      </c>
      <c r="N1550" s="182" t="s">
        <v>3278</v>
      </c>
      <c r="O1550" s="163"/>
      <c r="P1550" s="198" t="s">
        <v>49</v>
      </c>
      <c r="U1550" s="6"/>
      <c r="V1550" s="6"/>
      <c r="W1550" s="6"/>
    </row>
    <row r="1551" spans="2:23" s="1" customFormat="1" ht="212.25" hidden="1">
      <c r="B1551" s="48" t="s">
        <v>2065</v>
      </c>
      <c r="C1551" s="115"/>
      <c r="D1551" s="116" t="s">
        <v>3285</v>
      </c>
      <c r="E1551" s="171" t="s">
        <v>46</v>
      </c>
      <c r="J1551" s="119">
        <v>46178</v>
      </c>
      <c r="K1551" s="329">
        <v>5067756</v>
      </c>
      <c r="N1551" s="182" t="s">
        <v>3286</v>
      </c>
      <c r="O1551" s="163"/>
      <c r="P1551" s="198" t="s">
        <v>49</v>
      </c>
      <c r="U1551" s="6"/>
      <c r="V1551" s="6"/>
      <c r="W1551" s="6"/>
    </row>
    <row r="1552" spans="2:23" s="1" customFormat="1" ht="53.25" hidden="1">
      <c r="B1552" s="48" t="s">
        <v>2065</v>
      </c>
      <c r="C1552" s="115"/>
      <c r="D1552" s="116" t="s">
        <v>3287</v>
      </c>
      <c r="E1552" s="171" t="s">
        <v>46</v>
      </c>
      <c r="J1552" s="119">
        <v>46178</v>
      </c>
      <c r="K1552" s="329">
        <v>5067803</v>
      </c>
      <c r="N1552" s="182" t="s">
        <v>3288</v>
      </c>
      <c r="O1552" s="163"/>
      <c r="P1552" s="198" t="s">
        <v>49</v>
      </c>
      <c r="U1552" s="6"/>
      <c r="V1552" s="6"/>
      <c r="W1552" s="6"/>
    </row>
    <row r="1553" spans="2:23" s="1" customFormat="1" ht="131.25" hidden="1" customHeight="1">
      <c r="B1553" s="48" t="s">
        <v>2065</v>
      </c>
      <c r="C1553" s="115"/>
      <c r="D1553" s="116" t="s">
        <v>3289</v>
      </c>
      <c r="E1553" s="171" t="s">
        <v>46</v>
      </c>
      <c r="J1553" s="119">
        <v>46206</v>
      </c>
      <c r="K1553" s="329"/>
      <c r="N1553" s="182" t="s">
        <v>3290</v>
      </c>
      <c r="O1553" s="163"/>
      <c r="P1553" s="198" t="s">
        <v>49</v>
      </c>
      <c r="U1553" s="6"/>
      <c r="V1553" s="6"/>
      <c r="W1553" s="6"/>
    </row>
    <row r="1554" spans="2:23" s="1" customFormat="1" ht="131.25" hidden="1" customHeight="1">
      <c r="B1554" s="48" t="s">
        <v>2065</v>
      </c>
      <c r="C1554" s="115"/>
      <c r="D1554" s="116" t="s">
        <v>3291</v>
      </c>
      <c r="E1554" s="171" t="s">
        <v>46</v>
      </c>
      <c r="J1554" s="119">
        <v>46213</v>
      </c>
      <c r="K1554" s="329"/>
      <c r="N1554" s="182" t="s">
        <v>3292</v>
      </c>
      <c r="O1554" s="163"/>
      <c r="P1554" s="198" t="s">
        <v>49</v>
      </c>
      <c r="U1554" s="6"/>
      <c r="V1554" s="6"/>
      <c r="W1554" s="6"/>
    </row>
    <row r="1555" spans="2:23" s="1" customFormat="1" ht="177.75" hidden="1">
      <c r="B1555" s="48" t="s">
        <v>2304</v>
      </c>
      <c r="C1555" s="115"/>
      <c r="D1555" s="116" t="s">
        <v>3293</v>
      </c>
      <c r="E1555" s="171" t="s">
        <v>46</v>
      </c>
      <c r="J1555" s="119">
        <v>46178</v>
      </c>
      <c r="K1555" s="329">
        <v>5082293</v>
      </c>
      <c r="N1555" s="182" t="s">
        <v>3294</v>
      </c>
      <c r="O1555" s="163"/>
      <c r="P1555" s="198" t="s">
        <v>49</v>
      </c>
      <c r="U1555" s="6"/>
      <c r="V1555" s="6"/>
      <c r="W1555" s="6"/>
    </row>
    <row r="1556" spans="2:23" s="1" customFormat="1" ht="124.5" hidden="1">
      <c r="B1556" s="48" t="s">
        <v>2072</v>
      </c>
      <c r="C1556" s="115"/>
      <c r="D1556" s="116" t="s">
        <v>3295</v>
      </c>
      <c r="E1556" s="171" t="s">
        <v>46</v>
      </c>
      <c r="J1556" s="119">
        <v>46178</v>
      </c>
      <c r="K1556" s="329">
        <v>5073734</v>
      </c>
      <c r="N1556" s="182" t="s">
        <v>3296</v>
      </c>
      <c r="O1556" s="163"/>
      <c r="P1556" s="198" t="s">
        <v>49</v>
      </c>
      <c r="U1556" s="6"/>
      <c r="V1556" s="6"/>
      <c r="W1556" s="6"/>
    </row>
    <row r="1557" spans="2:23" s="1" customFormat="1" ht="248.25" hidden="1">
      <c r="B1557" s="48" t="s">
        <v>2072</v>
      </c>
      <c r="C1557" s="115"/>
      <c r="D1557" s="116" t="s">
        <v>3297</v>
      </c>
      <c r="E1557" s="171" t="s">
        <v>46</v>
      </c>
      <c r="J1557" s="119">
        <v>46178</v>
      </c>
      <c r="K1557" s="329">
        <v>5087763</v>
      </c>
      <c r="N1557" s="182" t="s">
        <v>3298</v>
      </c>
      <c r="O1557" s="163"/>
      <c r="P1557" s="198" t="s">
        <v>49</v>
      </c>
      <c r="U1557" s="6"/>
      <c r="V1557" s="6"/>
      <c r="W1557" s="6"/>
    </row>
    <row r="1558" spans="2:23" s="1" customFormat="1" ht="36" hidden="1">
      <c r="B1558" s="48" t="s">
        <v>2093</v>
      </c>
      <c r="C1558" s="115"/>
      <c r="D1558" s="116" t="s">
        <v>3299</v>
      </c>
      <c r="E1558" s="171" t="s">
        <v>46</v>
      </c>
      <c r="J1558" s="119">
        <v>46178</v>
      </c>
      <c r="K1558" s="329">
        <v>5081079</v>
      </c>
      <c r="N1558" s="182" t="s">
        <v>3300</v>
      </c>
      <c r="O1558" s="163"/>
      <c r="P1558" s="198" t="s">
        <v>49</v>
      </c>
      <c r="U1558" s="6"/>
      <c r="V1558" s="6"/>
      <c r="W1558" s="6"/>
    </row>
    <row r="1559" spans="2:23" s="1" customFormat="1" ht="53.25" hidden="1">
      <c r="B1559" s="48" t="s">
        <v>2093</v>
      </c>
      <c r="C1559" s="115"/>
      <c r="D1559" s="116" t="s">
        <v>3301</v>
      </c>
      <c r="E1559" s="171" t="s">
        <v>46</v>
      </c>
      <c r="J1559" s="119">
        <v>46178</v>
      </c>
      <c r="K1559" s="329">
        <v>5081140</v>
      </c>
      <c r="N1559" s="182" t="s">
        <v>3300</v>
      </c>
      <c r="O1559" s="163"/>
      <c r="P1559" s="198" t="s">
        <v>49</v>
      </c>
      <c r="U1559" s="6"/>
      <c r="V1559" s="6"/>
      <c r="W1559" s="6"/>
    </row>
    <row r="1560" spans="2:23" s="1" customFormat="1" ht="301.5" hidden="1">
      <c r="B1560" s="48" t="s">
        <v>2134</v>
      </c>
      <c r="C1560" s="115"/>
      <c r="D1560" s="116" t="s">
        <v>3302</v>
      </c>
      <c r="E1560" s="171" t="s">
        <v>46</v>
      </c>
      <c r="J1560" s="119">
        <v>46178</v>
      </c>
      <c r="K1560" s="329">
        <v>5067881</v>
      </c>
      <c r="N1560" s="182" t="s">
        <v>3303</v>
      </c>
      <c r="O1560" s="163"/>
      <c r="P1560" s="198" t="s">
        <v>49</v>
      </c>
      <c r="U1560" s="6"/>
      <c r="V1560" s="6"/>
      <c r="W1560" s="6"/>
    </row>
    <row r="1561" spans="2:23" s="1" customFormat="1" ht="36" hidden="1">
      <c r="B1561" s="48" t="s">
        <v>2134</v>
      </c>
      <c r="C1561" s="115"/>
      <c r="D1561" s="116" t="s">
        <v>3304</v>
      </c>
      <c r="E1561" s="171" t="s">
        <v>46</v>
      </c>
      <c r="J1561" s="119">
        <v>46248</v>
      </c>
      <c r="K1561" s="329"/>
      <c r="N1561" s="182" t="s">
        <v>3305</v>
      </c>
      <c r="O1561" s="163"/>
      <c r="P1561" s="198" t="s">
        <v>204</v>
      </c>
      <c r="U1561" s="6"/>
      <c r="V1561" s="6"/>
      <c r="W1561" s="6"/>
    </row>
    <row r="1562" spans="2:23" s="1" customFormat="1" ht="124.5" hidden="1">
      <c r="B1562" s="48" t="s">
        <v>2076</v>
      </c>
      <c r="C1562" s="115"/>
      <c r="D1562" s="116" t="s">
        <v>3306</v>
      </c>
      <c r="E1562" s="171" t="s">
        <v>46</v>
      </c>
      <c r="J1562" s="119">
        <v>46178</v>
      </c>
      <c r="K1562" s="329"/>
      <c r="N1562" s="182" t="s">
        <v>3307</v>
      </c>
      <c r="O1562" s="163"/>
      <c r="P1562" s="198" t="s">
        <v>49</v>
      </c>
      <c r="U1562" s="6"/>
      <c r="V1562" s="6"/>
      <c r="W1562" s="6"/>
    </row>
    <row r="1563" spans="2:23" s="1" customFormat="1" ht="36" hidden="1">
      <c r="B1563" s="48" t="s">
        <v>2076</v>
      </c>
      <c r="C1563" s="115"/>
      <c r="D1563" s="116" t="s">
        <v>2936</v>
      </c>
      <c r="E1563" s="171" t="s">
        <v>46</v>
      </c>
      <c r="J1563" s="119">
        <v>46178</v>
      </c>
      <c r="K1563" s="329">
        <v>5020601</v>
      </c>
      <c r="N1563" s="182" t="s">
        <v>3308</v>
      </c>
      <c r="O1563" s="163"/>
      <c r="P1563" s="198" t="s">
        <v>49</v>
      </c>
      <c r="U1563" s="6"/>
      <c r="V1563" s="6"/>
      <c r="W1563" s="6"/>
    </row>
    <row r="1564" spans="2:23" s="1" customFormat="1" ht="88.5" hidden="1">
      <c r="B1564" s="48" t="s">
        <v>2079</v>
      </c>
      <c r="C1564" s="115"/>
      <c r="D1564" s="116" t="s">
        <v>3309</v>
      </c>
      <c r="E1564" s="171" t="s">
        <v>46</v>
      </c>
      <c r="J1564" s="119">
        <v>46178</v>
      </c>
      <c r="K1564" s="329">
        <v>4866900</v>
      </c>
      <c r="N1564" s="182" t="s">
        <v>3310</v>
      </c>
      <c r="O1564" s="163"/>
      <c r="P1564" s="198" t="s">
        <v>49</v>
      </c>
      <c r="U1564" s="6"/>
      <c r="V1564" s="6"/>
      <c r="W1564" s="6"/>
    </row>
    <row r="1565" spans="2:23" s="1" customFormat="1" ht="36" hidden="1">
      <c r="B1565" s="48" t="s">
        <v>2079</v>
      </c>
      <c r="C1565" s="115"/>
      <c r="D1565" s="116" t="s">
        <v>3311</v>
      </c>
      <c r="E1565" s="171" t="s">
        <v>46</v>
      </c>
      <c r="J1565" s="119">
        <v>46255</v>
      </c>
      <c r="K1565" s="329"/>
      <c r="N1565" s="182" t="s">
        <v>3312</v>
      </c>
      <c r="O1565" s="163"/>
      <c r="P1565" s="198" t="s">
        <v>49</v>
      </c>
      <c r="U1565" s="6"/>
      <c r="V1565" s="6"/>
      <c r="W1565" s="6"/>
    </row>
    <row r="1566" spans="2:23" s="1" customFormat="1" ht="265.5" hidden="1">
      <c r="B1566" s="48" t="s">
        <v>2101</v>
      </c>
      <c r="C1566" s="115"/>
      <c r="D1566" s="116" t="s">
        <v>3313</v>
      </c>
      <c r="E1566" s="171" t="s">
        <v>46</v>
      </c>
      <c r="J1566" s="119">
        <v>46178</v>
      </c>
      <c r="K1566" s="329">
        <v>5020649</v>
      </c>
      <c r="N1566" s="182" t="s">
        <v>3314</v>
      </c>
      <c r="O1566" s="163"/>
      <c r="P1566" s="198" t="s">
        <v>49</v>
      </c>
      <c r="U1566" s="6"/>
      <c r="V1566" s="6"/>
      <c r="W1566" s="6"/>
    </row>
    <row r="1567" spans="2:23" s="1" customFormat="1" ht="70.5" hidden="1">
      <c r="B1567" s="48" t="s">
        <v>2383</v>
      </c>
      <c r="C1567" s="115"/>
      <c r="D1567" s="116" t="s">
        <v>3315</v>
      </c>
      <c r="E1567" s="171" t="s">
        <v>46</v>
      </c>
      <c r="J1567" s="119">
        <v>46185</v>
      </c>
      <c r="K1567" s="329"/>
      <c r="N1567" s="182" t="s">
        <v>3316</v>
      </c>
      <c r="O1567" s="163"/>
      <c r="P1567" s="198" t="s">
        <v>49</v>
      </c>
      <c r="U1567" s="6"/>
      <c r="V1567" s="6"/>
      <c r="W1567" s="6"/>
    </row>
    <row r="1568" spans="2:23" s="1" customFormat="1" ht="124.5" hidden="1">
      <c r="B1568" s="48" t="s">
        <v>2383</v>
      </c>
      <c r="C1568" s="115"/>
      <c r="D1568" s="116" t="s">
        <v>3317</v>
      </c>
      <c r="E1568" s="171" t="s">
        <v>46</v>
      </c>
      <c r="J1568" s="119">
        <v>46185</v>
      </c>
      <c r="K1568" s="329"/>
      <c r="N1568" s="182" t="s">
        <v>3318</v>
      </c>
      <c r="O1568" s="163"/>
      <c r="P1568" s="198" t="s">
        <v>49</v>
      </c>
      <c r="U1568" s="6"/>
      <c r="V1568" s="6"/>
      <c r="W1568" s="6"/>
    </row>
    <row r="1569" spans="2:23" s="1" customFormat="1" ht="36" hidden="1">
      <c r="B1569" s="48" t="s">
        <v>2109</v>
      </c>
      <c r="C1569" s="115"/>
      <c r="D1569" s="116" t="s">
        <v>3319</v>
      </c>
      <c r="E1569" s="171" t="s">
        <v>46</v>
      </c>
      <c r="J1569" s="119">
        <v>46185</v>
      </c>
      <c r="K1569" s="329"/>
      <c r="N1569" s="182" t="s">
        <v>3320</v>
      </c>
      <c r="O1569" s="163"/>
      <c r="P1569" s="198" t="s">
        <v>49</v>
      </c>
      <c r="U1569" s="6"/>
      <c r="V1569" s="6"/>
      <c r="W1569" s="6"/>
    </row>
    <row r="1570" spans="2:23" s="1" customFormat="1" ht="53.25" hidden="1">
      <c r="B1570" s="48" t="s">
        <v>2088</v>
      </c>
      <c r="C1570" s="115"/>
      <c r="D1570" s="116" t="s">
        <v>3321</v>
      </c>
      <c r="E1570" s="171" t="s">
        <v>46</v>
      </c>
      <c r="J1570" s="119">
        <v>46185</v>
      </c>
      <c r="K1570" s="329"/>
      <c r="N1570" s="182" t="s">
        <v>3322</v>
      </c>
      <c r="O1570" s="163"/>
      <c r="P1570" s="198" t="s">
        <v>49</v>
      </c>
      <c r="U1570" s="6"/>
      <c r="V1570" s="6"/>
      <c r="W1570" s="6"/>
    </row>
    <row r="1571" spans="2:23" s="1" customFormat="1" ht="53.25" hidden="1">
      <c r="B1571" s="48" t="s">
        <v>2088</v>
      </c>
      <c r="C1571" s="115"/>
      <c r="D1571" s="116" t="s">
        <v>3323</v>
      </c>
      <c r="E1571" s="171" t="s">
        <v>46</v>
      </c>
      <c r="J1571" s="119">
        <v>46185</v>
      </c>
      <c r="K1571" s="329"/>
      <c r="N1571" s="182" t="s">
        <v>3324</v>
      </c>
      <c r="O1571" s="163"/>
      <c r="P1571" s="198" t="s">
        <v>49</v>
      </c>
      <c r="U1571" s="6"/>
      <c r="V1571" s="6"/>
      <c r="W1571" s="6"/>
    </row>
    <row r="1572" spans="2:23" s="1" customFormat="1" ht="53.25" hidden="1">
      <c r="B1572" s="48" t="s">
        <v>2127</v>
      </c>
      <c r="C1572" s="115"/>
      <c r="D1572" s="116" t="s">
        <v>3325</v>
      </c>
      <c r="E1572" s="171" t="s">
        <v>46</v>
      </c>
      <c r="J1572" s="119">
        <v>46185</v>
      </c>
      <c r="K1572" s="329">
        <v>5115086</v>
      </c>
      <c r="N1572" s="182" t="s">
        <v>3326</v>
      </c>
      <c r="O1572" s="163"/>
      <c r="P1572" s="198" t="s">
        <v>49</v>
      </c>
      <c r="U1572" s="6"/>
      <c r="V1572" s="6"/>
      <c r="W1572" s="6"/>
    </row>
    <row r="1573" spans="2:23" s="1" customFormat="1" ht="36" hidden="1">
      <c r="B1573" s="48" t="s">
        <v>2345</v>
      </c>
      <c r="C1573" s="115"/>
      <c r="D1573" s="116" t="s">
        <v>3327</v>
      </c>
      <c r="E1573" s="171" t="s">
        <v>46</v>
      </c>
      <c r="J1573" s="119">
        <v>46185</v>
      </c>
      <c r="K1573" s="329">
        <v>5114648</v>
      </c>
      <c r="N1573" s="182" t="s">
        <v>3328</v>
      </c>
      <c r="O1573" s="163"/>
      <c r="P1573" s="198" t="s">
        <v>49</v>
      </c>
      <c r="U1573" s="6"/>
      <c r="V1573" s="6"/>
      <c r="W1573" s="6"/>
    </row>
    <row r="1574" spans="2:23" s="1" customFormat="1" ht="36" hidden="1">
      <c r="B1574" s="48" t="s">
        <v>2069</v>
      </c>
      <c r="C1574" s="115"/>
      <c r="D1574" s="116" t="s">
        <v>3329</v>
      </c>
      <c r="E1574" s="171" t="s">
        <v>46</v>
      </c>
      <c r="J1574" s="119">
        <v>46185</v>
      </c>
      <c r="K1574" s="329">
        <v>4615115</v>
      </c>
      <c r="N1574" s="182" t="s">
        <v>3330</v>
      </c>
      <c r="O1574" s="163"/>
      <c r="P1574" s="198" t="s">
        <v>49</v>
      </c>
      <c r="U1574" s="6"/>
      <c r="V1574" s="6"/>
      <c r="W1574" s="6"/>
    </row>
    <row r="1575" spans="2:23" s="1" customFormat="1" ht="88.5" hidden="1">
      <c r="B1575" s="48" t="s">
        <v>2150</v>
      </c>
      <c r="C1575" s="115"/>
      <c r="D1575" s="116" t="s">
        <v>3331</v>
      </c>
      <c r="E1575" s="171" t="s">
        <v>46</v>
      </c>
      <c r="J1575" s="119">
        <v>46185</v>
      </c>
      <c r="K1575" s="329"/>
      <c r="N1575" s="182" t="s">
        <v>3332</v>
      </c>
      <c r="O1575" s="163"/>
      <c r="P1575" s="198" t="s">
        <v>49</v>
      </c>
      <c r="U1575" s="6"/>
      <c r="V1575" s="6"/>
      <c r="W1575" s="6"/>
    </row>
    <row r="1576" spans="2:23" s="1" customFormat="1" ht="124.5" hidden="1">
      <c r="B1576" s="48" t="s">
        <v>2093</v>
      </c>
      <c r="C1576" s="115"/>
      <c r="D1576" s="116" t="s">
        <v>3333</v>
      </c>
      <c r="E1576" s="171" t="s">
        <v>46</v>
      </c>
      <c r="J1576" s="119">
        <v>46185</v>
      </c>
      <c r="K1576" s="329"/>
      <c r="N1576" s="182" t="s">
        <v>3334</v>
      </c>
      <c r="O1576" s="163"/>
      <c r="P1576" s="198" t="s">
        <v>49</v>
      </c>
      <c r="U1576" s="6"/>
      <c r="V1576" s="6"/>
      <c r="W1576" s="6"/>
    </row>
    <row r="1577" spans="2:23" s="1" customFormat="1" ht="70.5" hidden="1">
      <c r="B1577" s="48" t="s">
        <v>2093</v>
      </c>
      <c r="C1577" s="115"/>
      <c r="D1577" s="116" t="s">
        <v>3335</v>
      </c>
      <c r="E1577" s="171" t="s">
        <v>46</v>
      </c>
      <c r="J1577" s="119">
        <v>46199</v>
      </c>
      <c r="K1577" s="329"/>
      <c r="N1577" s="182" t="s">
        <v>3336</v>
      </c>
      <c r="O1577" s="163"/>
      <c r="P1577" s="198" t="s">
        <v>49</v>
      </c>
      <c r="U1577" s="6"/>
      <c r="V1577" s="6"/>
      <c r="W1577" s="6"/>
    </row>
    <row r="1578" spans="2:23" s="1" customFormat="1" ht="195" hidden="1">
      <c r="B1578" s="48" t="s">
        <v>2093</v>
      </c>
      <c r="C1578" s="115"/>
      <c r="D1578" s="116" t="s">
        <v>3337</v>
      </c>
      <c r="E1578" s="171" t="s">
        <v>46</v>
      </c>
      <c r="J1578" s="119">
        <v>46227</v>
      </c>
      <c r="K1578" s="329"/>
      <c r="N1578" s="182" t="s">
        <v>3338</v>
      </c>
      <c r="O1578" s="163"/>
      <c r="P1578" s="198" t="s">
        <v>204</v>
      </c>
      <c r="U1578" s="6"/>
      <c r="V1578" s="6"/>
      <c r="W1578" s="6"/>
    </row>
    <row r="1579" spans="2:23" s="1" customFormat="1" ht="36" hidden="1">
      <c r="B1579" s="48" t="s">
        <v>2093</v>
      </c>
      <c r="C1579" s="115"/>
      <c r="D1579" s="116" t="s">
        <v>3339</v>
      </c>
      <c r="E1579" s="171" t="s">
        <v>46</v>
      </c>
      <c r="J1579" s="119">
        <v>46241</v>
      </c>
      <c r="K1579" s="329"/>
      <c r="N1579" s="182" t="s">
        <v>3340</v>
      </c>
      <c r="O1579" s="163"/>
      <c r="P1579" s="198" t="s">
        <v>49</v>
      </c>
      <c r="U1579" s="6"/>
      <c r="V1579" s="6"/>
      <c r="W1579" s="6"/>
    </row>
    <row r="1580" spans="2:23" s="1" customFormat="1" ht="70.5" hidden="1">
      <c r="B1580" s="48" t="s">
        <v>2093</v>
      </c>
      <c r="C1580" s="115"/>
      <c r="D1580" s="116" t="s">
        <v>3341</v>
      </c>
      <c r="E1580" s="171" t="s">
        <v>46</v>
      </c>
      <c r="J1580" s="119">
        <v>46242</v>
      </c>
      <c r="K1580" s="329"/>
      <c r="N1580" s="182" t="s">
        <v>3342</v>
      </c>
      <c r="O1580" s="163"/>
      <c r="P1580" s="198" t="s">
        <v>204</v>
      </c>
      <c r="U1580" s="6"/>
      <c r="V1580" s="6"/>
      <c r="W1580" s="6"/>
    </row>
    <row r="1581" spans="2:23" s="1" customFormat="1" ht="53.25" hidden="1">
      <c r="B1581" s="48" t="s">
        <v>2101</v>
      </c>
      <c r="C1581" s="115"/>
      <c r="D1581" s="116" t="s">
        <v>3343</v>
      </c>
      <c r="E1581" s="171" t="s">
        <v>46</v>
      </c>
      <c r="J1581" s="119">
        <v>46185</v>
      </c>
      <c r="K1581" s="329"/>
      <c r="N1581" s="182" t="s">
        <v>3344</v>
      </c>
      <c r="O1581" s="163"/>
      <c r="P1581" s="198" t="s">
        <v>49</v>
      </c>
      <c r="U1581" s="6"/>
      <c r="V1581" s="6"/>
      <c r="W1581" s="6"/>
    </row>
    <row r="1582" spans="2:23" s="1" customFormat="1" ht="53.25" hidden="1">
      <c r="B1582" s="48" t="s">
        <v>2109</v>
      </c>
      <c r="C1582" s="115"/>
      <c r="D1582" s="116" t="s">
        <v>3345</v>
      </c>
      <c r="E1582" s="171" t="s">
        <v>46</v>
      </c>
      <c r="J1582" s="119">
        <v>46192</v>
      </c>
      <c r="K1582" s="329"/>
      <c r="N1582" s="182" t="s">
        <v>3346</v>
      </c>
      <c r="O1582" s="163"/>
      <c r="P1582" s="198" t="s">
        <v>49</v>
      </c>
      <c r="U1582" s="6"/>
      <c r="V1582" s="6"/>
      <c r="W1582" s="6"/>
    </row>
    <row r="1583" spans="2:23" s="1" customFormat="1" ht="88.5" hidden="1">
      <c r="B1583" s="48" t="s">
        <v>2109</v>
      </c>
      <c r="C1583" s="115"/>
      <c r="D1583" s="116" t="s">
        <v>3347</v>
      </c>
      <c r="E1583" s="171" t="s">
        <v>46</v>
      </c>
      <c r="J1583" s="119">
        <v>46192</v>
      </c>
      <c r="K1583" s="329"/>
      <c r="N1583" s="182" t="s">
        <v>3348</v>
      </c>
      <c r="O1583" s="163"/>
      <c r="P1583" s="198" t="s">
        <v>49</v>
      </c>
      <c r="U1583" s="6"/>
      <c r="V1583" s="6"/>
      <c r="W1583" s="6"/>
    </row>
    <row r="1584" spans="2:23" s="1" customFormat="1" ht="70.5" hidden="1">
      <c r="B1584" s="48" t="s">
        <v>2109</v>
      </c>
      <c r="C1584" s="115"/>
      <c r="D1584" s="116" t="s">
        <v>3349</v>
      </c>
      <c r="E1584" s="171" t="s">
        <v>46</v>
      </c>
      <c r="J1584" s="119">
        <v>46213</v>
      </c>
      <c r="K1584" s="329"/>
      <c r="N1584" s="182" t="s">
        <v>3350</v>
      </c>
      <c r="O1584" s="163"/>
      <c r="P1584" s="198" t="s">
        <v>49</v>
      </c>
      <c r="U1584" s="6"/>
      <c r="V1584" s="6"/>
      <c r="W1584" s="6"/>
    </row>
    <row r="1585" spans="2:23" s="1" customFormat="1" ht="36" hidden="1">
      <c r="B1585" s="48" t="s">
        <v>2109</v>
      </c>
      <c r="C1585" s="115"/>
      <c r="D1585" s="116" t="s">
        <v>3351</v>
      </c>
      <c r="E1585" s="171" t="s">
        <v>46</v>
      </c>
      <c r="J1585" s="119">
        <v>46213</v>
      </c>
      <c r="K1585" s="329"/>
      <c r="N1585" s="182" t="s">
        <v>3352</v>
      </c>
      <c r="O1585" s="163"/>
      <c r="P1585" s="198" t="s">
        <v>49</v>
      </c>
      <c r="U1585" s="6"/>
      <c r="V1585" s="6"/>
      <c r="W1585" s="6"/>
    </row>
    <row r="1586" spans="2:23" s="1" customFormat="1" ht="70.5" hidden="1">
      <c r="B1586" s="48" t="s">
        <v>2345</v>
      </c>
      <c r="C1586" s="115"/>
      <c r="D1586" s="116" t="s">
        <v>3353</v>
      </c>
      <c r="E1586" s="171" t="s">
        <v>46</v>
      </c>
      <c r="J1586" s="119">
        <v>46192</v>
      </c>
      <c r="K1586" s="329"/>
      <c r="N1586" s="182" t="s">
        <v>3354</v>
      </c>
      <c r="O1586" s="163"/>
      <c r="P1586" s="198" t="s">
        <v>49</v>
      </c>
      <c r="U1586" s="6"/>
      <c r="V1586" s="6"/>
      <c r="W1586" s="6"/>
    </row>
    <row r="1587" spans="2:23" s="1" customFormat="1" ht="88.5" hidden="1">
      <c r="B1587" s="48" t="s">
        <v>2345</v>
      </c>
      <c r="C1587" s="115"/>
      <c r="D1587" s="116" t="s">
        <v>3355</v>
      </c>
      <c r="E1587" s="171" t="s">
        <v>46</v>
      </c>
      <c r="J1587" s="119">
        <v>46255</v>
      </c>
      <c r="K1587" s="329"/>
      <c r="N1587" s="182" t="s">
        <v>3356</v>
      </c>
      <c r="O1587" s="163"/>
      <c r="P1587" s="198" t="s">
        <v>49</v>
      </c>
      <c r="U1587" s="6"/>
      <c r="V1587" s="6"/>
      <c r="W1587" s="6"/>
    </row>
    <row r="1588" spans="2:23" s="1" customFormat="1" ht="53.25" hidden="1">
      <c r="B1588" s="48" t="s">
        <v>2345</v>
      </c>
      <c r="C1588" s="115"/>
      <c r="D1588" s="116" t="s">
        <v>3357</v>
      </c>
      <c r="E1588" s="171" t="s">
        <v>46</v>
      </c>
      <c r="J1588" s="119">
        <v>46276</v>
      </c>
      <c r="K1588" s="329"/>
      <c r="N1588" s="182" t="s">
        <v>3358</v>
      </c>
      <c r="O1588" s="163"/>
      <c r="P1588" s="198" t="s">
        <v>49</v>
      </c>
      <c r="U1588" s="6"/>
      <c r="V1588" s="6"/>
      <c r="W1588" s="6"/>
    </row>
    <row r="1589" spans="2:23" s="1" customFormat="1" ht="53.25" hidden="1">
      <c r="B1589" s="48" t="s">
        <v>2072</v>
      </c>
      <c r="C1589" s="115"/>
      <c r="D1589" s="116" t="s">
        <v>3359</v>
      </c>
      <c r="E1589" s="171" t="s">
        <v>46</v>
      </c>
      <c r="J1589" s="119">
        <v>46192</v>
      </c>
      <c r="K1589" s="329"/>
      <c r="N1589" s="182" t="s">
        <v>3346</v>
      </c>
      <c r="O1589" s="163"/>
      <c r="P1589" s="198" t="s">
        <v>49</v>
      </c>
      <c r="U1589" s="6"/>
      <c r="V1589" s="6"/>
      <c r="W1589" s="6"/>
    </row>
    <row r="1590" spans="2:23" s="1" customFormat="1" ht="106.5" hidden="1">
      <c r="B1590" s="48" t="s">
        <v>2072</v>
      </c>
      <c r="C1590" s="115"/>
      <c r="D1590" s="116" t="s">
        <v>3360</v>
      </c>
      <c r="E1590" s="171" t="s">
        <v>46</v>
      </c>
      <c r="J1590" s="119">
        <v>46220</v>
      </c>
      <c r="K1590" s="329"/>
      <c r="N1590" s="182" t="s">
        <v>3361</v>
      </c>
      <c r="O1590" s="163"/>
      <c r="P1590" s="198" t="s">
        <v>49</v>
      </c>
      <c r="U1590" s="6"/>
      <c r="V1590" s="6"/>
      <c r="W1590" s="6"/>
    </row>
    <row r="1591" spans="2:23" s="1" customFormat="1" ht="36" hidden="1">
      <c r="B1591" s="48" t="s">
        <v>2072</v>
      </c>
      <c r="C1591" s="115"/>
      <c r="D1591" s="116" t="s">
        <v>3362</v>
      </c>
      <c r="E1591" s="171" t="s">
        <v>46</v>
      </c>
      <c r="J1591" s="119">
        <v>46276</v>
      </c>
      <c r="K1591" s="329"/>
      <c r="N1591" s="182" t="s">
        <v>3363</v>
      </c>
      <c r="O1591" s="163"/>
      <c r="P1591" s="198" t="s">
        <v>49</v>
      </c>
      <c r="U1591" s="6"/>
      <c r="V1591" s="6"/>
      <c r="W1591" s="6"/>
    </row>
    <row r="1592" spans="2:23" s="1" customFormat="1" ht="36" hidden="1">
      <c r="B1592" s="48" t="s">
        <v>2072</v>
      </c>
      <c r="C1592" s="115"/>
      <c r="D1592" s="116" t="s">
        <v>3364</v>
      </c>
      <c r="E1592" s="171" t="s">
        <v>46</v>
      </c>
      <c r="J1592" s="119">
        <v>46276</v>
      </c>
      <c r="K1592" s="329"/>
      <c r="N1592" s="182" t="s">
        <v>3363</v>
      </c>
      <c r="O1592" s="163"/>
      <c r="P1592" s="198" t="s">
        <v>49</v>
      </c>
      <c r="U1592" s="6"/>
      <c r="V1592" s="6"/>
      <c r="W1592" s="6"/>
    </row>
    <row r="1593" spans="2:23" s="1" customFormat="1" ht="53.25" hidden="1">
      <c r="B1593" s="48" t="s">
        <v>2367</v>
      </c>
      <c r="C1593" s="115"/>
      <c r="D1593" s="116" t="s">
        <v>3365</v>
      </c>
      <c r="E1593" s="171" t="s">
        <v>46</v>
      </c>
      <c r="J1593" s="119">
        <v>46192</v>
      </c>
      <c r="K1593" s="329"/>
      <c r="N1593" s="182" t="s">
        <v>3366</v>
      </c>
      <c r="O1593" s="163"/>
      <c r="P1593" s="198" t="s">
        <v>49</v>
      </c>
      <c r="U1593" s="6"/>
      <c r="V1593" s="6"/>
      <c r="W1593" s="6"/>
    </row>
    <row r="1594" spans="2:23" s="1" customFormat="1" ht="177.75" hidden="1">
      <c r="B1594" s="48" t="s">
        <v>2367</v>
      </c>
      <c r="C1594" s="115"/>
      <c r="D1594" s="116" t="s">
        <v>3367</v>
      </c>
      <c r="E1594" s="171" t="s">
        <v>46</v>
      </c>
      <c r="J1594" s="119">
        <v>46199</v>
      </c>
      <c r="K1594" s="329"/>
      <c r="N1594" s="182" t="s">
        <v>3368</v>
      </c>
      <c r="O1594" s="163"/>
      <c r="P1594" s="198" t="s">
        <v>204</v>
      </c>
      <c r="U1594" s="6"/>
      <c r="V1594" s="6"/>
      <c r="W1594" s="6"/>
    </row>
    <row r="1595" spans="2:23" s="1" customFormat="1" ht="70.5" hidden="1">
      <c r="B1595" s="48" t="s">
        <v>2367</v>
      </c>
      <c r="C1595" s="115"/>
      <c r="D1595" s="116" t="s">
        <v>3369</v>
      </c>
      <c r="E1595" s="171" t="s">
        <v>46</v>
      </c>
      <c r="J1595" s="119">
        <v>46220</v>
      </c>
      <c r="K1595" s="329"/>
      <c r="N1595" s="182" t="s">
        <v>3370</v>
      </c>
      <c r="O1595" s="163"/>
      <c r="P1595" s="198" t="s">
        <v>49</v>
      </c>
      <c r="U1595" s="6"/>
      <c r="V1595" s="6"/>
      <c r="W1595" s="6"/>
    </row>
    <row r="1596" spans="2:23" s="1" customFormat="1" ht="36" hidden="1">
      <c r="B1596" s="48" t="s">
        <v>2101</v>
      </c>
      <c r="C1596" s="115"/>
      <c r="D1596" s="116" t="s">
        <v>3371</v>
      </c>
      <c r="E1596" s="171" t="s">
        <v>46</v>
      </c>
      <c r="J1596" s="119">
        <v>46185</v>
      </c>
      <c r="K1596" s="329"/>
      <c r="N1596" s="182" t="s">
        <v>3372</v>
      </c>
      <c r="O1596" s="163"/>
      <c r="P1596" s="198" t="s">
        <v>49</v>
      </c>
      <c r="U1596" s="6"/>
      <c r="V1596" s="6"/>
      <c r="W1596" s="6"/>
    </row>
    <row r="1597" spans="2:23" s="1" customFormat="1" ht="53.25" hidden="1">
      <c r="B1597" s="48" t="s">
        <v>2101</v>
      </c>
      <c r="C1597" s="115"/>
      <c r="D1597" s="116" t="s">
        <v>3373</v>
      </c>
      <c r="E1597" s="171" t="s">
        <v>46</v>
      </c>
      <c r="J1597" s="119">
        <v>46199</v>
      </c>
      <c r="K1597" s="329"/>
      <c r="N1597" s="182" t="s">
        <v>3374</v>
      </c>
      <c r="O1597" s="163"/>
      <c r="P1597" s="198" t="s">
        <v>49</v>
      </c>
      <c r="U1597" s="6"/>
      <c r="V1597" s="6"/>
      <c r="W1597" s="6"/>
    </row>
    <row r="1598" spans="2:23" s="1" customFormat="1" ht="159.75" hidden="1">
      <c r="B1598" s="48" t="s">
        <v>2101</v>
      </c>
      <c r="C1598" s="115"/>
      <c r="D1598" s="116" t="s">
        <v>3375</v>
      </c>
      <c r="E1598" s="171" t="s">
        <v>46</v>
      </c>
      <c r="J1598" s="119">
        <v>46220</v>
      </c>
      <c r="K1598" s="361"/>
      <c r="N1598" s="182" t="s">
        <v>3376</v>
      </c>
      <c r="O1598" s="163"/>
      <c r="P1598" s="198" t="s">
        <v>49</v>
      </c>
      <c r="U1598" s="6"/>
      <c r="V1598" s="6"/>
      <c r="W1598" s="6"/>
    </row>
    <row r="1599" spans="2:23" s="1" customFormat="1" ht="106.5" hidden="1">
      <c r="B1599" s="48" t="s">
        <v>2101</v>
      </c>
      <c r="C1599" s="115"/>
      <c r="D1599" s="116" t="s">
        <v>3377</v>
      </c>
      <c r="E1599" s="171" t="s">
        <v>46</v>
      </c>
      <c r="J1599" s="119">
        <v>46248</v>
      </c>
      <c r="K1599" s="361"/>
      <c r="N1599" s="182" t="s">
        <v>3378</v>
      </c>
      <c r="O1599" s="163"/>
      <c r="P1599" s="198" t="s">
        <v>49</v>
      </c>
      <c r="U1599" s="6"/>
      <c r="V1599" s="6"/>
      <c r="W1599" s="6"/>
    </row>
    <row r="1600" spans="2:23" s="1" customFormat="1" ht="106.5" hidden="1">
      <c r="B1600" s="48" t="s">
        <v>2101</v>
      </c>
      <c r="C1600" s="115"/>
      <c r="D1600" s="116" t="s">
        <v>3379</v>
      </c>
      <c r="E1600" s="171" t="s">
        <v>46</v>
      </c>
      <c r="J1600" s="119">
        <v>46255</v>
      </c>
      <c r="K1600" s="361"/>
      <c r="N1600" s="182" t="s">
        <v>3380</v>
      </c>
      <c r="O1600" s="163"/>
      <c r="P1600" s="198" t="s">
        <v>204</v>
      </c>
      <c r="U1600" s="6"/>
      <c r="V1600" s="6"/>
      <c r="W1600" s="6"/>
    </row>
    <row r="1601" spans="2:23" s="1" customFormat="1" ht="319.5" hidden="1">
      <c r="B1601" s="48" t="s">
        <v>2203</v>
      </c>
      <c r="C1601" s="115"/>
      <c r="D1601" s="116" t="s">
        <v>3381</v>
      </c>
      <c r="E1601" s="171" t="s">
        <v>46</v>
      </c>
      <c r="J1601" s="119">
        <v>46192</v>
      </c>
      <c r="K1601" s="361"/>
      <c r="N1601" s="182" t="s">
        <v>3382</v>
      </c>
      <c r="O1601" s="163"/>
      <c r="P1601" s="198" t="s">
        <v>49</v>
      </c>
      <c r="U1601" s="6"/>
      <c r="V1601" s="6"/>
      <c r="W1601" s="6"/>
    </row>
    <row r="1602" spans="2:23" s="1" customFormat="1" ht="36" hidden="1">
      <c r="B1602" s="48" t="s">
        <v>2203</v>
      </c>
      <c r="C1602" s="115"/>
      <c r="D1602" s="116" t="s">
        <v>3383</v>
      </c>
      <c r="E1602" s="171" t="s">
        <v>46</v>
      </c>
      <c r="J1602" s="119">
        <v>46220</v>
      </c>
      <c r="K1602" s="376"/>
      <c r="N1602" s="182" t="s">
        <v>3384</v>
      </c>
      <c r="O1602" s="163"/>
      <c r="P1602" s="198" t="s">
        <v>49</v>
      </c>
      <c r="U1602" s="6"/>
      <c r="V1602" s="6"/>
      <c r="W1602" s="6"/>
    </row>
    <row r="1603" spans="2:23" s="1" customFormat="1" ht="70.5" hidden="1">
      <c r="B1603" s="48" t="s">
        <v>2203</v>
      </c>
      <c r="C1603" s="115"/>
      <c r="D1603" s="116" t="s">
        <v>3385</v>
      </c>
      <c r="E1603" s="171" t="s">
        <v>46</v>
      </c>
      <c r="J1603" s="119">
        <v>46255</v>
      </c>
      <c r="K1603" s="376"/>
      <c r="N1603" s="182" t="s">
        <v>3386</v>
      </c>
      <c r="O1603" s="163"/>
      <c r="P1603" s="198" t="s">
        <v>49</v>
      </c>
      <c r="U1603" s="6"/>
      <c r="V1603" s="6"/>
      <c r="W1603" s="6"/>
    </row>
    <row r="1604" spans="2:23" s="1" customFormat="1" ht="284.25" hidden="1">
      <c r="B1604" s="48" t="s">
        <v>2085</v>
      </c>
      <c r="C1604" s="115"/>
      <c r="D1604" s="116" t="s">
        <v>3387</v>
      </c>
      <c r="E1604" s="171" t="s">
        <v>46</v>
      </c>
      <c r="J1604" s="355">
        <v>46199</v>
      </c>
      <c r="K1604" s="359"/>
      <c r="N1604" s="182" t="s">
        <v>3388</v>
      </c>
      <c r="O1604" s="316"/>
      <c r="P1604" s="356" t="s">
        <v>49</v>
      </c>
      <c r="S1604" s="357"/>
      <c r="U1604" s="6"/>
      <c r="V1604" s="6"/>
      <c r="W1604" s="6"/>
    </row>
    <row r="1605" spans="2:23" s="1" customFormat="1" ht="53.25" hidden="1">
      <c r="B1605" s="48" t="s">
        <v>2085</v>
      </c>
      <c r="C1605" s="115"/>
      <c r="D1605" s="116" t="s">
        <v>3389</v>
      </c>
      <c r="E1605" s="171" t="s">
        <v>46</v>
      </c>
      <c r="J1605" s="355">
        <v>46206</v>
      </c>
      <c r="K1605" s="359"/>
      <c r="N1605" s="182" t="s">
        <v>3390</v>
      </c>
      <c r="O1605" s="316"/>
      <c r="P1605" s="356" t="s">
        <v>49</v>
      </c>
      <c r="S1605" s="357"/>
      <c r="U1605" s="6"/>
      <c r="V1605" s="6"/>
      <c r="W1605" s="6"/>
    </row>
    <row r="1606" spans="2:23" s="1" customFormat="1" ht="70.5" hidden="1">
      <c r="B1606" s="48" t="s">
        <v>2085</v>
      </c>
      <c r="C1606" s="115"/>
      <c r="D1606" s="116" t="s">
        <v>3391</v>
      </c>
      <c r="E1606" s="171" t="s">
        <v>46</v>
      </c>
      <c r="J1606" s="355">
        <v>46206</v>
      </c>
      <c r="K1606" s="359"/>
      <c r="N1606" s="316" t="s">
        <v>3392</v>
      </c>
      <c r="O1606" s="316"/>
      <c r="P1606" s="356" t="s">
        <v>49</v>
      </c>
      <c r="S1606" s="357"/>
      <c r="U1606" s="6"/>
      <c r="V1606" s="6"/>
      <c r="W1606" s="6"/>
    </row>
    <row r="1607" spans="2:23" s="1" customFormat="1" ht="212.25" hidden="1">
      <c r="B1607" s="48" t="s">
        <v>2085</v>
      </c>
      <c r="C1607" s="115"/>
      <c r="D1607" s="116" t="s">
        <v>3393</v>
      </c>
      <c r="E1607" s="171" t="s">
        <v>46</v>
      </c>
      <c r="J1607" s="355">
        <v>46206</v>
      </c>
      <c r="K1607" s="359"/>
      <c r="N1607" s="362" t="s">
        <v>3394</v>
      </c>
      <c r="O1607" s="362"/>
      <c r="P1607" s="356" t="s">
        <v>49</v>
      </c>
      <c r="S1607" s="357"/>
      <c r="U1607" s="6"/>
      <c r="V1607" s="6"/>
      <c r="W1607" s="6"/>
    </row>
    <row r="1608" spans="2:23" s="1" customFormat="1" ht="88.5" hidden="1">
      <c r="B1608" s="48" t="s">
        <v>2085</v>
      </c>
      <c r="C1608" s="379"/>
      <c r="D1608" s="380" t="s">
        <v>3395</v>
      </c>
      <c r="E1608" s="381" t="s">
        <v>46</v>
      </c>
      <c r="J1608" s="382">
        <v>46220</v>
      </c>
      <c r="K1608" s="383"/>
      <c r="N1608" s="384" t="s">
        <v>3396</v>
      </c>
      <c r="O1608" s="384"/>
      <c r="P1608" s="385" t="s">
        <v>49</v>
      </c>
      <c r="S1608" s="357"/>
      <c r="U1608" s="6"/>
      <c r="V1608" s="6"/>
      <c r="W1608" s="6"/>
    </row>
    <row r="1609" spans="2:23" s="1" customFormat="1" ht="36" hidden="1">
      <c r="B1609" s="378" t="s">
        <v>2085</v>
      </c>
      <c r="C1609" s="115"/>
      <c r="D1609" s="116" t="s">
        <v>3397</v>
      </c>
      <c r="E1609" s="171" t="s">
        <v>46</v>
      </c>
      <c r="J1609" s="355">
        <v>46220</v>
      </c>
      <c r="K1609" s="383"/>
      <c r="N1609" s="384" t="s">
        <v>3398</v>
      </c>
      <c r="O1609" s="384"/>
      <c r="P1609" s="391" t="s">
        <v>49</v>
      </c>
      <c r="S1609" s="357"/>
      <c r="U1609" s="6"/>
      <c r="V1609" s="6"/>
      <c r="W1609" s="6"/>
    </row>
    <row r="1610" spans="2:23" s="1" customFormat="1" ht="81" hidden="1" customHeight="1">
      <c r="B1610" s="48" t="s">
        <v>2085</v>
      </c>
      <c r="C1610" s="387"/>
      <c r="D1610" s="388" t="s">
        <v>3399</v>
      </c>
      <c r="E1610" s="222" t="s">
        <v>46</v>
      </c>
      <c r="J1610" s="390">
        <v>46227</v>
      </c>
      <c r="K1610" s="359"/>
      <c r="N1610" s="360" t="s">
        <v>3400</v>
      </c>
      <c r="O1610" s="360"/>
      <c r="P1610" s="377" t="s">
        <v>49</v>
      </c>
      <c r="S1610" s="357"/>
      <c r="U1610" s="6"/>
      <c r="V1610" s="6"/>
      <c r="W1610" s="6"/>
    </row>
    <row r="1611" spans="2:23" s="1" customFormat="1" ht="81" hidden="1" customHeight="1">
      <c r="B1611" s="48" t="s">
        <v>2085</v>
      </c>
      <c r="C1611" s="387"/>
      <c r="D1611" s="388" t="s">
        <v>3401</v>
      </c>
      <c r="E1611" s="222" t="s">
        <v>46</v>
      </c>
      <c r="J1611" s="390">
        <v>46269</v>
      </c>
      <c r="K1611" s="359"/>
      <c r="L1611" s="359"/>
      <c r="M1611" s="359"/>
      <c r="N1611" s="360" t="s">
        <v>3402</v>
      </c>
      <c r="O1611" s="417"/>
      <c r="P1611" s="377" t="s">
        <v>204</v>
      </c>
      <c r="S1611" s="357"/>
      <c r="U1611" s="6"/>
      <c r="V1611" s="6"/>
      <c r="W1611" s="6"/>
    </row>
    <row r="1612" spans="2:23" s="1" customFormat="1" ht="36" hidden="1">
      <c r="B1612" s="386" t="s">
        <v>2088</v>
      </c>
      <c r="C1612" s="387"/>
      <c r="D1612" s="388" t="s">
        <v>3403</v>
      </c>
      <c r="E1612" s="222" t="s">
        <v>46</v>
      </c>
      <c r="J1612" s="389">
        <v>46199</v>
      </c>
      <c r="K1612" s="358"/>
      <c r="N1612" s="307" t="s">
        <v>3404</v>
      </c>
      <c r="O1612" s="163"/>
      <c r="P1612" s="198" t="s">
        <v>204</v>
      </c>
      <c r="U1612" s="6"/>
      <c r="V1612" s="6"/>
      <c r="W1612" s="6"/>
    </row>
    <row r="1613" spans="2:23" s="1" customFormat="1" ht="141.75" hidden="1">
      <c r="B1613" s="48" t="s">
        <v>2088</v>
      </c>
      <c r="C1613" s="115"/>
      <c r="D1613" s="116" t="s">
        <v>3405</v>
      </c>
      <c r="E1613" s="171" t="s">
        <v>46</v>
      </c>
      <c r="J1613" s="119">
        <v>46206</v>
      </c>
      <c r="K1613" s="329"/>
      <c r="N1613" s="182" t="s">
        <v>3406</v>
      </c>
      <c r="O1613" s="163"/>
      <c r="P1613" s="198" t="s">
        <v>49</v>
      </c>
      <c r="U1613" s="6"/>
      <c r="V1613" s="6"/>
      <c r="W1613" s="6"/>
    </row>
    <row r="1614" spans="2:23" s="1" customFormat="1" ht="53.25" hidden="1">
      <c r="B1614" s="48" t="s">
        <v>2088</v>
      </c>
      <c r="C1614" s="115"/>
      <c r="D1614" s="116" t="s">
        <v>3407</v>
      </c>
      <c r="E1614" s="171" t="s">
        <v>46</v>
      </c>
      <c r="J1614" s="119">
        <v>46220</v>
      </c>
      <c r="K1614" s="329"/>
      <c r="N1614" s="182" t="s">
        <v>3408</v>
      </c>
      <c r="O1614" s="163"/>
      <c r="P1614" s="198" t="s">
        <v>49</v>
      </c>
      <c r="U1614" s="6"/>
      <c r="V1614" s="6"/>
      <c r="W1614" s="6"/>
    </row>
    <row r="1615" spans="2:23" s="1" customFormat="1" ht="53.25" hidden="1">
      <c r="B1615" s="48" t="s">
        <v>2088</v>
      </c>
      <c r="C1615" s="115"/>
      <c r="D1615" s="116" t="s">
        <v>3409</v>
      </c>
      <c r="E1615" s="171" t="s">
        <v>46</v>
      </c>
      <c r="J1615" s="119">
        <v>46248</v>
      </c>
      <c r="K1615" s="329"/>
      <c r="N1615" s="182" t="s">
        <v>3410</v>
      </c>
      <c r="O1615" s="163"/>
      <c r="P1615" s="198" t="s">
        <v>49</v>
      </c>
      <c r="U1615" s="6"/>
      <c r="V1615" s="6"/>
      <c r="W1615" s="6"/>
    </row>
    <row r="1616" spans="2:23" s="1" customFormat="1" ht="88.5" hidden="1">
      <c r="B1616" s="48" t="s">
        <v>2088</v>
      </c>
      <c r="C1616" s="115"/>
      <c r="D1616" s="116" t="s">
        <v>3411</v>
      </c>
      <c r="E1616" s="171" t="s">
        <v>46</v>
      </c>
      <c r="J1616" s="119">
        <v>46255</v>
      </c>
      <c r="K1616" s="329"/>
      <c r="N1616" s="182" t="s">
        <v>3412</v>
      </c>
      <c r="O1616" s="163"/>
      <c r="P1616" s="198" t="s">
        <v>49</v>
      </c>
      <c r="U1616" s="6"/>
      <c r="V1616" s="6"/>
      <c r="W1616" s="6"/>
    </row>
    <row r="1617" spans="2:23" s="1" customFormat="1" ht="265.5" hidden="1">
      <c r="B1617" s="48" t="s">
        <v>2088</v>
      </c>
      <c r="C1617" s="115"/>
      <c r="D1617" s="116" t="s">
        <v>3413</v>
      </c>
      <c r="E1617" s="171" t="s">
        <v>46</v>
      </c>
      <c r="J1617" s="119">
        <v>46255</v>
      </c>
      <c r="K1617" s="329"/>
      <c r="N1617" s="182" t="s">
        <v>3414</v>
      </c>
      <c r="O1617" s="163"/>
      <c r="P1617" s="198" t="s">
        <v>49</v>
      </c>
      <c r="U1617" s="6"/>
      <c r="V1617" s="6"/>
      <c r="W1617" s="6"/>
    </row>
    <row r="1618" spans="2:23" s="1" customFormat="1" ht="53.25" hidden="1">
      <c r="B1618" s="48" t="s">
        <v>2088</v>
      </c>
      <c r="C1618" s="115"/>
      <c r="D1618" s="116" t="s">
        <v>3415</v>
      </c>
      <c r="E1618" s="171" t="s">
        <v>46</v>
      </c>
      <c r="J1618" s="119">
        <v>46256</v>
      </c>
      <c r="K1618" s="329"/>
      <c r="N1618" s="182" t="s">
        <v>3416</v>
      </c>
      <c r="O1618" s="163"/>
      <c r="P1618" s="198" t="s">
        <v>49</v>
      </c>
      <c r="U1618" s="6"/>
      <c r="V1618" s="6"/>
      <c r="W1618" s="6"/>
    </row>
    <row r="1619" spans="2:23" s="1" customFormat="1" ht="88.5" hidden="1">
      <c r="B1619" s="48" t="s">
        <v>2088</v>
      </c>
      <c r="C1619" s="115"/>
      <c r="D1619" s="116" t="s">
        <v>3417</v>
      </c>
      <c r="E1619" s="171" t="s">
        <v>46</v>
      </c>
      <c r="J1619" s="119">
        <v>46276</v>
      </c>
      <c r="K1619" s="329"/>
      <c r="N1619" s="182" t="s">
        <v>3418</v>
      </c>
      <c r="O1619" s="163"/>
      <c r="P1619" s="198" t="s">
        <v>49</v>
      </c>
      <c r="U1619" s="6"/>
      <c r="V1619" s="6"/>
      <c r="W1619" s="6"/>
    </row>
    <row r="1620" spans="2:23" s="1" customFormat="1" ht="53.25" hidden="1">
      <c r="B1620" s="48" t="s">
        <v>2088</v>
      </c>
      <c r="C1620" s="115"/>
      <c r="D1620" s="116" t="s">
        <v>3419</v>
      </c>
      <c r="E1620" s="171" t="s">
        <v>46</v>
      </c>
      <c r="J1620" s="119">
        <v>46276</v>
      </c>
      <c r="K1620" s="329"/>
      <c r="N1620" s="182" t="s">
        <v>3420</v>
      </c>
      <c r="O1620" s="163"/>
      <c r="P1620" s="198" t="s">
        <v>204</v>
      </c>
      <c r="U1620" s="6"/>
      <c r="V1620" s="6"/>
      <c r="W1620" s="6"/>
    </row>
    <row r="1621" spans="2:23" s="1" customFormat="1" ht="70.5" hidden="1">
      <c r="B1621" s="48" t="s">
        <v>2088</v>
      </c>
      <c r="C1621" s="115"/>
      <c r="D1621" s="116" t="s">
        <v>3421</v>
      </c>
      <c r="E1621" s="171" t="s">
        <v>46</v>
      </c>
      <c r="J1621" s="119">
        <v>46276</v>
      </c>
      <c r="K1621" s="329"/>
      <c r="N1621" s="182" t="s">
        <v>3422</v>
      </c>
      <c r="O1621" s="163"/>
      <c r="P1621" s="198" t="s">
        <v>49</v>
      </c>
      <c r="U1621" s="6"/>
      <c r="V1621" s="6"/>
      <c r="W1621" s="6"/>
    </row>
    <row r="1622" spans="2:23" s="1" customFormat="1" ht="36" hidden="1">
      <c r="B1622" s="48" t="s">
        <v>2127</v>
      </c>
      <c r="C1622" s="115"/>
      <c r="D1622" s="116" t="s">
        <v>3423</v>
      </c>
      <c r="E1622" s="171" t="s">
        <v>46</v>
      </c>
      <c r="J1622" s="119">
        <v>46199</v>
      </c>
      <c r="K1622" s="329"/>
      <c r="N1622" s="182" t="s">
        <v>3424</v>
      </c>
      <c r="O1622" s="163"/>
      <c r="P1622" s="198" t="s">
        <v>49</v>
      </c>
      <c r="U1622" s="6"/>
      <c r="V1622" s="6"/>
      <c r="W1622" s="6"/>
    </row>
    <row r="1623" spans="2:23" s="1" customFormat="1" ht="88.5" hidden="1">
      <c r="B1623" s="48" t="s">
        <v>2127</v>
      </c>
      <c r="C1623" s="115"/>
      <c r="D1623" s="116" t="s">
        <v>3425</v>
      </c>
      <c r="E1623" s="171" t="s">
        <v>46</v>
      </c>
      <c r="J1623" s="119">
        <v>46206</v>
      </c>
      <c r="K1623" s="329"/>
      <c r="N1623" s="182" t="s">
        <v>3426</v>
      </c>
      <c r="O1623" s="163"/>
      <c r="P1623" s="198" t="s">
        <v>49</v>
      </c>
      <c r="U1623" s="6"/>
      <c r="V1623" s="6"/>
      <c r="W1623" s="6"/>
    </row>
    <row r="1624" spans="2:23" s="1" customFormat="1" ht="88.5" hidden="1">
      <c r="B1624" s="48" t="s">
        <v>2127</v>
      </c>
      <c r="C1624" s="115"/>
      <c r="D1624" s="116" t="s">
        <v>3427</v>
      </c>
      <c r="E1624" s="171" t="s">
        <v>46</v>
      </c>
      <c r="J1624" s="119">
        <v>46206</v>
      </c>
      <c r="K1624" s="329"/>
      <c r="N1624" s="182" t="s">
        <v>3428</v>
      </c>
      <c r="O1624" s="163"/>
      <c r="P1624" s="198" t="s">
        <v>49</v>
      </c>
      <c r="U1624" s="6"/>
      <c r="V1624" s="6"/>
      <c r="W1624" s="6"/>
    </row>
    <row r="1625" spans="2:23" s="1" customFormat="1" ht="53.25" hidden="1">
      <c r="B1625" s="48" t="s">
        <v>2127</v>
      </c>
      <c r="C1625" s="115"/>
      <c r="D1625" s="116" t="s">
        <v>3429</v>
      </c>
      <c r="E1625" s="171" t="s">
        <v>46</v>
      </c>
      <c r="J1625" s="119">
        <v>46213</v>
      </c>
      <c r="K1625" s="329"/>
      <c r="N1625" s="182" t="s">
        <v>3430</v>
      </c>
      <c r="O1625" s="163"/>
      <c r="P1625" s="198" t="s">
        <v>49</v>
      </c>
      <c r="U1625" s="6"/>
      <c r="V1625" s="6"/>
      <c r="W1625" s="6"/>
    </row>
    <row r="1626" spans="2:23" s="1" customFormat="1" ht="36" hidden="1">
      <c r="B1626" s="48" t="s">
        <v>2127</v>
      </c>
      <c r="C1626" s="115"/>
      <c r="D1626" s="116" t="s">
        <v>3431</v>
      </c>
      <c r="E1626" s="171" t="s">
        <v>46</v>
      </c>
      <c r="J1626" s="119">
        <v>46276</v>
      </c>
      <c r="K1626" s="329"/>
      <c r="N1626" s="182" t="s">
        <v>3432</v>
      </c>
      <c r="O1626" s="163"/>
      <c r="P1626" s="198" t="s">
        <v>49</v>
      </c>
      <c r="U1626" s="6"/>
      <c r="V1626" s="6"/>
      <c r="W1626" s="6"/>
    </row>
    <row r="1627" spans="2:23" s="1" customFormat="1" ht="53.25" hidden="1">
      <c r="B1627" s="48" t="s">
        <v>2304</v>
      </c>
      <c r="C1627" s="115"/>
      <c r="D1627" s="116" t="s">
        <v>3433</v>
      </c>
      <c r="E1627" s="171" t="s">
        <v>46</v>
      </c>
      <c r="J1627" s="119">
        <v>46199</v>
      </c>
      <c r="K1627" s="329"/>
      <c r="N1627" s="182" t="s">
        <v>3434</v>
      </c>
      <c r="O1627" s="163"/>
      <c r="P1627" s="198" t="s">
        <v>49</v>
      </c>
      <c r="U1627" s="6"/>
      <c r="V1627" s="6"/>
      <c r="W1627" s="6"/>
    </row>
    <row r="1628" spans="2:23" s="1" customFormat="1" ht="36" hidden="1">
      <c r="B1628" s="48" t="s">
        <v>2304</v>
      </c>
      <c r="C1628" s="115"/>
      <c r="D1628" s="116" t="s">
        <v>3435</v>
      </c>
      <c r="E1628" s="171" t="s">
        <v>46</v>
      </c>
      <c r="J1628" s="119">
        <v>46199</v>
      </c>
      <c r="K1628" s="329"/>
      <c r="N1628" s="182" t="s">
        <v>3436</v>
      </c>
      <c r="O1628" s="163"/>
      <c r="P1628" s="198" t="s">
        <v>49</v>
      </c>
      <c r="U1628" s="6"/>
      <c r="V1628" s="6"/>
      <c r="W1628" s="6"/>
    </row>
    <row r="1629" spans="2:23" s="1" customFormat="1" ht="159.75" hidden="1">
      <c r="B1629" s="48" t="s">
        <v>2304</v>
      </c>
      <c r="C1629" s="115"/>
      <c r="D1629" s="116" t="s">
        <v>3437</v>
      </c>
      <c r="E1629" s="171" t="s">
        <v>46</v>
      </c>
      <c r="J1629" s="119">
        <v>46241</v>
      </c>
      <c r="K1629" s="329"/>
      <c r="N1629" s="182" t="s">
        <v>3438</v>
      </c>
      <c r="O1629" s="163"/>
      <c r="P1629" s="198" t="s">
        <v>49</v>
      </c>
      <c r="U1629" s="6"/>
      <c r="V1629" s="6"/>
      <c r="W1629" s="6"/>
    </row>
    <row r="1630" spans="2:23" s="1" customFormat="1" ht="53.25" hidden="1">
      <c r="B1630" s="48" t="s">
        <v>2304</v>
      </c>
      <c r="C1630" s="115"/>
      <c r="D1630" s="116" t="s">
        <v>3439</v>
      </c>
      <c r="E1630" s="171" t="s">
        <v>46</v>
      </c>
      <c r="J1630" s="119">
        <v>46248</v>
      </c>
      <c r="K1630" s="329"/>
      <c r="N1630" s="182" t="s">
        <v>3440</v>
      </c>
      <c r="O1630" s="163"/>
      <c r="P1630" s="198" t="s">
        <v>49</v>
      </c>
      <c r="U1630" s="6"/>
      <c r="V1630" s="6"/>
      <c r="W1630" s="6"/>
    </row>
    <row r="1631" spans="2:23" s="1" customFormat="1" ht="36" hidden="1">
      <c r="B1631" s="48" t="s">
        <v>2304</v>
      </c>
      <c r="C1631" s="115"/>
      <c r="D1631" s="116" t="s">
        <v>3441</v>
      </c>
      <c r="E1631" s="171" t="s">
        <v>46</v>
      </c>
      <c r="J1631" s="119">
        <v>46249</v>
      </c>
      <c r="K1631" s="329"/>
      <c r="N1631" s="182" t="s">
        <v>3442</v>
      </c>
      <c r="O1631" s="163"/>
      <c r="P1631" s="198" t="s">
        <v>49</v>
      </c>
      <c r="U1631" s="6"/>
      <c r="V1631" s="6"/>
      <c r="W1631" s="6"/>
    </row>
    <row r="1632" spans="2:23" s="1" customFormat="1" ht="88.5" hidden="1">
      <c r="B1632" s="48" t="s">
        <v>2069</v>
      </c>
      <c r="C1632" s="115"/>
      <c r="D1632" s="116" t="s">
        <v>3443</v>
      </c>
      <c r="E1632" s="171" t="s">
        <v>46</v>
      </c>
      <c r="J1632" s="119">
        <v>46199</v>
      </c>
      <c r="K1632" s="329"/>
      <c r="N1632" s="182" t="s">
        <v>3444</v>
      </c>
      <c r="O1632" s="163"/>
      <c r="P1632" s="198" t="s">
        <v>49</v>
      </c>
      <c r="U1632" s="6"/>
      <c r="V1632" s="6"/>
      <c r="W1632" s="6"/>
    </row>
    <row r="1633" spans="2:23" s="1" customFormat="1" ht="53.25" hidden="1">
      <c r="B1633" s="48" t="s">
        <v>2097</v>
      </c>
      <c r="C1633" s="115"/>
      <c r="D1633" s="116" t="s">
        <v>3445</v>
      </c>
      <c r="E1633" s="171" t="s">
        <v>46</v>
      </c>
      <c r="J1633" s="119">
        <v>46079</v>
      </c>
      <c r="K1633" s="329"/>
      <c r="N1633" s="182" t="s">
        <v>3446</v>
      </c>
      <c r="O1633" s="163"/>
      <c r="P1633" s="198" t="s">
        <v>49</v>
      </c>
      <c r="U1633" s="6"/>
      <c r="V1633" s="6"/>
      <c r="W1633" s="6"/>
    </row>
    <row r="1634" spans="2:23" s="1" customFormat="1" ht="124.5" hidden="1">
      <c r="B1634" s="48" t="s">
        <v>2097</v>
      </c>
      <c r="C1634" s="115"/>
      <c r="D1634" s="116" t="s">
        <v>3447</v>
      </c>
      <c r="E1634" s="171" t="s">
        <v>46</v>
      </c>
      <c r="J1634" s="119">
        <v>46241</v>
      </c>
      <c r="K1634" s="329"/>
      <c r="N1634" s="182" t="s">
        <v>3448</v>
      </c>
      <c r="O1634" s="163"/>
      <c r="P1634" s="198" t="s">
        <v>49</v>
      </c>
      <c r="U1634" s="6"/>
      <c r="V1634" s="6"/>
      <c r="W1634" s="6"/>
    </row>
    <row r="1635" spans="2:23" s="1" customFormat="1" ht="53.25" hidden="1">
      <c r="B1635" s="48" t="s">
        <v>2097</v>
      </c>
      <c r="C1635" s="115"/>
      <c r="D1635" s="116" t="s">
        <v>3449</v>
      </c>
      <c r="E1635" s="171" t="s">
        <v>46</v>
      </c>
      <c r="J1635" s="119">
        <v>46248</v>
      </c>
      <c r="K1635" s="329"/>
      <c r="N1635" s="182" t="s">
        <v>3450</v>
      </c>
      <c r="O1635" s="163"/>
      <c r="P1635" s="198" t="s">
        <v>49</v>
      </c>
      <c r="U1635" s="6"/>
      <c r="V1635" s="6"/>
      <c r="W1635" s="6"/>
    </row>
    <row r="1636" spans="2:23" s="1" customFormat="1" ht="88.5" hidden="1">
      <c r="B1636" s="48" t="s">
        <v>2097</v>
      </c>
      <c r="C1636" s="115"/>
      <c r="D1636" s="116" t="s">
        <v>3451</v>
      </c>
      <c r="E1636" s="171" t="s">
        <v>46</v>
      </c>
      <c r="J1636" s="119">
        <v>46255</v>
      </c>
      <c r="K1636" s="329"/>
      <c r="N1636" s="182" t="s">
        <v>3452</v>
      </c>
      <c r="O1636" s="163"/>
      <c r="P1636" s="198" t="s">
        <v>49</v>
      </c>
      <c r="U1636" s="6"/>
      <c r="V1636" s="6"/>
      <c r="W1636" s="6"/>
    </row>
    <row r="1637" spans="2:23" s="1" customFormat="1" ht="106.5" hidden="1">
      <c r="B1637" s="48" t="s">
        <v>2150</v>
      </c>
      <c r="C1637" s="115"/>
      <c r="D1637" s="116" t="s">
        <v>3453</v>
      </c>
      <c r="E1637" s="171" t="s">
        <v>46</v>
      </c>
      <c r="J1637" s="119">
        <v>46199</v>
      </c>
      <c r="K1637" s="329"/>
      <c r="N1637" s="182" t="s">
        <v>3454</v>
      </c>
      <c r="O1637" s="163"/>
      <c r="P1637" s="198" t="s">
        <v>49</v>
      </c>
      <c r="U1637" s="6"/>
      <c r="V1637" s="6"/>
      <c r="W1637" s="6"/>
    </row>
    <row r="1638" spans="2:23" s="1" customFormat="1" ht="409.6" hidden="1">
      <c r="B1638" s="378" t="s">
        <v>2150</v>
      </c>
      <c r="C1638" s="379"/>
      <c r="D1638" s="380" t="s">
        <v>3455</v>
      </c>
      <c r="E1638" s="381" t="s">
        <v>46</v>
      </c>
      <c r="F1638" s="406"/>
      <c r="G1638" s="406"/>
      <c r="H1638" s="406"/>
      <c r="I1638" s="406"/>
      <c r="J1638" s="392">
        <v>46206</v>
      </c>
      <c r="K1638" s="361"/>
      <c r="L1638" s="406"/>
      <c r="M1638" s="406"/>
      <c r="N1638" s="393" t="s">
        <v>3456</v>
      </c>
      <c r="O1638" s="394"/>
      <c r="P1638" s="347" t="s">
        <v>49</v>
      </c>
      <c r="U1638" s="6"/>
      <c r="V1638" s="6"/>
      <c r="W1638" s="6"/>
    </row>
    <row r="1639" spans="2:23" s="1" customFormat="1" ht="36" hidden="1">
      <c r="B1639" s="401" t="s">
        <v>2109</v>
      </c>
      <c r="C1639" s="396"/>
      <c r="D1639" s="407" t="s">
        <v>3457</v>
      </c>
      <c r="E1639" s="381" t="s">
        <v>46</v>
      </c>
      <c r="F1639" s="408"/>
      <c r="G1639" s="408"/>
      <c r="H1639" s="408"/>
      <c r="I1639" s="408"/>
      <c r="J1639" s="382">
        <v>46234</v>
      </c>
      <c r="K1639" s="409"/>
      <c r="L1639" s="410"/>
      <c r="M1639" s="410"/>
      <c r="N1639" s="411" t="s">
        <v>3458</v>
      </c>
      <c r="O1639" s="400"/>
      <c r="P1639" s="395" t="s">
        <v>49</v>
      </c>
      <c r="S1639" s="357"/>
      <c r="U1639" s="6"/>
      <c r="V1639" s="6"/>
      <c r="W1639" s="6"/>
    </row>
    <row r="1640" spans="2:23" s="1" customFormat="1" ht="168" hidden="1">
      <c r="B1640" s="401" t="s">
        <v>2109</v>
      </c>
      <c r="C1640" s="396"/>
      <c r="D1640" s="407" t="s">
        <v>3459</v>
      </c>
      <c r="E1640" s="381" t="s">
        <v>46</v>
      </c>
      <c r="F1640" s="408"/>
      <c r="G1640" s="408"/>
      <c r="H1640" s="408"/>
      <c r="I1640" s="408"/>
      <c r="J1640" s="382">
        <v>46234</v>
      </c>
      <c r="K1640" s="409"/>
      <c r="L1640" s="412"/>
      <c r="M1640" s="412"/>
      <c r="N1640" s="411" t="s">
        <v>3460</v>
      </c>
      <c r="O1640" s="399"/>
      <c r="P1640" s="405" t="s">
        <v>49</v>
      </c>
      <c r="S1640" s="357"/>
      <c r="U1640" s="6"/>
      <c r="V1640" s="6"/>
      <c r="W1640" s="6"/>
    </row>
    <row r="1641" spans="2:23" s="1" customFormat="1" ht="66.75" hidden="1">
      <c r="B1641" s="401" t="s">
        <v>2109</v>
      </c>
      <c r="C1641" s="396"/>
      <c r="D1641" s="407" t="s">
        <v>3461</v>
      </c>
      <c r="E1641" s="381" t="s">
        <v>46</v>
      </c>
      <c r="F1641" s="408"/>
      <c r="G1641" s="408"/>
      <c r="H1641" s="408"/>
      <c r="I1641" s="408"/>
      <c r="J1641" s="382">
        <v>46262</v>
      </c>
      <c r="K1641" s="409"/>
      <c r="L1641" s="412"/>
      <c r="M1641" s="412"/>
      <c r="N1641" s="411" t="s">
        <v>3462</v>
      </c>
      <c r="O1641" s="399"/>
      <c r="P1641" s="405" t="s">
        <v>49</v>
      </c>
      <c r="S1641" s="357"/>
      <c r="U1641" s="6"/>
      <c r="V1641" s="6"/>
      <c r="W1641" s="6"/>
    </row>
    <row r="1642" spans="2:23" s="1" customFormat="1" ht="66.75" hidden="1">
      <c r="B1642" s="401" t="s">
        <v>2109</v>
      </c>
      <c r="C1642" s="396"/>
      <c r="D1642" s="407" t="s">
        <v>3463</v>
      </c>
      <c r="E1642" s="381" t="s">
        <v>46</v>
      </c>
      <c r="F1642" s="408"/>
      <c r="G1642" s="408"/>
      <c r="H1642" s="408"/>
      <c r="I1642" s="408"/>
      <c r="J1642" s="382">
        <v>46263</v>
      </c>
      <c r="K1642" s="409"/>
      <c r="L1642" s="412"/>
      <c r="M1642" s="412"/>
      <c r="N1642" s="411" t="s">
        <v>3464</v>
      </c>
      <c r="O1642" s="399"/>
      <c r="P1642" s="405" t="s">
        <v>204</v>
      </c>
      <c r="S1642" s="357"/>
      <c r="U1642" s="6"/>
      <c r="V1642" s="6"/>
      <c r="W1642" s="6"/>
    </row>
    <row r="1643" spans="2:23" s="1" customFormat="1" ht="66.75" hidden="1">
      <c r="B1643" s="401" t="s">
        <v>2109</v>
      </c>
      <c r="C1643" s="396"/>
      <c r="D1643" s="407" t="s">
        <v>3465</v>
      </c>
      <c r="E1643" s="381" t="s">
        <v>46</v>
      </c>
      <c r="F1643" s="408"/>
      <c r="G1643" s="408"/>
      <c r="H1643" s="408"/>
      <c r="I1643" s="408"/>
      <c r="J1643" s="382">
        <v>46276</v>
      </c>
      <c r="K1643" s="409"/>
      <c r="L1643" s="412"/>
      <c r="M1643" s="412"/>
      <c r="N1643" s="411" t="s">
        <v>3466</v>
      </c>
      <c r="O1643" s="399"/>
      <c r="P1643" s="405" t="s">
        <v>204</v>
      </c>
      <c r="S1643" s="357"/>
      <c r="U1643" s="6"/>
      <c r="V1643" s="6"/>
      <c r="W1643" s="6"/>
    </row>
    <row r="1644" spans="2:23" s="1" customFormat="1" ht="100.5" hidden="1">
      <c r="B1644" s="401" t="s">
        <v>2065</v>
      </c>
      <c r="C1644" s="396"/>
      <c r="D1644" s="407" t="s">
        <v>3467</v>
      </c>
      <c r="E1644" s="381" t="s">
        <v>46</v>
      </c>
      <c r="F1644" s="408"/>
      <c r="G1644" s="408"/>
      <c r="H1644" s="408"/>
      <c r="I1644" s="408"/>
      <c r="J1644" s="382">
        <v>46234</v>
      </c>
      <c r="K1644" s="409"/>
      <c r="L1644" s="412"/>
      <c r="M1644" s="412"/>
      <c r="N1644" s="411" t="s">
        <v>3468</v>
      </c>
      <c r="O1644" s="399"/>
      <c r="P1644" s="405" t="s">
        <v>204</v>
      </c>
      <c r="U1644" s="6"/>
      <c r="V1644" s="6"/>
      <c r="W1644" s="6"/>
    </row>
    <row r="1645" spans="2:23" s="1" customFormat="1" ht="50.25" hidden="1">
      <c r="B1645" s="401" t="s">
        <v>2065</v>
      </c>
      <c r="C1645" s="396"/>
      <c r="D1645" s="407" t="s">
        <v>3469</v>
      </c>
      <c r="E1645" s="381" t="s">
        <v>46</v>
      </c>
      <c r="F1645" s="408"/>
      <c r="G1645" s="408"/>
      <c r="H1645" s="408"/>
      <c r="I1645" s="408"/>
      <c r="J1645" s="382">
        <v>46269</v>
      </c>
      <c r="K1645" s="409"/>
      <c r="L1645" s="412"/>
      <c r="M1645" s="412"/>
      <c r="N1645" s="411" t="s">
        <v>3470</v>
      </c>
      <c r="O1645" s="399"/>
      <c r="P1645" s="405" t="s">
        <v>204</v>
      </c>
      <c r="U1645" s="6"/>
      <c r="V1645" s="6"/>
      <c r="W1645" s="6"/>
    </row>
    <row r="1646" spans="2:23" s="1" customFormat="1" ht="50.25" hidden="1">
      <c r="B1646" s="401" t="s">
        <v>2065</v>
      </c>
      <c r="C1646" s="396"/>
      <c r="D1646" s="407" t="s">
        <v>3471</v>
      </c>
      <c r="E1646" s="381" t="s">
        <v>46</v>
      </c>
      <c r="F1646" s="408"/>
      <c r="G1646" s="408"/>
      <c r="H1646" s="408"/>
      <c r="I1646" s="408"/>
      <c r="J1646" s="382">
        <v>46269</v>
      </c>
      <c r="K1646" s="409"/>
      <c r="L1646" s="412"/>
      <c r="M1646" s="412"/>
      <c r="N1646" s="411" t="s">
        <v>3470</v>
      </c>
      <c r="O1646" s="399"/>
      <c r="P1646" s="405" t="s">
        <v>204</v>
      </c>
      <c r="U1646" s="6"/>
      <c r="V1646" s="6"/>
      <c r="W1646" s="6"/>
    </row>
    <row r="1647" spans="2:23" s="1" customFormat="1" ht="100.5" hidden="1">
      <c r="B1647" s="401" t="s">
        <v>2367</v>
      </c>
      <c r="C1647" s="396"/>
      <c r="D1647" s="407" t="s">
        <v>3472</v>
      </c>
      <c r="E1647" s="381" t="s">
        <v>46</v>
      </c>
      <c r="F1647" s="408"/>
      <c r="G1647" s="408"/>
      <c r="H1647" s="408"/>
      <c r="I1647" s="408"/>
      <c r="J1647" s="382">
        <v>46234</v>
      </c>
      <c r="K1647" s="409"/>
      <c r="L1647" s="412"/>
      <c r="M1647" s="412"/>
      <c r="N1647" s="413" t="s">
        <v>3473</v>
      </c>
      <c r="O1647" s="398"/>
      <c r="P1647" s="404" t="s">
        <v>49</v>
      </c>
      <c r="U1647" s="6"/>
      <c r="V1647" s="6"/>
      <c r="W1647" s="6"/>
    </row>
    <row r="1648" spans="2:23" s="1" customFormat="1" ht="50.25" hidden="1">
      <c r="B1648" s="402" t="s">
        <v>2062</v>
      </c>
      <c r="C1648" s="397"/>
      <c r="D1648" s="414" t="s">
        <v>3474</v>
      </c>
      <c r="E1648" s="171" t="s">
        <v>46</v>
      </c>
      <c r="F1648" s="410"/>
      <c r="G1648" s="410"/>
      <c r="H1648" s="410"/>
      <c r="I1648" s="410"/>
      <c r="J1648" s="355">
        <v>46234</v>
      </c>
      <c r="K1648" s="415"/>
      <c r="L1648" s="412"/>
      <c r="M1648" s="412"/>
      <c r="N1648" s="416" t="s">
        <v>3475</v>
      </c>
      <c r="O1648" s="403"/>
      <c r="P1648" s="313" t="s">
        <v>49</v>
      </c>
      <c r="U1648" s="6"/>
      <c r="V1648" s="6"/>
      <c r="W1648" s="6"/>
    </row>
    <row r="1649" spans="2:23" s="1" customFormat="1" ht="36" hidden="1">
      <c r="B1649" s="402" t="s">
        <v>2062</v>
      </c>
      <c r="C1649" s="418"/>
      <c r="D1649" s="419" t="s">
        <v>3476</v>
      </c>
      <c r="E1649" s="171" t="s">
        <v>46</v>
      </c>
      <c r="F1649" s="410"/>
      <c r="G1649" s="410"/>
      <c r="H1649" s="410"/>
      <c r="I1649" s="410"/>
      <c r="J1649" s="355">
        <v>46235</v>
      </c>
      <c r="K1649" s="415"/>
      <c r="L1649" s="412"/>
      <c r="M1649" s="412"/>
      <c r="N1649" s="420" t="s">
        <v>3477</v>
      </c>
      <c r="O1649" s="403"/>
      <c r="P1649" s="313" t="s">
        <v>204</v>
      </c>
      <c r="U1649" s="6"/>
      <c r="V1649" s="6"/>
      <c r="W1649" s="6"/>
    </row>
    <row r="1650" spans="2:23" s="1" customFormat="1" ht="100.5" hidden="1">
      <c r="B1650" s="402" t="s">
        <v>2062</v>
      </c>
      <c r="C1650" s="418"/>
      <c r="D1650" s="419" t="s">
        <v>3478</v>
      </c>
      <c r="E1650" s="171" t="s">
        <v>46</v>
      </c>
      <c r="F1650" s="419"/>
      <c r="G1650" s="419"/>
      <c r="H1650" s="419"/>
      <c r="I1650" s="419"/>
      <c r="J1650" s="419">
        <v>46276</v>
      </c>
      <c r="K1650" s="419"/>
      <c r="L1650" s="419"/>
      <c r="M1650" s="419"/>
      <c r="N1650" s="419" t="s">
        <v>3479</v>
      </c>
      <c r="O1650" s="403"/>
      <c r="P1650" s="313" t="s">
        <v>204</v>
      </c>
      <c r="U1650" s="6"/>
      <c r="V1650" s="6"/>
      <c r="W1650" s="6"/>
    </row>
    <row r="1651" spans="2:23" s="1" customFormat="1" ht="15">
      <c r="B1651" s="437"/>
      <c r="C1651" s="438"/>
      <c r="D1651" s="439"/>
      <c r="E1651" s="440"/>
      <c r="F1651" s="441"/>
      <c r="G1651" s="441"/>
      <c r="H1651" s="441"/>
      <c r="I1651" s="441"/>
      <c r="J1651" s="442"/>
      <c r="K1651" s="441"/>
      <c r="L1651" s="412"/>
      <c r="M1651" s="412"/>
      <c r="N1651" s="441"/>
      <c r="O1651" s="438"/>
      <c r="P1651" s="443"/>
      <c r="U1651" s="6"/>
      <c r="V1651" s="6"/>
      <c r="W1651" s="6"/>
    </row>
    <row r="1652" spans="2:23" s="1" customFormat="1" ht="15">
      <c r="B1652" s="437"/>
      <c r="C1652" s="438"/>
      <c r="D1652" s="439"/>
      <c r="E1652" s="440"/>
      <c r="F1652" s="441"/>
      <c r="G1652" s="441"/>
      <c r="H1652" s="441"/>
      <c r="I1652" s="441"/>
      <c r="J1652" s="442"/>
      <c r="K1652" s="441"/>
      <c r="L1652" s="412"/>
      <c r="M1652" s="412"/>
      <c r="N1652" s="441"/>
      <c r="O1652" s="438"/>
      <c r="P1652" s="443"/>
      <c r="U1652" s="6"/>
      <c r="V1652" s="6"/>
      <c r="W1652" s="6"/>
    </row>
    <row r="1653" spans="2:23" s="1" customFormat="1" ht="15">
      <c r="B1653" s="437"/>
      <c r="C1653" s="438"/>
      <c r="D1653" s="439"/>
      <c r="E1653" s="440"/>
      <c r="F1653" s="441"/>
      <c r="G1653" s="441"/>
      <c r="H1653" s="441"/>
      <c r="I1653" s="441"/>
      <c r="J1653" s="442"/>
      <c r="K1653" s="441"/>
      <c r="L1653" s="412"/>
      <c r="M1653" s="412"/>
      <c r="N1653" s="441"/>
      <c r="O1653" s="438"/>
      <c r="P1653" s="443"/>
      <c r="U1653" s="6"/>
      <c r="V1653" s="6"/>
      <c r="W1653" s="6"/>
    </row>
    <row r="1654" spans="2:23" s="1" customFormat="1" ht="14.25">
      <c r="D1654" s="45"/>
      <c r="O1654" s="167"/>
      <c r="U1654" s="6"/>
      <c r="V1654" s="6"/>
      <c r="W1654" s="6"/>
    </row>
    <row r="1655" spans="2:23" s="1" customFormat="1">
      <c r="D1655" s="45"/>
      <c r="U1655" s="6"/>
      <c r="V1655" s="6"/>
      <c r="W1655" s="6"/>
    </row>
    <row r="1657" spans="2:23" s="1" customFormat="1">
      <c r="D1657" s="45"/>
      <c r="U1657" s="6"/>
      <c r="V1657" s="6"/>
      <c r="W1657" s="6"/>
    </row>
    <row r="1658" spans="2:23" s="1" customFormat="1" ht="14.25">
      <c r="D1658" s="45"/>
      <c r="K1658" s="357"/>
      <c r="U1658" s="6"/>
      <c r="V1658" s="6"/>
      <c r="W1658" s="6"/>
    </row>
    <row r="1659" spans="2:23" s="1" customFormat="1" ht="14.25">
      <c r="D1659" s="45"/>
      <c r="U1659" s="6"/>
      <c r="V1659" s="6"/>
      <c r="W1659" s="6"/>
    </row>
    <row r="1660" spans="2:23" s="1" customFormat="1" ht="14.25">
      <c r="D1660" s="45"/>
      <c r="U1660" s="6"/>
      <c r="V1660" s="6"/>
      <c r="W1660" s="6"/>
    </row>
    <row r="1661" spans="2:23" s="1" customFormat="1" ht="14.25">
      <c r="D1661" s="45"/>
      <c r="U1661" s="6"/>
      <c r="V1661" s="6"/>
      <c r="W1661" s="6"/>
    </row>
  </sheetData>
  <autoFilter ref="A1:R1650" xr:uid="{00000000-0001-0000-0000-000000000000}">
    <filterColumn colId="1">
      <filters>
        <filter val="Vigo"/>
        <filter val="(No vacías)"/>
      </filters>
    </filterColumn>
  </autoFilter>
  <phoneticPr fontId="38" type="noConversion"/>
  <dataValidations count="4">
    <dataValidation type="list" allowBlank="1" showInputMessage="1" showErrorMessage="1" sqref="P451:P453 P470 P1119 P1177:P1179 P1181 P1185 P1188:P1192 P1654:P1048576" xr:uid="{BD44DBF4-E81B-4427-A77C-CE27C81EAEAB}">
      <formula1>$X$2:$X$3</formula1>
    </dataValidation>
    <dataValidation type="list" allowBlank="1" showInputMessage="1" showErrorMessage="1" sqref="P454:P469 Q1011:R1011 P471:P1118 P1120:P1153 Q1391:R1391 P2:P450 P1155:P1653" xr:uid="{82C4D7C6-13AC-4BD9-A99A-C289B77E19C1}">
      <formula1>"Abierto , Cerrado"</formula1>
    </dataValidation>
    <dataValidation type="list" allowBlank="1" showInputMessage="1" showErrorMessage="1" sqref="F567:I567 F582:I612 F1012:I1013 E2:E1048576" xr:uid="{BBE1107B-EC50-428A-A305-9D01D9B7F686}">
      <formula1>$U$2:$U$5</formula1>
    </dataValidation>
    <dataValidation type="list" allowBlank="1" showInputMessage="1" showErrorMessage="1" sqref="D984 C1:C978 C980:C1048576" xr:uid="{3E41BA6E-9380-4424-B3BB-0AE219C33F48}">
      <formula1>$W$2:$W$7</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27E6-55FC-4615-8527-739F7A6E0DCF}">
  <sheetPr codeName="Hoja3"/>
  <dimension ref="B2:D4"/>
  <sheetViews>
    <sheetView showGridLines="0" workbookViewId="0">
      <selection activeCell="E5" sqref="E5"/>
    </sheetView>
  </sheetViews>
  <sheetFormatPr defaultColWidth="8.7109375" defaultRowHeight="14.45"/>
  <cols>
    <col min="2" max="2" width="19.5703125" customWidth="1"/>
    <col min="3" max="3" width="21.140625" style="126" customWidth="1"/>
    <col min="4" max="4" width="28.5703125" customWidth="1"/>
  </cols>
  <sheetData>
    <row r="2" spans="2:4" s="127" customFormat="1" ht="36" thickBot="1">
      <c r="B2" s="128" t="s">
        <v>3480</v>
      </c>
      <c r="C2" s="129" t="s">
        <v>3481</v>
      </c>
      <c r="D2" s="130" t="s">
        <v>3482</v>
      </c>
    </row>
    <row r="3" spans="2:4">
      <c r="B3" s="131" t="s">
        <v>3483</v>
      </c>
      <c r="C3" s="132">
        <v>1</v>
      </c>
      <c r="D3" s="133"/>
    </row>
    <row r="4" spans="2:4">
      <c r="B4" s="134" t="s">
        <v>222</v>
      </c>
      <c r="C4" s="126" t="s">
        <v>3484</v>
      </c>
      <c r="D4" s="1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BDB1-B4AD-44E8-B5D0-6D0D76B0CD72}">
  <sheetPr codeName="Hoja4"/>
  <dimension ref="B2:X42"/>
  <sheetViews>
    <sheetView zoomScale="40" zoomScaleNormal="40" workbookViewId="0">
      <selection activeCell="B13" sqref="B13"/>
    </sheetView>
  </sheetViews>
  <sheetFormatPr defaultColWidth="9.140625" defaultRowHeight="14.45"/>
  <cols>
    <col min="1" max="1" width="11.28515625" style="46" customWidth="1"/>
    <col min="2" max="3" width="19.85546875" style="46" customWidth="1"/>
    <col min="4" max="4" width="47.85546875" style="78" customWidth="1"/>
    <col min="5" max="5" width="21" style="46" customWidth="1"/>
    <col min="6" max="6" width="73.85546875" style="46" customWidth="1"/>
    <col min="7" max="8" width="17.5703125" style="46" customWidth="1"/>
    <col min="9" max="10" width="18.7109375" style="46" customWidth="1"/>
    <col min="11" max="11" width="13.42578125" style="46" bestFit="1" customWidth="1"/>
    <col min="12" max="12" width="14.7109375" style="46" bestFit="1" customWidth="1"/>
    <col min="13" max="13" width="24.28515625" style="46" customWidth="1"/>
    <col min="14" max="14" width="22.7109375" style="46" customWidth="1"/>
    <col min="15" max="15" width="101.42578125" style="46" bestFit="1" customWidth="1"/>
    <col min="16" max="16" width="188.7109375" style="46" customWidth="1"/>
    <col min="17" max="17" width="23.42578125" style="46" customWidth="1"/>
    <col min="18" max="18" width="18" style="46" customWidth="1"/>
    <col min="19" max="19" width="23.42578125" style="46" customWidth="1"/>
    <col min="20" max="20" width="33.42578125" style="46" customWidth="1"/>
    <col min="21" max="21" width="49" style="46" customWidth="1"/>
    <col min="22" max="22" width="31.85546875" style="47" customWidth="1"/>
    <col min="23" max="23" width="29.140625" style="47" customWidth="1"/>
    <col min="24" max="24" width="22.140625" style="47" customWidth="1"/>
    <col min="25" max="25" width="24.28515625" style="46" customWidth="1"/>
    <col min="26" max="26" width="24.7109375" style="46" customWidth="1"/>
    <col min="27" max="27" width="25" style="46" customWidth="1"/>
    <col min="28" max="28" width="28.7109375" style="46" customWidth="1"/>
    <col min="29" max="29" width="21.140625" style="46" customWidth="1"/>
    <col min="30" max="30" width="9.140625" style="46" bestFit="1"/>
    <col min="31" max="31" width="27.42578125" style="46" customWidth="1"/>
    <col min="32" max="32" width="28.7109375" style="46" customWidth="1"/>
    <col min="33" max="16384" width="9.140625" style="46"/>
  </cols>
  <sheetData>
    <row r="2" spans="2:24" s="2" customFormat="1" ht="144.6" customHeight="1">
      <c r="B2" s="55" t="s">
        <v>23</v>
      </c>
      <c r="C2" s="56" t="s">
        <v>24</v>
      </c>
      <c r="D2" s="56" t="s">
        <v>3485</v>
      </c>
      <c r="E2" s="56" t="s">
        <v>26</v>
      </c>
      <c r="F2" s="56" t="s">
        <v>27</v>
      </c>
      <c r="G2" s="56" t="s">
        <v>28</v>
      </c>
      <c r="H2" s="56" t="s">
        <v>3486</v>
      </c>
      <c r="I2" s="56" t="s">
        <v>29</v>
      </c>
      <c r="J2" s="56" t="s">
        <v>30</v>
      </c>
      <c r="K2" s="56" t="s">
        <v>31</v>
      </c>
      <c r="L2" s="56" t="s">
        <v>32</v>
      </c>
      <c r="M2" s="56" t="s">
        <v>33</v>
      </c>
      <c r="N2" s="56" t="s">
        <v>34</v>
      </c>
      <c r="O2" s="56" t="s">
        <v>35</v>
      </c>
      <c r="P2" s="57" t="s">
        <v>36</v>
      </c>
      <c r="Q2" s="57" t="s">
        <v>37</v>
      </c>
      <c r="R2" s="56" t="s">
        <v>38</v>
      </c>
      <c r="S2" s="56" t="s">
        <v>39</v>
      </c>
      <c r="V2" s="4" t="s">
        <v>40</v>
      </c>
      <c r="W2" s="4" t="s">
        <v>41</v>
      </c>
      <c r="X2" s="4" t="s">
        <v>42</v>
      </c>
    </row>
    <row r="3" spans="2:24" s="65" customFormat="1" ht="32.1">
      <c r="B3" s="65" t="s">
        <v>54</v>
      </c>
      <c r="C3" s="65" t="s">
        <v>203</v>
      </c>
      <c r="D3" s="66" t="s">
        <v>3487</v>
      </c>
      <c r="E3" s="67" t="s">
        <v>226</v>
      </c>
      <c r="F3" s="67" t="s">
        <v>3488</v>
      </c>
      <c r="G3" s="68">
        <v>44790</v>
      </c>
      <c r="H3" s="68" t="s">
        <v>3489</v>
      </c>
      <c r="I3" s="68"/>
      <c r="K3" s="69"/>
      <c r="L3" s="70"/>
      <c r="M3" s="137" t="s">
        <v>3490</v>
      </c>
      <c r="O3" s="71"/>
      <c r="P3" s="72"/>
      <c r="Q3" s="72"/>
      <c r="R3" s="72"/>
      <c r="S3" s="72"/>
      <c r="V3" s="73"/>
      <c r="W3" s="73"/>
      <c r="X3" s="73"/>
    </row>
    <row r="4" spans="2:24" s="65" customFormat="1" ht="48">
      <c r="B4" s="65" t="s">
        <v>54</v>
      </c>
      <c r="C4" s="65" t="s">
        <v>203</v>
      </c>
      <c r="D4" s="66" t="s">
        <v>3491</v>
      </c>
      <c r="E4" s="67" t="s">
        <v>226</v>
      </c>
      <c r="F4" s="67" t="s">
        <v>3492</v>
      </c>
      <c r="G4" s="68"/>
      <c r="H4" s="68" t="s">
        <v>3489</v>
      </c>
      <c r="I4" s="68"/>
      <c r="K4" s="69"/>
      <c r="L4" s="70"/>
      <c r="M4" s="183" t="s">
        <v>3490</v>
      </c>
      <c r="O4" s="71"/>
      <c r="P4" s="72"/>
      <c r="Q4" s="72"/>
      <c r="R4" s="72"/>
      <c r="S4" s="72"/>
      <c r="V4" s="73"/>
      <c r="W4" s="73"/>
      <c r="X4" s="73"/>
    </row>
    <row r="5" spans="2:24" s="65" customFormat="1" ht="48">
      <c r="B5" s="65" t="s">
        <v>174</v>
      </c>
      <c r="C5" s="65" t="s">
        <v>44</v>
      </c>
      <c r="D5" s="66" t="s">
        <v>3493</v>
      </c>
      <c r="E5" s="67" t="s">
        <v>226</v>
      </c>
      <c r="F5" s="67" t="s">
        <v>3494</v>
      </c>
      <c r="G5" s="68" t="s">
        <v>3495</v>
      </c>
      <c r="H5" s="68"/>
      <c r="I5" s="68"/>
      <c r="K5" s="69"/>
      <c r="L5" s="70"/>
      <c r="M5" s="137" t="s">
        <v>3490</v>
      </c>
      <c r="O5" s="71"/>
      <c r="P5" s="72"/>
      <c r="Q5" s="72"/>
      <c r="R5" s="72"/>
      <c r="S5" s="72"/>
      <c r="V5" s="73"/>
      <c r="W5" s="73"/>
      <c r="X5" s="73"/>
    </row>
    <row r="6" spans="2:24" s="73" customFormat="1" ht="48">
      <c r="B6" s="73" t="s">
        <v>174</v>
      </c>
      <c r="C6" s="73" t="s">
        <v>44</v>
      </c>
      <c r="D6" s="74" t="s">
        <v>3496</v>
      </c>
      <c r="E6" s="75" t="s">
        <v>226</v>
      </c>
      <c r="F6" s="75" t="s">
        <v>3497</v>
      </c>
      <c r="G6" s="68"/>
      <c r="H6" s="68" t="s">
        <v>3489</v>
      </c>
      <c r="I6" s="68"/>
      <c r="J6" s="68"/>
      <c r="K6" s="68"/>
      <c r="M6" s="137" t="s">
        <v>3490</v>
      </c>
      <c r="O6" s="76"/>
      <c r="P6" s="77"/>
      <c r="Q6" s="77"/>
      <c r="R6" s="77"/>
      <c r="S6" s="77"/>
    </row>
    <row r="7" spans="2:24" s="65" customFormat="1" ht="32.1">
      <c r="B7" s="67" t="s">
        <v>3498</v>
      </c>
      <c r="C7" s="65" t="s">
        <v>44</v>
      </c>
      <c r="D7" s="66" t="s">
        <v>3499</v>
      </c>
      <c r="E7" s="67" t="s">
        <v>226</v>
      </c>
      <c r="F7" s="201" t="s">
        <v>3500</v>
      </c>
      <c r="G7" s="68"/>
      <c r="H7" s="68" t="s">
        <v>3489</v>
      </c>
      <c r="I7" s="68"/>
      <c r="J7" s="68"/>
      <c r="K7" s="69"/>
      <c r="L7" s="70"/>
      <c r="M7" s="137" t="s">
        <v>3490</v>
      </c>
      <c r="O7" s="71"/>
      <c r="P7" s="72"/>
      <c r="Q7" s="72"/>
      <c r="R7" s="72"/>
      <c r="S7" s="72"/>
      <c r="V7" s="73"/>
      <c r="W7" s="73"/>
      <c r="X7" s="73"/>
    </row>
    <row r="8" spans="2:24" s="65" customFormat="1" ht="96">
      <c r="B8" s="65" t="s">
        <v>214</v>
      </c>
      <c r="C8" s="65" t="s">
        <v>44</v>
      </c>
      <c r="D8" s="66" t="s">
        <v>3501</v>
      </c>
      <c r="E8" s="67" t="s">
        <v>226</v>
      </c>
      <c r="F8" s="67" t="s">
        <v>3502</v>
      </c>
      <c r="G8" s="203" t="s">
        <v>3503</v>
      </c>
      <c r="H8" s="68" t="s">
        <v>3504</v>
      </c>
      <c r="I8" s="68"/>
      <c r="J8" s="68"/>
      <c r="K8" s="69"/>
      <c r="L8" s="70"/>
      <c r="M8" s="137" t="s">
        <v>3490</v>
      </c>
      <c r="O8" s="71"/>
      <c r="P8" s="72"/>
      <c r="Q8" s="72"/>
      <c r="R8" s="72"/>
      <c r="S8" s="72"/>
      <c r="V8" s="73"/>
      <c r="W8" s="73"/>
      <c r="X8" s="73"/>
    </row>
    <row r="9" spans="2:24" s="65" customFormat="1" ht="80.099999999999994">
      <c r="B9" s="65" t="s">
        <v>214</v>
      </c>
      <c r="C9" s="65" t="s">
        <v>44</v>
      </c>
      <c r="D9" s="66" t="s">
        <v>3505</v>
      </c>
      <c r="E9" s="67" t="s">
        <v>226</v>
      </c>
      <c r="F9" s="67" t="s">
        <v>3506</v>
      </c>
      <c r="G9" s="68" t="s">
        <v>3507</v>
      </c>
      <c r="H9" s="68" t="s">
        <v>3508</v>
      </c>
      <c r="I9" s="68"/>
      <c r="J9" s="68"/>
      <c r="K9" s="69"/>
      <c r="L9" s="70"/>
      <c r="M9" s="137" t="s">
        <v>3490</v>
      </c>
      <c r="O9" s="71"/>
      <c r="P9" s="72"/>
      <c r="Q9" s="72"/>
      <c r="R9" s="72"/>
      <c r="S9" s="72"/>
      <c r="V9" s="73"/>
      <c r="W9" s="73"/>
      <c r="X9" s="73"/>
    </row>
    <row r="10" spans="2:24" s="65" customFormat="1" ht="80.099999999999994">
      <c r="B10" s="65" t="s">
        <v>138</v>
      </c>
      <c r="C10" s="65" t="s">
        <v>44</v>
      </c>
      <c r="D10" s="66" t="s">
        <v>3509</v>
      </c>
      <c r="E10" s="67" t="s">
        <v>226</v>
      </c>
      <c r="F10" s="201" t="s">
        <v>3510</v>
      </c>
      <c r="G10" s="202">
        <v>44728</v>
      </c>
      <c r="H10" s="202" t="s">
        <v>3511</v>
      </c>
      <c r="I10" s="68">
        <v>44748</v>
      </c>
      <c r="J10" s="68"/>
      <c r="K10" s="69"/>
      <c r="L10" s="70"/>
      <c r="M10" s="137" t="s">
        <v>3490</v>
      </c>
      <c r="O10" s="71"/>
      <c r="P10" s="72"/>
      <c r="Q10" s="72"/>
      <c r="R10" s="72"/>
      <c r="S10" s="72"/>
      <c r="V10" s="73"/>
      <c r="W10" s="73"/>
      <c r="X10" s="73"/>
    </row>
    <row r="11" spans="2:24" s="65" customFormat="1" ht="48">
      <c r="B11" s="65" t="s">
        <v>163</v>
      </c>
      <c r="C11" s="65" t="s">
        <v>44</v>
      </c>
      <c r="D11" s="66" t="s">
        <v>3512</v>
      </c>
      <c r="E11" s="67" t="s">
        <v>226</v>
      </c>
      <c r="F11" s="67" t="s">
        <v>3513</v>
      </c>
      <c r="G11" s="68" t="s">
        <v>3514</v>
      </c>
      <c r="H11" s="68" t="s">
        <v>3515</v>
      </c>
      <c r="I11" s="68"/>
      <c r="J11" s="68"/>
      <c r="K11" s="69"/>
      <c r="L11" s="70"/>
      <c r="M11" s="137" t="s">
        <v>3490</v>
      </c>
      <c r="O11" s="71"/>
      <c r="P11" s="72"/>
      <c r="Q11" s="72"/>
      <c r="R11" s="72"/>
      <c r="S11" s="72"/>
      <c r="V11" s="73"/>
      <c r="W11" s="73"/>
      <c r="X11" s="73"/>
    </row>
    <row r="12" spans="2:24" s="65" customFormat="1" ht="32.1">
      <c r="B12" s="65" t="s">
        <v>163</v>
      </c>
      <c r="C12" s="65" t="s">
        <v>44</v>
      </c>
      <c r="D12" s="66" t="s">
        <v>3516</v>
      </c>
      <c r="E12" s="67" t="s">
        <v>226</v>
      </c>
      <c r="F12" s="67" t="s">
        <v>3517</v>
      </c>
      <c r="G12" s="68" t="s">
        <v>3518</v>
      </c>
      <c r="H12" s="68" t="s">
        <v>3515</v>
      </c>
      <c r="I12" s="68"/>
      <c r="J12" s="68"/>
      <c r="K12" s="69"/>
      <c r="L12" s="70"/>
      <c r="M12" s="137" t="s">
        <v>3490</v>
      </c>
      <c r="O12" s="71"/>
      <c r="P12" s="72"/>
      <c r="Q12" s="72"/>
      <c r="R12" s="72"/>
      <c r="S12" s="72"/>
      <c r="V12" s="73"/>
      <c r="W12" s="73"/>
      <c r="X12" s="73"/>
    </row>
    <row r="13" spans="2:24" s="65" customFormat="1" ht="48">
      <c r="B13" s="67" t="s">
        <v>3498</v>
      </c>
      <c r="C13" s="65" t="s">
        <v>44</v>
      </c>
      <c r="D13" s="66" t="s">
        <v>3496</v>
      </c>
      <c r="E13" s="67" t="s">
        <v>226</v>
      </c>
      <c r="F13" s="67" t="s">
        <v>3519</v>
      </c>
      <c r="G13" s="68" t="s">
        <v>3520</v>
      </c>
      <c r="H13" s="68" t="s">
        <v>3521</v>
      </c>
      <c r="I13" s="68"/>
      <c r="J13" s="68"/>
      <c r="K13" s="69"/>
      <c r="L13" s="70"/>
      <c r="M13" s="137" t="s">
        <v>3490</v>
      </c>
      <c r="O13" s="71"/>
      <c r="P13" s="72"/>
      <c r="Q13" s="72"/>
      <c r="R13" s="72"/>
      <c r="S13" s="72"/>
      <c r="V13" s="73"/>
      <c r="W13" s="73"/>
      <c r="X13" s="73"/>
    </row>
    <row r="14" spans="2:24" s="65" customFormat="1" ht="48">
      <c r="B14" s="65" t="s">
        <v>163</v>
      </c>
      <c r="C14" s="65" t="s">
        <v>227</v>
      </c>
      <c r="D14" s="66" t="s">
        <v>3522</v>
      </c>
      <c r="E14" s="67" t="s">
        <v>226</v>
      </c>
      <c r="F14" s="67" t="s">
        <v>3523</v>
      </c>
      <c r="G14" s="68" t="s">
        <v>3520</v>
      </c>
      <c r="H14" s="68" t="s">
        <v>3521</v>
      </c>
      <c r="I14" s="68"/>
      <c r="J14" s="68"/>
      <c r="K14" s="69"/>
      <c r="L14" s="70"/>
      <c r="M14" s="137" t="s">
        <v>3490</v>
      </c>
      <c r="O14" s="71"/>
      <c r="P14" s="72"/>
      <c r="Q14" s="72"/>
      <c r="R14" s="72"/>
      <c r="S14" s="72"/>
      <c r="V14" s="73"/>
      <c r="W14" s="73"/>
      <c r="X14" s="73"/>
    </row>
    <row r="15" spans="2:24" s="65" customFormat="1" ht="48">
      <c r="B15" s="65" t="s">
        <v>163</v>
      </c>
      <c r="C15" s="65" t="s">
        <v>227</v>
      </c>
      <c r="D15" s="66" t="s">
        <v>3524</v>
      </c>
      <c r="E15" s="67" t="s">
        <v>226</v>
      </c>
      <c r="F15" s="201" t="s">
        <v>3525</v>
      </c>
      <c r="G15" s="202" t="s">
        <v>3526</v>
      </c>
      <c r="H15" s="68"/>
      <c r="I15" s="68"/>
      <c r="J15" s="68"/>
      <c r="K15" s="69"/>
      <c r="L15" s="70"/>
      <c r="M15" s="137" t="s">
        <v>3490</v>
      </c>
      <c r="O15" s="71"/>
      <c r="P15" s="72"/>
      <c r="Q15" s="72"/>
      <c r="R15" s="72"/>
      <c r="S15" s="72"/>
      <c r="V15" s="73"/>
      <c r="W15" s="73"/>
      <c r="X15" s="73"/>
    </row>
    <row r="16" spans="2:24" ht="48">
      <c r="B16" s="65" t="s">
        <v>58</v>
      </c>
      <c r="C16" s="65" t="s">
        <v>44</v>
      </c>
      <c r="D16" s="66" t="s">
        <v>3527</v>
      </c>
      <c r="E16" s="67" t="s">
        <v>226</v>
      </c>
      <c r="F16" s="67" t="s">
        <v>3528</v>
      </c>
      <c r="G16" s="68">
        <v>44781</v>
      </c>
      <c r="H16" s="68" t="s">
        <v>3529</v>
      </c>
      <c r="I16" s="68"/>
      <c r="J16" s="68"/>
      <c r="K16" s="69"/>
      <c r="L16" s="70"/>
      <c r="M16" s="137" t="s">
        <v>3490</v>
      </c>
      <c r="N16" s="65"/>
      <c r="O16" s="71"/>
      <c r="P16" s="72"/>
      <c r="Q16" s="72"/>
      <c r="R16" s="72"/>
      <c r="S16" s="72"/>
    </row>
    <row r="17" spans="2:19" ht="32.1">
      <c r="B17" s="65" t="s">
        <v>58</v>
      </c>
      <c r="C17" s="65" t="s">
        <v>44</v>
      </c>
      <c r="D17" s="66" t="s">
        <v>3530</v>
      </c>
      <c r="E17" s="67" t="s">
        <v>226</v>
      </c>
      <c r="F17" s="67" t="s">
        <v>3531</v>
      </c>
      <c r="G17" s="68">
        <v>44781</v>
      </c>
      <c r="H17" s="203" t="s">
        <v>3532</v>
      </c>
      <c r="I17" s="68"/>
      <c r="J17" s="68"/>
      <c r="K17" s="69"/>
      <c r="L17" s="70"/>
      <c r="M17" s="137" t="s">
        <v>3490</v>
      </c>
      <c r="N17" s="65"/>
      <c r="O17" s="71"/>
      <c r="P17" s="72"/>
      <c r="Q17" s="72"/>
      <c r="R17" s="72"/>
      <c r="S17" s="72"/>
    </row>
    <row r="18" spans="2:19" ht="32.1">
      <c r="B18" s="65" t="s">
        <v>933</v>
      </c>
      <c r="C18" s="65" t="s">
        <v>44</v>
      </c>
      <c r="D18" s="66" t="s">
        <v>3533</v>
      </c>
      <c r="E18" s="67" t="s">
        <v>226</v>
      </c>
      <c r="F18" s="67" t="s">
        <v>3534</v>
      </c>
      <c r="G18" s="68">
        <v>44781</v>
      </c>
      <c r="H18" s="68" t="s">
        <v>3486</v>
      </c>
      <c r="I18" s="68"/>
      <c r="J18" s="68"/>
      <c r="K18" s="69"/>
      <c r="L18" s="70"/>
      <c r="M18" s="137" t="s">
        <v>3490</v>
      </c>
      <c r="N18" s="65"/>
      <c r="O18" s="71"/>
      <c r="P18" s="72"/>
      <c r="Q18" s="72"/>
      <c r="R18" s="72"/>
      <c r="S18" s="72"/>
    </row>
    <row r="19" spans="2:19" ht="48">
      <c r="B19" s="65" t="s">
        <v>933</v>
      </c>
      <c r="C19" s="65" t="s">
        <v>44</v>
      </c>
      <c r="D19" s="66" t="s">
        <v>3535</v>
      </c>
      <c r="E19" s="67" t="s">
        <v>226</v>
      </c>
      <c r="F19" s="67" t="s">
        <v>3536</v>
      </c>
      <c r="G19" s="68"/>
      <c r="H19" s="68" t="s">
        <v>3486</v>
      </c>
      <c r="I19" s="68"/>
      <c r="J19" s="68"/>
      <c r="K19" s="69"/>
      <c r="L19" s="70"/>
      <c r="M19" s="137" t="s">
        <v>3490</v>
      </c>
      <c r="N19" s="65"/>
      <c r="O19" s="71"/>
      <c r="P19" s="72"/>
      <c r="Q19" s="72"/>
      <c r="R19" s="72"/>
      <c r="S19" s="72"/>
    </row>
    <row r="20" spans="2:19" ht="32.1">
      <c r="B20" s="65" t="s">
        <v>133</v>
      </c>
      <c r="C20" s="65" t="s">
        <v>44</v>
      </c>
      <c r="D20" s="66" t="s">
        <v>3537</v>
      </c>
      <c r="E20" s="67" t="s">
        <v>226</v>
      </c>
      <c r="F20" s="67" t="s">
        <v>3538</v>
      </c>
      <c r="G20" s="68"/>
      <c r="H20" s="68" t="s">
        <v>3529</v>
      </c>
      <c r="I20" s="68"/>
      <c r="J20" s="68"/>
      <c r="K20" s="69"/>
      <c r="L20" s="70"/>
      <c r="M20" s="137" t="s">
        <v>3490</v>
      </c>
      <c r="N20" s="65"/>
      <c r="O20" s="71"/>
      <c r="P20" s="72"/>
      <c r="Q20" s="72"/>
      <c r="R20" s="72"/>
      <c r="S20" s="72"/>
    </row>
    <row r="21" spans="2:19" ht="48">
      <c r="B21" s="65" t="s">
        <v>133</v>
      </c>
      <c r="C21" s="65" t="s">
        <v>227</v>
      </c>
      <c r="D21" s="66" t="s">
        <v>3539</v>
      </c>
      <c r="E21" s="67" t="s">
        <v>226</v>
      </c>
      <c r="F21" s="67" t="s">
        <v>3540</v>
      </c>
      <c r="G21" s="68">
        <v>44776</v>
      </c>
      <c r="H21" s="68" t="s">
        <v>3504</v>
      </c>
      <c r="I21" s="68">
        <v>44777</v>
      </c>
      <c r="J21" s="68">
        <v>44777</v>
      </c>
      <c r="K21" s="68">
        <v>44776</v>
      </c>
      <c r="L21" s="70" t="s">
        <v>3541</v>
      </c>
      <c r="M21" s="137" t="s">
        <v>3490</v>
      </c>
      <c r="N21" s="65"/>
      <c r="O21" s="71"/>
      <c r="P21" s="72"/>
      <c r="Q21" s="72"/>
      <c r="R21" s="72"/>
      <c r="S21" s="72"/>
    </row>
    <row r="22" spans="2:19" ht="32.1">
      <c r="B22" s="65" t="s">
        <v>99</v>
      </c>
      <c r="C22" s="65" t="s">
        <v>44</v>
      </c>
      <c r="D22" s="66" t="s">
        <v>3542</v>
      </c>
      <c r="E22" s="67" t="s">
        <v>226</v>
      </c>
      <c r="F22" s="67" t="s">
        <v>3543</v>
      </c>
      <c r="G22" s="68" t="s">
        <v>3495</v>
      </c>
      <c r="H22" s="68" t="s">
        <v>3544</v>
      </c>
      <c r="I22" s="68"/>
      <c r="J22" s="68"/>
      <c r="K22" s="69"/>
      <c r="L22" s="70"/>
      <c r="M22" s="137" t="s">
        <v>3490</v>
      </c>
      <c r="N22" s="65"/>
      <c r="O22" s="71"/>
      <c r="P22" s="72"/>
      <c r="Q22" s="72"/>
      <c r="R22" s="72"/>
      <c r="S22" s="72"/>
    </row>
    <row r="23" spans="2:19" ht="32.1">
      <c r="B23" s="65" t="s">
        <v>67</v>
      </c>
      <c r="C23" s="65" t="s">
        <v>44</v>
      </c>
      <c r="D23" s="66" t="s">
        <v>3533</v>
      </c>
      <c r="E23" s="67" t="s">
        <v>226</v>
      </c>
      <c r="F23" s="67" t="s">
        <v>3534</v>
      </c>
      <c r="G23" s="68"/>
      <c r="H23" s="68" t="s">
        <v>3486</v>
      </c>
      <c r="I23" s="68"/>
      <c r="J23" s="68"/>
      <c r="K23" s="69"/>
      <c r="L23" s="70"/>
      <c r="M23" s="137" t="s">
        <v>3490</v>
      </c>
      <c r="N23" s="65"/>
      <c r="O23" s="71"/>
      <c r="P23" s="72"/>
      <c r="Q23" s="72"/>
      <c r="R23" s="72"/>
      <c r="S23" s="72"/>
    </row>
    <row r="24" spans="2:19" ht="48">
      <c r="B24" s="65" t="s">
        <v>67</v>
      </c>
      <c r="C24" s="65" t="s">
        <v>44</v>
      </c>
      <c r="D24" s="66" t="s">
        <v>3535</v>
      </c>
      <c r="E24" s="67" t="s">
        <v>226</v>
      </c>
      <c r="F24" s="67" t="s">
        <v>3536</v>
      </c>
      <c r="G24" s="68"/>
      <c r="H24" s="68" t="s">
        <v>3486</v>
      </c>
      <c r="I24" s="68"/>
      <c r="J24" s="68"/>
      <c r="K24" s="69"/>
      <c r="L24" s="70"/>
      <c r="M24" s="137" t="s">
        <v>3490</v>
      </c>
      <c r="N24" s="65"/>
      <c r="O24" s="71"/>
      <c r="P24" s="72"/>
      <c r="Q24" s="72"/>
      <c r="R24" s="72"/>
      <c r="S24" s="72"/>
    </row>
    <row r="25" spans="2:19" ht="32.1">
      <c r="B25" s="65" t="s">
        <v>222</v>
      </c>
      <c r="C25" s="65"/>
      <c r="D25" s="66" t="s">
        <v>3545</v>
      </c>
      <c r="E25" s="67" t="s">
        <v>226</v>
      </c>
      <c r="F25" s="67" t="s">
        <v>3546</v>
      </c>
      <c r="G25" s="68"/>
      <c r="H25" s="68" t="s">
        <v>3529</v>
      </c>
      <c r="I25" s="68"/>
      <c r="J25" s="68"/>
      <c r="K25" s="69"/>
      <c r="L25" s="70"/>
      <c r="M25" s="137" t="s">
        <v>3490</v>
      </c>
      <c r="N25" s="65"/>
      <c r="O25" s="71"/>
      <c r="P25" s="72"/>
      <c r="Q25" s="72"/>
      <c r="R25" s="72"/>
      <c r="S25" s="72"/>
    </row>
    <row r="26" spans="2:19" ht="15.95">
      <c r="B26" s="65" t="s">
        <v>222</v>
      </c>
      <c r="C26" s="65"/>
      <c r="D26" s="66" t="s">
        <v>3547</v>
      </c>
      <c r="E26" s="67" t="s">
        <v>226</v>
      </c>
      <c r="F26" s="67" t="s">
        <v>3548</v>
      </c>
      <c r="G26" s="68"/>
      <c r="H26" s="68" t="s">
        <v>3529</v>
      </c>
      <c r="I26" s="68"/>
      <c r="J26" s="68"/>
      <c r="K26" s="69"/>
      <c r="L26" s="70"/>
      <c r="M26" s="137" t="s">
        <v>3490</v>
      </c>
      <c r="N26" s="65"/>
      <c r="O26" s="71"/>
      <c r="P26" s="72"/>
      <c r="Q26" s="72"/>
      <c r="R26" s="72"/>
      <c r="S26" s="72"/>
    </row>
    <row r="27" spans="2:19" ht="32.1">
      <c r="B27" s="65" t="s">
        <v>129</v>
      </c>
      <c r="C27" s="65"/>
      <c r="D27" s="66" t="s">
        <v>3549</v>
      </c>
      <c r="E27" s="67" t="s">
        <v>226</v>
      </c>
      <c r="F27" s="67" t="s">
        <v>3550</v>
      </c>
      <c r="G27" s="68"/>
      <c r="H27" s="68" t="s">
        <v>3529</v>
      </c>
      <c r="I27" s="68"/>
      <c r="J27" s="68"/>
      <c r="K27" s="69"/>
      <c r="L27" s="70"/>
      <c r="M27" s="137" t="s">
        <v>3490</v>
      </c>
      <c r="N27" s="65"/>
      <c r="O27" s="71"/>
      <c r="P27" s="72"/>
      <c r="Q27" s="72"/>
      <c r="R27" s="72"/>
      <c r="S27" s="72"/>
    </row>
    <row r="28" spans="2:19" ht="32.1">
      <c r="B28" s="65" t="s">
        <v>129</v>
      </c>
      <c r="C28" s="65"/>
      <c r="D28" s="66" t="s">
        <v>3551</v>
      </c>
      <c r="E28" s="67" t="s">
        <v>226</v>
      </c>
      <c r="F28" s="67" t="s">
        <v>3552</v>
      </c>
      <c r="G28" s="68"/>
      <c r="H28" s="68" t="s">
        <v>3529</v>
      </c>
      <c r="I28" s="68"/>
      <c r="J28" s="68"/>
      <c r="K28" s="69"/>
      <c r="L28" s="70"/>
      <c r="M28" s="137" t="s">
        <v>3490</v>
      </c>
      <c r="N28" s="65"/>
      <c r="O28" s="71"/>
      <c r="P28" s="72"/>
      <c r="Q28" s="72"/>
      <c r="R28" s="72"/>
      <c r="S28" s="72"/>
    </row>
    <row r="29" spans="2:19" ht="32.1">
      <c r="B29" s="65" t="s">
        <v>129</v>
      </c>
      <c r="C29" s="65"/>
      <c r="D29" s="66" t="s">
        <v>3533</v>
      </c>
      <c r="E29" s="67" t="s">
        <v>226</v>
      </c>
      <c r="F29" s="67" t="s">
        <v>3534</v>
      </c>
      <c r="G29" s="68"/>
      <c r="H29" s="68" t="s">
        <v>3486</v>
      </c>
      <c r="I29" s="68"/>
      <c r="J29" s="68"/>
      <c r="K29" s="69"/>
      <c r="L29" s="70"/>
      <c r="M29" s="137" t="s">
        <v>3490</v>
      </c>
      <c r="N29" s="65"/>
      <c r="O29" s="71"/>
      <c r="P29" s="72"/>
      <c r="Q29" s="72"/>
      <c r="R29" s="72"/>
      <c r="S29" s="72"/>
    </row>
    <row r="30" spans="2:19" ht="48">
      <c r="B30" s="65" t="s">
        <v>129</v>
      </c>
      <c r="C30" s="65"/>
      <c r="D30" s="66" t="s">
        <v>3535</v>
      </c>
      <c r="E30" s="67" t="s">
        <v>226</v>
      </c>
      <c r="F30" s="67" t="s">
        <v>3536</v>
      </c>
      <c r="G30" s="68"/>
      <c r="H30" s="68" t="s">
        <v>3486</v>
      </c>
      <c r="I30" s="68"/>
      <c r="J30" s="68"/>
      <c r="K30" s="69"/>
      <c r="L30" s="70"/>
      <c r="M30" s="137" t="s">
        <v>3490</v>
      </c>
      <c r="N30" s="65"/>
      <c r="O30" s="71"/>
      <c r="P30" s="72"/>
      <c r="Q30" s="72"/>
      <c r="R30" s="72"/>
      <c r="S30" s="72"/>
    </row>
    <row r="31" spans="2:19" ht="63.95">
      <c r="B31" s="65" t="s">
        <v>129</v>
      </c>
      <c r="C31" s="65"/>
      <c r="D31" s="66" t="s">
        <v>3553</v>
      </c>
      <c r="E31" s="67" t="s">
        <v>226</v>
      </c>
      <c r="F31" s="67" t="s">
        <v>3554</v>
      </c>
      <c r="G31" s="68"/>
      <c r="H31" s="68" t="s">
        <v>3521</v>
      </c>
      <c r="I31" s="68"/>
      <c r="J31" s="68"/>
      <c r="K31" s="69"/>
      <c r="L31" s="70"/>
      <c r="M31" s="137" t="s">
        <v>3490</v>
      </c>
      <c r="N31" s="65"/>
      <c r="O31" s="71"/>
      <c r="P31" s="72"/>
      <c r="Q31" s="72"/>
      <c r="R31" s="72"/>
      <c r="S31" s="72"/>
    </row>
    <row r="32" spans="2:19" ht="32.1">
      <c r="B32" s="65" t="s">
        <v>156</v>
      </c>
      <c r="C32" s="65"/>
      <c r="D32" s="66" t="s">
        <v>3555</v>
      </c>
      <c r="E32" s="67" t="s">
        <v>226</v>
      </c>
      <c r="F32" s="67" t="s">
        <v>3556</v>
      </c>
      <c r="G32" s="68"/>
      <c r="H32" s="68" t="s">
        <v>3529</v>
      </c>
      <c r="I32" s="68"/>
      <c r="J32" s="68"/>
      <c r="K32" s="69"/>
      <c r="L32" s="70"/>
      <c r="M32" s="137" t="s">
        <v>3490</v>
      </c>
      <c r="N32" s="65"/>
      <c r="O32" s="71"/>
      <c r="P32" s="72"/>
      <c r="Q32" s="72"/>
      <c r="R32" s="72"/>
      <c r="S32" s="72"/>
    </row>
    <row r="33" spans="2:19" ht="32.1">
      <c r="B33" s="65" t="s">
        <v>156</v>
      </c>
      <c r="C33" s="65"/>
      <c r="D33" s="66" t="s">
        <v>3551</v>
      </c>
      <c r="E33" s="67" t="s">
        <v>226</v>
      </c>
      <c r="F33" s="67" t="s">
        <v>3552</v>
      </c>
      <c r="G33" s="68"/>
      <c r="H33" s="68" t="s">
        <v>3529</v>
      </c>
      <c r="I33" s="68"/>
      <c r="J33" s="68"/>
      <c r="K33" s="69"/>
      <c r="L33" s="70"/>
      <c r="M33" s="137" t="s">
        <v>3490</v>
      </c>
      <c r="N33" s="65"/>
      <c r="O33" s="71"/>
      <c r="P33" s="72"/>
      <c r="Q33" s="72"/>
      <c r="R33" s="72"/>
      <c r="S33" s="72"/>
    </row>
    <row r="34" spans="2:19" ht="32.1">
      <c r="B34" s="65" t="s">
        <v>156</v>
      </c>
      <c r="C34" s="65"/>
      <c r="D34" s="66" t="s">
        <v>3557</v>
      </c>
      <c r="E34" s="67" t="s">
        <v>226</v>
      </c>
      <c r="F34" s="67" t="s">
        <v>3558</v>
      </c>
      <c r="G34" s="68"/>
      <c r="H34" s="68" t="s">
        <v>3529</v>
      </c>
      <c r="I34" s="68"/>
      <c r="J34" s="68"/>
      <c r="K34" s="69"/>
      <c r="L34" s="70"/>
      <c r="M34" s="137" t="s">
        <v>3490</v>
      </c>
      <c r="N34" s="65"/>
      <c r="O34" s="71"/>
      <c r="P34" s="72"/>
      <c r="Q34" s="72"/>
      <c r="R34" s="72"/>
      <c r="S34" s="72"/>
    </row>
    <row r="35" spans="2:19" ht="32.1">
      <c r="B35" s="65" t="s">
        <v>156</v>
      </c>
      <c r="C35" s="65"/>
      <c r="D35" s="66" t="s">
        <v>3559</v>
      </c>
      <c r="E35" s="67" t="s">
        <v>226</v>
      </c>
      <c r="F35" s="67" t="s">
        <v>3560</v>
      </c>
      <c r="G35" s="68"/>
      <c r="H35" s="68" t="s">
        <v>3529</v>
      </c>
      <c r="I35" s="68"/>
      <c r="J35" s="68"/>
      <c r="K35" s="69"/>
      <c r="L35" s="70"/>
      <c r="M35" s="137" t="s">
        <v>3490</v>
      </c>
      <c r="N35" s="65"/>
      <c r="O35" s="71"/>
      <c r="P35" s="72"/>
      <c r="Q35" s="72"/>
      <c r="R35" s="72"/>
      <c r="S35" s="72"/>
    </row>
    <row r="36" spans="2:19" ht="80.099999999999994">
      <c r="B36" s="65" t="s">
        <v>156</v>
      </c>
      <c r="C36" s="65"/>
      <c r="D36" s="66" t="s">
        <v>3561</v>
      </c>
      <c r="E36" s="67" t="s">
        <v>226</v>
      </c>
      <c r="F36" s="67" t="s">
        <v>3562</v>
      </c>
      <c r="G36" s="68"/>
      <c r="H36" s="68" t="s">
        <v>3532</v>
      </c>
      <c r="I36" s="68"/>
      <c r="J36" s="68"/>
      <c r="K36" s="69"/>
      <c r="L36" s="70"/>
      <c r="M36" s="137" t="s">
        <v>3490</v>
      </c>
      <c r="N36" s="65"/>
      <c r="O36" s="71"/>
      <c r="P36" s="72"/>
      <c r="Q36" s="72"/>
      <c r="R36" s="72"/>
      <c r="S36" s="72"/>
    </row>
    <row r="37" spans="2:19" ht="32.1">
      <c r="B37" s="65" t="s">
        <v>75</v>
      </c>
      <c r="C37" s="65"/>
      <c r="D37" s="66" t="s">
        <v>3533</v>
      </c>
      <c r="E37" s="67" t="s">
        <v>226</v>
      </c>
      <c r="F37" s="67" t="s">
        <v>3534</v>
      </c>
      <c r="G37" s="68"/>
      <c r="H37" s="68" t="s">
        <v>3486</v>
      </c>
      <c r="I37" s="68"/>
      <c r="J37" s="68"/>
      <c r="K37" s="69"/>
      <c r="L37" s="70"/>
      <c r="M37" s="137" t="s">
        <v>3490</v>
      </c>
      <c r="N37" s="65"/>
      <c r="O37" s="71"/>
      <c r="P37" s="72"/>
      <c r="Q37" s="72"/>
      <c r="R37" s="72"/>
      <c r="S37" s="72"/>
    </row>
    <row r="38" spans="2:19" ht="32.1">
      <c r="B38" s="65" t="s">
        <v>138</v>
      </c>
      <c r="C38" s="65"/>
      <c r="D38" s="66" t="s">
        <v>3563</v>
      </c>
      <c r="E38" s="67" t="s">
        <v>226</v>
      </c>
      <c r="F38" s="67" t="s">
        <v>3564</v>
      </c>
      <c r="G38" s="68">
        <v>44949</v>
      </c>
      <c r="H38" s="68" t="s">
        <v>3565</v>
      </c>
      <c r="I38" s="68"/>
      <c r="J38" s="68"/>
      <c r="K38" s="69"/>
      <c r="L38" s="67" t="s">
        <v>3566</v>
      </c>
      <c r="M38" s="137" t="s">
        <v>3490</v>
      </c>
      <c r="N38" s="65"/>
      <c r="O38" s="71"/>
      <c r="P38" s="72"/>
      <c r="Q38" s="72"/>
      <c r="R38" s="72"/>
      <c r="S38" s="72"/>
    </row>
    <row r="39" spans="2:19" ht="32.1">
      <c r="B39" s="65" t="s">
        <v>3567</v>
      </c>
      <c r="C39" s="65"/>
      <c r="D39" s="66" t="s">
        <v>3568</v>
      </c>
      <c r="E39" s="67" t="s">
        <v>226</v>
      </c>
      <c r="F39" s="220" t="s">
        <v>3569</v>
      </c>
      <c r="G39" s="68">
        <v>44994</v>
      </c>
      <c r="H39" s="68"/>
      <c r="I39" s="68"/>
      <c r="J39" s="68"/>
      <c r="K39" s="69"/>
      <c r="L39" s="70"/>
      <c r="M39" s="137" t="s">
        <v>3490</v>
      </c>
      <c r="N39" s="65"/>
      <c r="O39" s="71"/>
      <c r="P39" s="72"/>
      <c r="Q39" s="72"/>
      <c r="R39" s="72"/>
      <c r="S39" s="72"/>
    </row>
    <row r="40" spans="2:19" ht="32.1">
      <c r="B40" s="65" t="s">
        <v>3567</v>
      </c>
      <c r="C40" s="65"/>
      <c r="D40" s="66" t="s">
        <v>3570</v>
      </c>
      <c r="E40" s="67" t="s">
        <v>226</v>
      </c>
      <c r="F40" s="67" t="s">
        <v>3571</v>
      </c>
      <c r="G40" s="68">
        <v>44994</v>
      </c>
      <c r="H40" s="68"/>
      <c r="I40" s="68"/>
      <c r="J40" s="68"/>
      <c r="K40" s="69"/>
      <c r="L40" s="70"/>
      <c r="M40" s="137" t="s">
        <v>3490</v>
      </c>
      <c r="N40" s="65"/>
      <c r="O40" s="71"/>
      <c r="P40" s="72"/>
      <c r="Q40" s="72"/>
      <c r="R40" s="72"/>
      <c r="S40" s="72"/>
    </row>
    <row r="41" spans="2:19" ht="15.95">
      <c r="B41" s="65" t="s">
        <v>58</v>
      </c>
      <c r="C41" s="65"/>
      <c r="D41" s="66" t="s">
        <v>3572</v>
      </c>
      <c r="E41" s="67"/>
      <c r="F41" s="67" t="s">
        <v>3573</v>
      </c>
      <c r="G41" s="68">
        <v>44994</v>
      </c>
      <c r="H41" s="68"/>
      <c r="I41" s="68"/>
      <c r="J41" s="68"/>
      <c r="K41" s="69"/>
      <c r="L41" s="70"/>
      <c r="M41" s="65"/>
      <c r="N41" s="65"/>
      <c r="O41" s="71"/>
      <c r="P41" s="72"/>
      <c r="Q41" s="72"/>
      <c r="R41" s="72"/>
      <c r="S41" s="72"/>
    </row>
    <row r="42" spans="2:19" ht="32.1">
      <c r="B42" s="65" t="s">
        <v>3567</v>
      </c>
      <c r="C42" s="65"/>
      <c r="D42" s="66" t="s">
        <v>3574</v>
      </c>
      <c r="E42" s="67"/>
      <c r="F42" s="67" t="s">
        <v>3575</v>
      </c>
      <c r="G42" s="68">
        <v>44994</v>
      </c>
      <c r="H42" s="68"/>
      <c r="I42" s="68"/>
      <c r="J42" s="68"/>
      <c r="K42" s="69"/>
      <c r="L42" s="70"/>
      <c r="M42" s="65"/>
      <c r="N42" s="65"/>
      <c r="O42" s="71"/>
      <c r="P42" s="72"/>
      <c r="Q42" s="72"/>
      <c r="R42" s="72"/>
      <c r="S42" s="72"/>
    </row>
  </sheetData>
  <autoFilter ref="B2:X42" xr:uid="{77A8BDB1-B4AD-44E8-B5D0-6D0D76B0CD72}"/>
  <dataValidations count="3">
    <dataValidation type="list" allowBlank="1" showInputMessage="1" showErrorMessage="1" sqref="C1:C1048576" xr:uid="{6756ED7B-47C3-4628-AC68-29E4D0BD3163}">
      <formula1>$X$3:$X$5</formula1>
    </dataValidation>
    <dataValidation type="list" allowBlank="1" showInputMessage="1" showErrorMessage="1" sqref="Q3:Q1048576" xr:uid="{42A41149-5504-4AB4-88EB-2391BDA38ACF}">
      <formula1>$Y$3:$Y$4</formula1>
    </dataValidation>
    <dataValidation type="list" allowBlank="1" showInputMessage="1" showErrorMessage="1" sqref="L38 E3:E1048576" xr:uid="{25FDB441-F205-4273-A075-6EE24975B365}">
      <formula1>$V$3:$V$4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4E0F-47E8-41CB-8E56-F45D0F192ACB}">
  <sheetPr codeName="Hoja5"/>
  <dimension ref="A1:L14"/>
  <sheetViews>
    <sheetView showGridLines="0" zoomScale="50" zoomScaleNormal="50" workbookViewId="0">
      <selection activeCell="F14" sqref="F14"/>
    </sheetView>
  </sheetViews>
  <sheetFormatPr defaultColWidth="61.42578125" defaultRowHeight="14.45"/>
  <cols>
    <col min="1" max="1" width="14.5703125" customWidth="1"/>
    <col min="2" max="2" width="10.140625" bestFit="1" customWidth="1"/>
    <col min="3" max="3" width="18.42578125" customWidth="1"/>
    <col min="4" max="4" width="17.42578125" bestFit="1" customWidth="1"/>
    <col min="5" max="5" width="9.28515625" bestFit="1" customWidth="1"/>
    <col min="6" max="6" width="140.42578125" bestFit="1" customWidth="1"/>
    <col min="7" max="7" width="12" bestFit="1" customWidth="1"/>
    <col min="8" max="8" width="14.5703125" bestFit="1" customWidth="1"/>
    <col min="9" max="9" width="8.28515625" customWidth="1"/>
    <col min="10" max="10" width="72" customWidth="1"/>
    <col min="11" max="11" width="10.7109375" bestFit="1" customWidth="1"/>
    <col min="12" max="12" width="4.7109375" bestFit="1" customWidth="1"/>
  </cols>
  <sheetData>
    <row r="1" spans="1:12">
      <c r="A1" s="79" t="s">
        <v>3576</v>
      </c>
      <c r="B1" s="79" t="s">
        <v>3577</v>
      </c>
      <c r="C1" s="79" t="s">
        <v>3578</v>
      </c>
      <c r="D1" s="79" t="s">
        <v>3579</v>
      </c>
      <c r="E1" s="79" t="s">
        <v>3580</v>
      </c>
      <c r="F1" s="79" t="s">
        <v>3581</v>
      </c>
      <c r="G1" s="79" t="s">
        <v>3582</v>
      </c>
      <c r="H1" s="79" t="s">
        <v>3583</v>
      </c>
      <c r="I1" s="79" t="s">
        <v>37</v>
      </c>
      <c r="J1" s="79" t="s">
        <v>3584</v>
      </c>
      <c r="K1" s="79" t="s">
        <v>3585</v>
      </c>
      <c r="L1" s="79" t="s">
        <v>3586</v>
      </c>
    </row>
    <row r="2" spans="1:12" ht="116.1">
      <c r="A2" s="80" t="s">
        <v>3587</v>
      </c>
      <c r="B2" s="81" t="s">
        <v>3588</v>
      </c>
      <c r="C2" s="82">
        <v>44530</v>
      </c>
      <c r="D2" s="83" t="s">
        <v>129</v>
      </c>
      <c r="E2" s="83" t="s">
        <v>3589</v>
      </c>
      <c r="F2" s="84" t="s">
        <v>3590</v>
      </c>
      <c r="G2" s="85"/>
      <c r="H2" s="86" t="str">
        <f t="shared" ref="H2:H6" si="0">IF(C2=0,0,IF(G2=0,"Abierta",G2-C2))</f>
        <v>Abierta</v>
      </c>
      <c r="I2" s="86"/>
      <c r="J2" s="87" t="s">
        <v>3591</v>
      </c>
      <c r="K2" s="88">
        <f t="shared" ref="K2:K8" ca="1" si="1">TODAY()</f>
        <v>46283</v>
      </c>
      <c r="L2" s="86">
        <f ca="1">IF(H2="Abierta",K2-C2,0)</f>
        <v>1753</v>
      </c>
    </row>
    <row r="3" spans="1:12" ht="130.5">
      <c r="A3" s="80" t="s">
        <v>3592</v>
      </c>
      <c r="B3" s="89" t="s">
        <v>3588</v>
      </c>
      <c r="C3" s="259">
        <v>44530</v>
      </c>
      <c r="D3" s="260" t="s">
        <v>1480</v>
      </c>
      <c r="E3" s="89" t="s">
        <v>3589</v>
      </c>
      <c r="F3" s="89" t="s">
        <v>3593</v>
      </c>
      <c r="G3" s="85"/>
      <c r="H3" s="89" t="str">
        <f t="shared" si="0"/>
        <v>Abierta</v>
      </c>
      <c r="I3" s="89"/>
      <c r="J3" s="89" t="s">
        <v>3594</v>
      </c>
      <c r="K3" s="88">
        <f t="shared" ca="1" si="1"/>
        <v>46283</v>
      </c>
      <c r="L3" s="89">
        <f t="shared" ref="L3:L7" ca="1" si="2">IF(H3="Abierta",K3-C3,0)</f>
        <v>1753</v>
      </c>
    </row>
    <row r="4" spans="1:12" ht="57.95">
      <c r="A4" s="91" t="s">
        <v>3595</v>
      </c>
      <c r="B4" s="92" t="s">
        <v>3596</v>
      </c>
      <c r="C4" s="90">
        <v>44625</v>
      </c>
      <c r="D4" s="89" t="s">
        <v>163</v>
      </c>
      <c r="E4" s="101" t="s">
        <v>3589</v>
      </c>
      <c r="F4" s="93" t="s">
        <v>3597</v>
      </c>
      <c r="G4" s="94"/>
      <c r="H4" s="86" t="str">
        <f t="shared" si="0"/>
        <v>Abierta</v>
      </c>
      <c r="I4" s="89"/>
      <c r="J4" s="95" t="s">
        <v>3598</v>
      </c>
      <c r="K4" s="88">
        <f t="shared" ca="1" si="1"/>
        <v>46283</v>
      </c>
      <c r="L4" s="89">
        <f t="shared" ca="1" si="2"/>
        <v>1658</v>
      </c>
    </row>
    <row r="5" spans="1:12">
      <c r="A5" s="96" t="s">
        <v>3599</v>
      </c>
      <c r="B5" s="252" t="s">
        <v>3600</v>
      </c>
      <c r="C5" s="90">
        <v>44643</v>
      </c>
      <c r="D5" s="89" t="s">
        <v>163</v>
      </c>
      <c r="E5" s="101" t="s">
        <v>3589</v>
      </c>
      <c r="F5" s="98" t="s">
        <v>3601</v>
      </c>
      <c r="G5" s="94"/>
      <c r="H5" s="86" t="str">
        <f t="shared" si="0"/>
        <v>Abierta</v>
      </c>
      <c r="I5" s="89"/>
      <c r="J5" s="89" t="s">
        <v>3602</v>
      </c>
      <c r="K5" s="88">
        <f t="shared" ca="1" si="1"/>
        <v>46283</v>
      </c>
      <c r="L5" s="89">
        <f t="shared" ca="1" si="2"/>
        <v>1640</v>
      </c>
    </row>
    <row r="6" spans="1:12">
      <c r="A6" s="99" t="s">
        <v>3603</v>
      </c>
      <c r="B6" s="253" t="s">
        <v>3604</v>
      </c>
      <c r="C6" s="90">
        <v>44646</v>
      </c>
      <c r="D6" s="89" t="s">
        <v>63</v>
      </c>
      <c r="E6" s="256" t="s">
        <v>3589</v>
      </c>
      <c r="F6" s="100" t="s">
        <v>3605</v>
      </c>
      <c r="G6" s="94"/>
      <c r="H6" s="86" t="str">
        <f t="shared" si="0"/>
        <v>Abierta</v>
      </c>
      <c r="I6" s="89"/>
      <c r="J6" s="95" t="s">
        <v>3606</v>
      </c>
      <c r="K6" s="88">
        <f t="shared" ca="1" si="1"/>
        <v>46283</v>
      </c>
      <c r="L6" s="89">
        <f t="shared" ca="1" si="2"/>
        <v>1637</v>
      </c>
    </row>
    <row r="7" spans="1:12">
      <c r="A7" s="102" t="s">
        <v>3607</v>
      </c>
      <c r="B7" s="254" t="s">
        <v>3604</v>
      </c>
      <c r="C7" s="90">
        <v>44656</v>
      </c>
      <c r="D7" s="89" t="s">
        <v>79</v>
      </c>
      <c r="E7" s="257" t="s">
        <v>3589</v>
      </c>
      <c r="F7" s="103" t="s">
        <v>3608</v>
      </c>
      <c r="G7" s="104"/>
      <c r="H7" s="83" t="str">
        <f t="shared" ref="H7" si="3">IF(C7=0,0,IF(G7=0,"Abierta",G7-C7))</f>
        <v>Abierta</v>
      </c>
      <c r="I7" s="89"/>
      <c r="J7" s="89"/>
      <c r="K7" s="88">
        <f t="shared" ca="1" si="1"/>
        <v>46283</v>
      </c>
      <c r="L7" s="89">
        <f t="shared" ca="1" si="2"/>
        <v>1627</v>
      </c>
    </row>
    <row r="8" spans="1:12">
      <c r="A8" s="105" t="s">
        <v>3609</v>
      </c>
      <c r="B8" s="255" t="s">
        <v>3588</v>
      </c>
      <c r="C8" s="90">
        <v>44658</v>
      </c>
      <c r="D8" s="251" t="s">
        <v>3610</v>
      </c>
      <c r="E8" s="258" t="s">
        <v>3589</v>
      </c>
      <c r="F8" s="105" t="s">
        <v>3611</v>
      </c>
      <c r="G8" s="105"/>
      <c r="H8" s="97" t="str">
        <f t="shared" ref="H8" si="4">IF(C8=0,0,IF(G8=0,"Abierta",G8-C8))</f>
        <v>Abierta</v>
      </c>
      <c r="I8" s="101"/>
      <c r="J8" s="89"/>
      <c r="K8" s="88">
        <f t="shared" ca="1" si="1"/>
        <v>46283</v>
      </c>
      <c r="L8" s="89">
        <f t="shared" ref="L8" ca="1" si="5">IF(H8="Abierta",K8-C8,0)</f>
        <v>1625</v>
      </c>
    </row>
    <row r="14" spans="1:12">
      <c r="A14" t="s">
        <v>3612</v>
      </c>
    </row>
  </sheetData>
  <autoFilter ref="A1:L1" xr:uid="{38EA4E0F-47E8-41CB-8E56-F45D0F192ACB}"/>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AA44-F9A9-4274-8828-97D671860CA6}">
  <sheetPr codeName="Hoja6"/>
  <dimension ref="B1:I16"/>
  <sheetViews>
    <sheetView showGridLines="0" zoomScale="60" zoomScaleNormal="60" workbookViewId="0">
      <selection activeCell="H15" sqref="H15"/>
    </sheetView>
  </sheetViews>
  <sheetFormatPr defaultColWidth="8.7109375" defaultRowHeight="14.45"/>
  <cols>
    <col min="2" max="2" width="22.7109375" customWidth="1"/>
    <col min="3" max="3" width="46.28515625" customWidth="1"/>
    <col min="4" max="4" width="24.5703125" customWidth="1"/>
    <col min="5" max="5" width="7.28515625" style="126" customWidth="1"/>
    <col min="6" max="6" width="6.42578125" customWidth="1"/>
    <col min="7" max="7" width="8" customWidth="1"/>
    <col min="8" max="8" width="61.5703125" customWidth="1"/>
  </cols>
  <sheetData>
    <row r="1" spans="2:9">
      <c r="B1" t="s">
        <v>3613</v>
      </c>
    </row>
    <row r="2" spans="2:9" ht="29.1">
      <c r="B2" s="139" t="s">
        <v>23</v>
      </c>
      <c r="C2" s="140" t="s">
        <v>3614</v>
      </c>
      <c r="D2" s="140" t="s">
        <v>3615</v>
      </c>
      <c r="E2" s="139" t="s">
        <v>34</v>
      </c>
      <c r="F2" s="140" t="s">
        <v>37</v>
      </c>
      <c r="G2" s="140" t="s">
        <v>3616</v>
      </c>
      <c r="H2" s="140" t="s">
        <v>3617</v>
      </c>
    </row>
    <row r="3" spans="2:9">
      <c r="B3" s="141" t="s">
        <v>3610</v>
      </c>
      <c r="C3" s="141" t="s">
        <v>3618</v>
      </c>
      <c r="D3" s="142"/>
      <c r="E3" s="143">
        <v>3</v>
      </c>
      <c r="F3" s="142"/>
      <c r="G3" s="142"/>
      <c r="H3" s="105" t="s">
        <v>3619</v>
      </c>
    </row>
    <row r="4" spans="2:9">
      <c r="B4" s="142" t="s">
        <v>214</v>
      </c>
      <c r="C4" s="141" t="s">
        <v>3618</v>
      </c>
      <c r="D4" s="142"/>
      <c r="E4" s="143">
        <v>3</v>
      </c>
      <c r="F4" s="142"/>
      <c r="G4" s="142"/>
      <c r="H4" s="105" t="s">
        <v>3620</v>
      </c>
    </row>
    <row r="5" spans="2:9" s="127" customFormat="1" ht="72.599999999999994">
      <c r="B5" s="144" t="s">
        <v>54</v>
      </c>
      <c r="C5" s="144" t="s">
        <v>3621</v>
      </c>
      <c r="D5" s="145"/>
      <c r="E5" s="146">
        <v>1</v>
      </c>
      <c r="F5" s="147"/>
      <c r="G5" s="147"/>
      <c r="H5" s="148" t="s">
        <v>3622</v>
      </c>
      <c r="I5" s="149" t="s">
        <v>3623</v>
      </c>
    </row>
    <row r="6" spans="2:9">
      <c r="B6" s="142" t="s">
        <v>133</v>
      </c>
      <c r="C6" s="141" t="s">
        <v>3618</v>
      </c>
      <c r="D6" s="142"/>
      <c r="E6" s="143">
        <v>3</v>
      </c>
      <c r="F6" s="142"/>
      <c r="G6" s="142"/>
      <c r="H6" s="105" t="s">
        <v>3624</v>
      </c>
    </row>
    <row r="7" spans="2:9" s="127" customFormat="1" ht="72.599999999999994">
      <c r="B7" s="147" t="s">
        <v>99</v>
      </c>
      <c r="C7" s="144" t="s">
        <v>3618</v>
      </c>
      <c r="D7" s="147"/>
      <c r="E7" s="150">
        <v>3</v>
      </c>
      <c r="F7" s="147"/>
      <c r="G7" s="147"/>
      <c r="H7" s="151" t="s">
        <v>3625</v>
      </c>
    </row>
    <row r="8" spans="2:9">
      <c r="B8" s="142" t="s">
        <v>3626</v>
      </c>
      <c r="C8" s="141" t="s">
        <v>3627</v>
      </c>
      <c r="D8" s="152"/>
      <c r="E8" s="153">
        <v>2</v>
      </c>
      <c r="F8" s="142"/>
      <c r="G8" s="142"/>
      <c r="H8" s="142" t="s">
        <v>3624</v>
      </c>
    </row>
    <row r="9" spans="2:9">
      <c r="B9" s="141" t="s">
        <v>67</v>
      </c>
      <c r="C9" s="141" t="s">
        <v>3618</v>
      </c>
      <c r="D9" s="142"/>
      <c r="E9" s="143">
        <v>3</v>
      </c>
      <c r="F9" s="142"/>
      <c r="G9" s="142"/>
      <c r="H9" s="105" t="s">
        <v>3628</v>
      </c>
    </row>
    <row r="10" spans="2:9">
      <c r="B10" s="142" t="s">
        <v>190</v>
      </c>
      <c r="C10" s="141" t="s">
        <v>3618</v>
      </c>
      <c r="D10" s="142"/>
      <c r="E10" s="143">
        <v>3</v>
      </c>
      <c r="F10" s="142"/>
      <c r="G10" s="142"/>
      <c r="H10" s="105" t="s">
        <v>3624</v>
      </c>
    </row>
    <row r="11" spans="2:9" s="127" customFormat="1">
      <c r="B11" s="154" t="s">
        <v>91</v>
      </c>
      <c r="C11" s="154" t="s">
        <v>3629</v>
      </c>
      <c r="D11" s="154"/>
      <c r="E11" s="153">
        <v>2</v>
      </c>
      <c r="F11" s="147"/>
      <c r="G11" s="147"/>
      <c r="H11" s="147" t="s">
        <v>3624</v>
      </c>
    </row>
    <row r="12" spans="2:9" s="127" customFormat="1" ht="26.1">
      <c r="B12" s="154" t="s">
        <v>71</v>
      </c>
      <c r="C12" s="154" t="s">
        <v>3630</v>
      </c>
      <c r="D12" s="154" t="s">
        <v>3631</v>
      </c>
      <c r="E12" s="155"/>
      <c r="F12" s="156"/>
      <c r="G12" s="156"/>
      <c r="H12" s="157" t="s">
        <v>3632</v>
      </c>
    </row>
    <row r="13" spans="2:9" s="127" customFormat="1" ht="43.5">
      <c r="B13" s="154" t="s">
        <v>146</v>
      </c>
      <c r="C13" s="154" t="s">
        <v>3633</v>
      </c>
      <c r="D13" s="154" t="s">
        <v>3634</v>
      </c>
      <c r="E13" s="155"/>
      <c r="F13" s="156"/>
      <c r="G13" s="156"/>
      <c r="H13" s="151" t="s">
        <v>3635</v>
      </c>
    </row>
    <row r="14" spans="2:9">
      <c r="B14" s="154" t="s">
        <v>156</v>
      </c>
      <c r="C14" s="154" t="s">
        <v>3636</v>
      </c>
      <c r="D14" s="154" t="s">
        <v>3637</v>
      </c>
      <c r="E14" s="158"/>
      <c r="F14" s="105"/>
      <c r="G14" s="105"/>
      <c r="H14" s="105" t="s">
        <v>3638</v>
      </c>
    </row>
    <row r="15" spans="2:9" s="127" customFormat="1" ht="39">
      <c r="B15" s="144" t="s">
        <v>3639</v>
      </c>
      <c r="C15" s="154" t="s">
        <v>3640</v>
      </c>
      <c r="D15" s="154" t="s">
        <v>3641</v>
      </c>
      <c r="E15" s="153"/>
      <c r="F15" s="147"/>
      <c r="G15" s="147"/>
      <c r="H15" s="157"/>
    </row>
    <row r="16" spans="2:9" s="162" customFormat="1" ht="51.95">
      <c r="B16" s="159" t="s">
        <v>1480</v>
      </c>
      <c r="C16" s="160" t="s">
        <v>3627</v>
      </c>
      <c r="D16" s="161" t="s">
        <v>3642</v>
      </c>
      <c r="E16" s="153"/>
      <c r="F16" s="150"/>
      <c r="G16" s="150"/>
      <c r="H16" s="15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1465D-F91C-4F96-9B13-BE86D4C2BA42}">
  <sheetPr codeName="Hoja7"/>
  <dimension ref="B2:M43"/>
  <sheetViews>
    <sheetView showGridLines="0" topLeftCell="A25" zoomScale="60" zoomScaleNormal="60" workbookViewId="0">
      <selection activeCell="K38" sqref="K38"/>
    </sheetView>
  </sheetViews>
  <sheetFormatPr defaultColWidth="8.7109375" defaultRowHeight="12.95"/>
  <cols>
    <col min="1" max="1" width="3.7109375" style="20" customWidth="1"/>
    <col min="2" max="2" width="14" style="39" customWidth="1"/>
    <col min="3" max="3" width="7.28515625" style="40" bestFit="1" customWidth="1"/>
    <col min="4" max="5" width="6.7109375" style="44" bestFit="1" customWidth="1"/>
    <col min="6" max="6" width="6.5703125" style="44" bestFit="1" customWidth="1"/>
    <col min="7" max="7" width="6.7109375" style="44" bestFit="1" customWidth="1"/>
    <col min="8" max="8" width="8.42578125" style="44" bestFit="1" customWidth="1"/>
    <col min="9" max="9" width="5.7109375" style="44" customWidth="1"/>
    <col min="10" max="10" width="12.42578125" style="44" customWidth="1"/>
    <col min="11" max="11" width="79.85546875" style="44" bestFit="1" customWidth="1"/>
    <col min="12" max="12" width="130.28515625" style="43" customWidth="1"/>
    <col min="13" max="13" width="12.140625" style="20" customWidth="1"/>
    <col min="14" max="16384" width="8.7109375" style="20"/>
  </cols>
  <sheetData>
    <row r="2" spans="2:13" s="10" customFormat="1">
      <c r="B2" s="7" t="s">
        <v>3643</v>
      </c>
      <c r="C2" s="7" t="s">
        <v>3644</v>
      </c>
      <c r="D2" s="8" t="s">
        <v>3645</v>
      </c>
      <c r="E2" s="8" t="s">
        <v>3645</v>
      </c>
      <c r="F2" s="8" t="s">
        <v>3645</v>
      </c>
      <c r="G2" s="8" t="s">
        <v>3644</v>
      </c>
      <c r="H2" s="8" t="s">
        <v>3645</v>
      </c>
      <c r="I2" s="8" t="s">
        <v>3645</v>
      </c>
      <c r="J2" s="8"/>
      <c r="K2" s="8"/>
      <c r="L2" s="9"/>
    </row>
    <row r="3" spans="2:13" s="14" customFormat="1">
      <c r="B3" s="11"/>
      <c r="C3" s="12" t="s">
        <v>3646</v>
      </c>
      <c r="D3" s="12" t="s">
        <v>3647</v>
      </c>
      <c r="E3" s="12" t="s">
        <v>3648</v>
      </c>
      <c r="F3" s="12" t="s">
        <v>3649</v>
      </c>
      <c r="G3" s="13" t="s">
        <v>3650</v>
      </c>
      <c r="H3" s="13" t="s">
        <v>3651</v>
      </c>
      <c r="I3" s="13" t="s">
        <v>3652</v>
      </c>
      <c r="J3" s="13" t="s">
        <v>3653</v>
      </c>
      <c r="K3" s="13" t="s">
        <v>3654</v>
      </c>
      <c r="L3" s="13" t="s">
        <v>3655</v>
      </c>
      <c r="M3" s="13" t="s">
        <v>34</v>
      </c>
    </row>
    <row r="4" spans="2:13" ht="26.1">
      <c r="B4" s="15" t="s">
        <v>58</v>
      </c>
      <c r="C4" s="16"/>
      <c r="D4" s="17">
        <v>7</v>
      </c>
      <c r="E4" s="18"/>
      <c r="F4" s="18"/>
      <c r="G4" s="18"/>
      <c r="H4" s="18"/>
      <c r="I4" s="18"/>
      <c r="J4" s="18"/>
      <c r="K4" s="106" t="s">
        <v>3656</v>
      </c>
      <c r="L4" s="19" t="s">
        <v>3657</v>
      </c>
      <c r="M4" s="19" t="s">
        <v>3658</v>
      </c>
    </row>
    <row r="5" spans="2:13">
      <c r="B5" s="15" t="s">
        <v>174</v>
      </c>
      <c r="C5" s="16"/>
      <c r="D5" s="110"/>
      <c r="E5" s="18"/>
      <c r="F5" s="18"/>
      <c r="G5" s="18"/>
      <c r="H5" s="18"/>
      <c r="I5" s="18">
        <v>2</v>
      </c>
      <c r="J5" s="18"/>
      <c r="K5" s="21"/>
      <c r="L5" s="19" t="s">
        <v>3659</v>
      </c>
      <c r="M5" s="19"/>
    </row>
    <row r="6" spans="2:13" ht="26.1">
      <c r="B6" s="15" t="s">
        <v>3660</v>
      </c>
      <c r="C6" s="16" t="s">
        <v>3661</v>
      </c>
      <c r="D6" s="17">
        <v>8</v>
      </c>
      <c r="E6" s="18"/>
      <c r="F6" s="18"/>
      <c r="G6" s="18" t="s">
        <v>3661</v>
      </c>
      <c r="H6" s="18"/>
      <c r="I6" s="18">
        <v>1</v>
      </c>
      <c r="J6" s="18"/>
      <c r="K6" s="106" t="s">
        <v>3656</v>
      </c>
      <c r="L6" s="19" t="s">
        <v>3662</v>
      </c>
      <c r="M6" s="19" t="s">
        <v>3663</v>
      </c>
    </row>
    <row r="7" spans="2:13" ht="26.1">
      <c r="B7" s="15" t="s">
        <v>610</v>
      </c>
      <c r="C7" s="16" t="s">
        <v>3661</v>
      </c>
      <c r="D7" s="17">
        <v>5</v>
      </c>
      <c r="E7" s="18">
        <v>3</v>
      </c>
      <c r="F7" s="18"/>
      <c r="G7" s="18" t="s">
        <v>3661</v>
      </c>
      <c r="H7" s="18"/>
      <c r="I7" s="18"/>
      <c r="J7" s="18"/>
      <c r="K7" s="106" t="s">
        <v>3656</v>
      </c>
      <c r="L7" s="19" t="s">
        <v>3664</v>
      </c>
      <c r="M7" s="19"/>
    </row>
    <row r="8" spans="2:13">
      <c r="B8" s="15" t="s">
        <v>91</v>
      </c>
      <c r="C8" s="16" t="s">
        <v>3661</v>
      </c>
      <c r="D8" s="18"/>
      <c r="E8" s="18">
        <v>5</v>
      </c>
      <c r="F8" s="18"/>
      <c r="G8" s="18"/>
      <c r="H8" s="18">
        <v>1</v>
      </c>
      <c r="I8" s="18"/>
      <c r="J8" s="18"/>
      <c r="K8" s="21"/>
      <c r="L8" s="19" t="s">
        <v>3665</v>
      </c>
      <c r="M8" s="19"/>
    </row>
    <row r="9" spans="2:13" ht="26.1">
      <c r="B9" s="15" t="s">
        <v>86</v>
      </c>
      <c r="C9" s="16" t="s">
        <v>3661</v>
      </c>
      <c r="D9" s="18"/>
      <c r="E9" s="18"/>
      <c r="F9" s="18"/>
      <c r="G9" s="18"/>
      <c r="H9" s="18"/>
      <c r="I9" s="18"/>
      <c r="J9" s="18"/>
      <c r="K9" s="107" t="s">
        <v>3666</v>
      </c>
      <c r="L9" s="19" t="s">
        <v>3667</v>
      </c>
      <c r="M9" s="19" t="s">
        <v>3663</v>
      </c>
    </row>
    <row r="10" spans="2:13">
      <c r="B10" s="426" t="s">
        <v>75</v>
      </c>
      <c r="C10" s="22"/>
      <c r="D10" s="18"/>
      <c r="E10" s="18">
        <v>2</v>
      </c>
      <c r="F10" s="18"/>
      <c r="G10" s="18"/>
      <c r="H10" s="18"/>
      <c r="I10" s="18"/>
      <c r="J10" s="18"/>
      <c r="K10" s="21"/>
      <c r="L10" s="19"/>
      <c r="M10" s="19"/>
    </row>
    <row r="11" spans="2:13">
      <c r="B11" s="427"/>
      <c r="C11" s="18"/>
      <c r="D11" s="18"/>
      <c r="E11" s="18"/>
      <c r="F11" s="18"/>
      <c r="G11" s="18"/>
      <c r="H11" s="18"/>
      <c r="I11" s="18"/>
      <c r="J11" s="18"/>
      <c r="K11" s="21"/>
      <c r="L11" s="19"/>
      <c r="M11" s="19"/>
    </row>
    <row r="12" spans="2:13">
      <c r="B12" s="428"/>
      <c r="C12" s="18"/>
      <c r="D12" s="18"/>
      <c r="E12" s="18"/>
      <c r="F12" s="18"/>
      <c r="G12" s="18"/>
      <c r="H12" s="18"/>
      <c r="I12" s="18"/>
      <c r="J12" s="18"/>
      <c r="K12" s="21"/>
      <c r="L12" s="19"/>
      <c r="M12" s="19"/>
    </row>
    <row r="13" spans="2:13">
      <c r="B13" s="15" t="s">
        <v>67</v>
      </c>
      <c r="C13" s="16"/>
      <c r="D13" s="18"/>
      <c r="E13" s="18">
        <v>4</v>
      </c>
      <c r="F13" s="18"/>
      <c r="G13" s="18"/>
      <c r="H13" s="18"/>
      <c r="I13" s="18"/>
      <c r="J13" s="18"/>
      <c r="K13" s="106"/>
      <c r="L13" s="19"/>
      <c r="M13" s="19"/>
    </row>
    <row r="14" spans="2:13" ht="26.1">
      <c r="B14" s="429" t="s">
        <v>690</v>
      </c>
      <c r="C14" s="18" t="s">
        <v>3661</v>
      </c>
      <c r="D14" s="18"/>
      <c r="E14" s="18">
        <v>6</v>
      </c>
      <c r="F14" s="18">
        <v>1</v>
      </c>
      <c r="G14" s="18"/>
      <c r="H14" s="18" t="s">
        <v>3661</v>
      </c>
      <c r="I14" s="18"/>
      <c r="J14" s="18"/>
      <c r="K14" s="107" t="s">
        <v>3668</v>
      </c>
      <c r="L14" s="19" t="s">
        <v>3669</v>
      </c>
      <c r="M14" s="19"/>
    </row>
    <row r="15" spans="2:13">
      <c r="B15" s="429"/>
      <c r="C15" s="18"/>
      <c r="D15" s="18"/>
      <c r="E15" s="18"/>
      <c r="F15" s="18"/>
      <c r="G15" s="18"/>
      <c r="H15" s="18"/>
      <c r="I15" s="18"/>
      <c r="J15" s="18"/>
      <c r="K15" s="21"/>
      <c r="L15" s="19"/>
      <c r="M15" s="19"/>
    </row>
    <row r="16" spans="2:13">
      <c r="B16" s="429"/>
      <c r="C16" s="18"/>
      <c r="D16" s="18"/>
      <c r="E16" s="18"/>
      <c r="F16" s="18">
        <v>1</v>
      </c>
      <c r="G16" s="18"/>
      <c r="H16" s="18"/>
      <c r="I16" s="18"/>
      <c r="J16" s="18"/>
      <c r="K16" s="21"/>
      <c r="L16" s="19"/>
      <c r="M16" s="19"/>
    </row>
    <row r="17" spans="2:13">
      <c r="B17" s="429"/>
      <c r="C17" s="18"/>
      <c r="D17" s="18"/>
      <c r="E17" s="18"/>
      <c r="F17" s="18"/>
      <c r="G17" s="18"/>
      <c r="H17" s="18"/>
      <c r="I17" s="18"/>
      <c r="J17" s="18"/>
      <c r="K17" s="21"/>
      <c r="L17" s="19"/>
      <c r="M17" s="19"/>
    </row>
    <row r="18" spans="2:13" ht="26.1">
      <c r="B18" s="15" t="s">
        <v>214</v>
      </c>
      <c r="C18" s="23"/>
      <c r="D18" s="17">
        <v>1</v>
      </c>
      <c r="E18" s="18"/>
      <c r="F18" s="18"/>
      <c r="G18" s="18"/>
      <c r="H18" s="18">
        <v>1</v>
      </c>
      <c r="I18" s="18"/>
      <c r="J18" s="18"/>
      <c r="K18" s="106" t="s">
        <v>3656</v>
      </c>
      <c r="L18" s="19" t="s">
        <v>3670</v>
      </c>
      <c r="M18" s="19" t="s">
        <v>3663</v>
      </c>
    </row>
    <row r="19" spans="2:13">
      <c r="B19" s="421" t="s">
        <v>146</v>
      </c>
      <c r="C19" s="23"/>
      <c r="D19" s="18"/>
      <c r="E19" s="18"/>
      <c r="F19" s="18"/>
      <c r="G19" s="18"/>
      <c r="H19" s="18"/>
      <c r="I19" s="18"/>
      <c r="J19" s="18"/>
      <c r="K19" s="21"/>
      <c r="L19" s="19"/>
      <c r="M19" s="19"/>
    </row>
    <row r="20" spans="2:13">
      <c r="B20" s="430"/>
      <c r="C20" s="25"/>
      <c r="D20" s="18"/>
      <c r="E20" s="18"/>
      <c r="F20" s="18"/>
      <c r="G20" s="18"/>
      <c r="H20" s="18"/>
      <c r="I20" s="18"/>
      <c r="J20" s="18"/>
      <c r="K20" s="21"/>
      <c r="L20" s="19"/>
      <c r="M20" s="19"/>
    </row>
    <row r="21" spans="2:13">
      <c r="B21" s="422"/>
      <c r="C21" s="25"/>
      <c r="D21" s="18"/>
      <c r="E21" s="18"/>
      <c r="F21" s="18"/>
      <c r="G21" s="18"/>
      <c r="H21" s="18"/>
      <c r="I21" s="18"/>
      <c r="J21" s="18">
        <v>1</v>
      </c>
      <c r="K21" s="107" t="s">
        <v>3671</v>
      </c>
      <c r="L21" s="19" t="s">
        <v>3672</v>
      </c>
      <c r="M21" s="19"/>
    </row>
    <row r="22" spans="2:13" ht="26.1">
      <c r="B22" s="15" t="s">
        <v>129</v>
      </c>
      <c r="C22" s="26"/>
      <c r="D22" s="17">
        <v>5</v>
      </c>
      <c r="E22" s="18">
        <v>2</v>
      </c>
      <c r="F22" s="18">
        <v>1</v>
      </c>
      <c r="G22" s="18"/>
      <c r="H22" s="18">
        <v>1</v>
      </c>
      <c r="I22" s="18"/>
      <c r="J22" s="18"/>
      <c r="K22" s="106" t="s">
        <v>3656</v>
      </c>
      <c r="L22" s="19" t="s">
        <v>3673</v>
      </c>
      <c r="M22" s="19"/>
    </row>
    <row r="23" spans="2:13">
      <c r="B23" s="15" t="s">
        <v>163</v>
      </c>
      <c r="C23" s="26" t="s">
        <v>3661</v>
      </c>
      <c r="D23" s="17"/>
      <c r="E23" s="18">
        <v>3</v>
      </c>
      <c r="F23" s="18"/>
      <c r="G23" s="18"/>
      <c r="H23" s="18"/>
      <c r="I23" s="18"/>
      <c r="J23" s="18"/>
      <c r="K23" s="21"/>
      <c r="L23" s="19" t="s">
        <v>3674</v>
      </c>
      <c r="M23" s="19" t="s">
        <v>3675</v>
      </c>
    </row>
    <row r="24" spans="2:13" ht="26.1">
      <c r="B24" s="421" t="s">
        <v>99</v>
      </c>
      <c r="C24" s="431" t="s">
        <v>3661</v>
      </c>
      <c r="D24" s="434">
        <v>5</v>
      </c>
      <c r="E24" s="423"/>
      <c r="F24" s="423">
        <v>2</v>
      </c>
      <c r="G24" s="423"/>
      <c r="H24" s="423"/>
      <c r="I24" s="423"/>
      <c r="J24" s="423"/>
      <c r="K24" s="106" t="s">
        <v>3656</v>
      </c>
      <c r="L24" s="19" t="s">
        <v>3676</v>
      </c>
      <c r="M24" s="19" t="s">
        <v>3677</v>
      </c>
    </row>
    <row r="25" spans="2:13">
      <c r="B25" s="430"/>
      <c r="C25" s="432"/>
      <c r="D25" s="435"/>
      <c r="E25" s="424"/>
      <c r="F25" s="424"/>
      <c r="G25" s="424"/>
      <c r="H25" s="424"/>
      <c r="I25" s="424"/>
      <c r="J25" s="424"/>
      <c r="K25" s="107" t="s">
        <v>3678</v>
      </c>
      <c r="L25" s="19" t="s">
        <v>3679</v>
      </c>
      <c r="M25" s="19" t="s">
        <v>3663</v>
      </c>
    </row>
    <row r="26" spans="2:13">
      <c r="B26" s="422"/>
      <c r="C26" s="433"/>
      <c r="D26" s="436"/>
      <c r="E26" s="425"/>
      <c r="F26" s="425"/>
      <c r="G26" s="425"/>
      <c r="H26" s="425"/>
      <c r="I26" s="425"/>
      <c r="J26" s="425"/>
      <c r="K26" s="138" t="s">
        <v>3680</v>
      </c>
      <c r="L26" s="19" t="s">
        <v>3681</v>
      </c>
      <c r="M26" s="19" t="s">
        <v>3663</v>
      </c>
    </row>
    <row r="27" spans="2:13">
      <c r="B27" s="27" t="s">
        <v>71</v>
      </c>
      <c r="C27" s="26"/>
      <c r="D27" s="18"/>
      <c r="E27" s="18">
        <v>1</v>
      </c>
      <c r="F27" s="18">
        <v>1</v>
      </c>
      <c r="G27" s="18"/>
      <c r="H27" s="18"/>
      <c r="I27" s="18"/>
      <c r="J27" s="18"/>
      <c r="K27" s="21"/>
      <c r="L27" s="19" t="s">
        <v>3682</v>
      </c>
      <c r="M27" s="19" t="s">
        <v>3683</v>
      </c>
    </row>
    <row r="28" spans="2:13" ht="26.1">
      <c r="B28" s="421" t="s">
        <v>54</v>
      </c>
      <c r="C28" s="26"/>
      <c r="D28" s="17">
        <v>5</v>
      </c>
      <c r="E28" s="18"/>
      <c r="F28" s="18"/>
      <c r="G28" s="18"/>
      <c r="H28" s="18"/>
      <c r="I28" s="18"/>
      <c r="J28" s="18"/>
      <c r="K28" s="106" t="s">
        <v>3656</v>
      </c>
      <c r="L28" s="19"/>
      <c r="M28" s="19" t="s">
        <v>3683</v>
      </c>
    </row>
    <row r="29" spans="2:13">
      <c r="B29" s="422"/>
      <c r="C29" s="26"/>
      <c r="D29" s="18"/>
      <c r="E29" s="18"/>
      <c r="F29" s="18"/>
      <c r="G29" s="18"/>
      <c r="H29" s="18"/>
      <c r="I29" s="18"/>
      <c r="J29" s="18"/>
      <c r="K29" s="21"/>
      <c r="L29" s="19" t="s">
        <v>3684</v>
      </c>
      <c r="M29" s="19" t="s">
        <v>3683</v>
      </c>
    </row>
    <row r="30" spans="2:13" ht="26.1">
      <c r="B30" s="15" t="s">
        <v>178</v>
      </c>
      <c r="C30" s="28" t="s">
        <v>3661</v>
      </c>
      <c r="D30" s="29">
        <v>8</v>
      </c>
      <c r="E30" s="28">
        <v>8</v>
      </c>
      <c r="F30" s="28"/>
      <c r="G30" s="28"/>
      <c r="H30" s="28"/>
      <c r="I30" s="28"/>
      <c r="J30" s="28"/>
      <c r="K30" s="106" t="s">
        <v>3656</v>
      </c>
      <c r="L30" s="30" t="s">
        <v>3685</v>
      </c>
      <c r="M30" s="30" t="s">
        <v>3663</v>
      </c>
    </row>
    <row r="31" spans="2:13" ht="14.45">
      <c r="B31" s="15" t="s">
        <v>156</v>
      </c>
      <c r="C31" s="28" t="s">
        <v>3661</v>
      </c>
      <c r="D31" s="110"/>
      <c r="E31" s="28">
        <v>6</v>
      </c>
      <c r="F31" s="28">
        <v>1</v>
      </c>
      <c r="G31" s="28"/>
      <c r="H31" s="28"/>
      <c r="I31" s="28"/>
      <c r="J31" s="28"/>
      <c r="K31" s="136" t="s">
        <v>3686</v>
      </c>
      <c r="L31" s="32" t="s">
        <v>3687</v>
      </c>
      <c r="M31" s="30" t="s">
        <v>3683</v>
      </c>
    </row>
    <row r="32" spans="2:13" ht="26.1">
      <c r="B32" s="15" t="s">
        <v>170</v>
      </c>
      <c r="C32" s="28" t="s">
        <v>3661</v>
      </c>
      <c r="D32" s="29">
        <v>7</v>
      </c>
      <c r="E32" s="28">
        <v>6</v>
      </c>
      <c r="F32" s="28"/>
      <c r="G32" s="28"/>
      <c r="H32" s="28"/>
      <c r="I32" s="28"/>
      <c r="J32" s="28"/>
      <c r="K32" s="106" t="s">
        <v>3656</v>
      </c>
      <c r="L32" s="30" t="s">
        <v>3688</v>
      </c>
      <c r="M32" s="30" t="s">
        <v>3683</v>
      </c>
    </row>
    <row r="33" spans="2:13" ht="26.1">
      <c r="B33" s="15" t="s">
        <v>138</v>
      </c>
      <c r="C33" s="28" t="s">
        <v>3661</v>
      </c>
      <c r="D33" s="29">
        <v>5</v>
      </c>
      <c r="E33" s="28">
        <v>5</v>
      </c>
      <c r="F33" s="28"/>
      <c r="G33" s="28" t="s">
        <v>3661</v>
      </c>
      <c r="H33" s="28"/>
      <c r="I33" s="28"/>
      <c r="J33" s="28"/>
      <c r="K33" s="106" t="s">
        <v>3656</v>
      </c>
      <c r="L33" s="30"/>
      <c r="M33" s="30" t="s">
        <v>3683</v>
      </c>
    </row>
    <row r="34" spans="2:13" ht="14.45">
      <c r="B34" s="15" t="s">
        <v>116</v>
      </c>
      <c r="C34" s="28" t="s">
        <v>3661</v>
      </c>
      <c r="D34" s="18"/>
      <c r="E34" s="28"/>
      <c r="F34" s="28"/>
      <c r="G34" s="28"/>
      <c r="H34" s="28"/>
      <c r="I34" s="28"/>
      <c r="J34" s="28"/>
      <c r="K34" s="31"/>
      <c r="L34" s="30"/>
      <c r="M34" s="30"/>
    </row>
    <row r="35" spans="2:13" ht="14.45">
      <c r="B35" s="24" t="s">
        <v>190</v>
      </c>
      <c r="C35" s="33" t="s">
        <v>3661</v>
      </c>
      <c r="D35" s="18"/>
      <c r="E35" s="33"/>
      <c r="F35" s="33"/>
      <c r="G35" s="33"/>
      <c r="H35" s="33"/>
      <c r="I35" s="33"/>
      <c r="J35" s="33"/>
      <c r="K35" s="34"/>
      <c r="L35" s="35"/>
      <c r="M35" s="35" t="s">
        <v>3683</v>
      </c>
    </row>
    <row r="36" spans="2:13" ht="14.45">
      <c r="B36" s="36" t="s">
        <v>256</v>
      </c>
      <c r="C36" s="37" t="s">
        <v>3661</v>
      </c>
      <c r="D36" s="110"/>
      <c r="E36" s="37">
        <v>1</v>
      </c>
      <c r="F36" s="37"/>
      <c r="G36" s="37"/>
      <c r="H36" s="37"/>
      <c r="I36" s="37"/>
      <c r="J36" s="37"/>
      <c r="K36" s="136" t="s">
        <v>1784</v>
      </c>
      <c r="L36" s="38" t="s">
        <v>3689</v>
      </c>
      <c r="M36" s="38" t="s">
        <v>3690</v>
      </c>
    </row>
    <row r="37" spans="2:13" ht="14.45">
      <c r="B37" s="36" t="s">
        <v>222</v>
      </c>
      <c r="C37" s="37" t="s">
        <v>3691</v>
      </c>
      <c r="D37" s="18"/>
      <c r="E37" s="37"/>
      <c r="F37" s="37"/>
      <c r="G37" s="37"/>
      <c r="H37" s="37"/>
      <c r="I37" s="37"/>
      <c r="J37" s="37"/>
      <c r="K37" s="136" t="s">
        <v>3692</v>
      </c>
      <c r="L37" s="38" t="s">
        <v>3693</v>
      </c>
      <c r="M37" s="38" t="s">
        <v>3694</v>
      </c>
    </row>
    <row r="38" spans="2:13" ht="14.45">
      <c r="B38" s="36" t="s">
        <v>79</v>
      </c>
      <c r="C38" s="37"/>
      <c r="D38" s="110"/>
      <c r="E38" s="37"/>
      <c r="F38" s="37"/>
      <c r="G38" s="37"/>
      <c r="H38" s="37"/>
      <c r="I38" s="37"/>
      <c r="J38" s="37">
        <v>1</v>
      </c>
      <c r="K38" s="136" t="s">
        <v>3695</v>
      </c>
      <c r="L38" s="38" t="s">
        <v>3696</v>
      </c>
      <c r="M38" s="38" t="s">
        <v>3683</v>
      </c>
    </row>
    <row r="39" spans="2:13" ht="14.45">
      <c r="B39" s="36" t="s">
        <v>63</v>
      </c>
      <c r="C39" s="37"/>
      <c r="D39" s="18"/>
      <c r="E39" s="37"/>
      <c r="F39" s="37"/>
      <c r="G39" s="37"/>
      <c r="H39" s="37"/>
      <c r="I39" s="37"/>
      <c r="J39" s="37"/>
      <c r="K39" s="37"/>
      <c r="L39" s="38"/>
      <c r="M39" s="38"/>
    </row>
    <row r="40" spans="2:13" ht="14.45">
      <c r="B40" s="36" t="s">
        <v>413</v>
      </c>
      <c r="C40" s="37"/>
      <c r="D40" s="110"/>
      <c r="E40" s="37"/>
      <c r="F40" s="37"/>
      <c r="G40" s="37"/>
      <c r="H40" s="37"/>
      <c r="I40" s="37"/>
      <c r="J40" s="37"/>
      <c r="K40" s="37"/>
      <c r="L40" s="38"/>
      <c r="M40" s="38"/>
    </row>
    <row r="41" spans="2:13" ht="14.45">
      <c r="B41" s="36" t="s">
        <v>1609</v>
      </c>
      <c r="C41" s="37"/>
      <c r="D41" s="110"/>
      <c r="E41" s="37"/>
      <c r="F41" s="37"/>
      <c r="G41" s="37"/>
      <c r="H41" s="37"/>
      <c r="I41" s="37"/>
      <c r="J41" s="37"/>
      <c r="K41" s="37"/>
      <c r="L41" s="38"/>
      <c r="M41" s="38"/>
    </row>
    <row r="42" spans="2:13" ht="14.45">
      <c r="B42" s="36" t="s">
        <v>133</v>
      </c>
      <c r="C42" s="37"/>
      <c r="D42" s="18"/>
      <c r="E42" s="37"/>
      <c r="F42" s="37"/>
      <c r="G42" s="37"/>
      <c r="H42" s="37"/>
      <c r="I42" s="37"/>
      <c r="J42" s="37"/>
      <c r="K42" s="37"/>
      <c r="L42" s="38"/>
      <c r="M42" s="38"/>
    </row>
    <row r="43" spans="2:13">
      <c r="D43" s="41">
        <f>SUM(D4:D36)</f>
        <v>56</v>
      </c>
      <c r="E43" s="41">
        <f>SUM(E5:E36)</f>
        <v>52</v>
      </c>
      <c r="F43" s="41">
        <f>SUM(F5:F36)</f>
        <v>7</v>
      </c>
      <c r="G43" s="41"/>
      <c r="H43" s="41">
        <f t="shared" ref="H43:I43" si="0">SUM(H5:H36)</f>
        <v>3</v>
      </c>
      <c r="I43" s="41">
        <f t="shared" si="0"/>
        <v>3</v>
      </c>
      <c r="J43" s="42"/>
      <c r="K43" s="42"/>
    </row>
  </sheetData>
  <autoFilter ref="B3:M43" xr:uid="{5BC1465D-F91C-4F96-9B13-BE86D4C2BA42}"/>
  <mergeCells count="13">
    <mergeCell ref="I24:I26"/>
    <mergeCell ref="J24:J26"/>
    <mergeCell ref="B10:B12"/>
    <mergeCell ref="B14:B17"/>
    <mergeCell ref="B19:B21"/>
    <mergeCell ref="B24:B26"/>
    <mergeCell ref="C24:C26"/>
    <mergeCell ref="D24:D26"/>
    <mergeCell ref="B28:B29"/>
    <mergeCell ref="E24:E26"/>
    <mergeCell ref="F24:F26"/>
    <mergeCell ref="G24:G26"/>
    <mergeCell ref="H24:H26"/>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6771F748DDE4B9842627375496F4A" ma:contentTypeVersion="5" ma:contentTypeDescription="Create a new document." ma:contentTypeScope="" ma:versionID="e35519780b22f1fee2bc761507f68172">
  <xsd:schema xmlns:xsd="http://www.w3.org/2001/XMLSchema" xmlns:xs="http://www.w3.org/2001/XMLSchema" xmlns:p="http://schemas.microsoft.com/office/2006/metadata/properties" xmlns:ns1="http://schemas.microsoft.com/sharepoint/v3" xmlns:ns2="8e8dcd88-7e7a-4f4d-8ec3-00dc3b84c1f6" targetNamespace="http://schemas.microsoft.com/office/2006/metadata/properties" ma:root="true" ma:fieldsID="f43526d3fd8c3859b0d99c9d47b6216e" ns1:_="" ns2:_="">
    <xsd:import namespace="http://schemas.microsoft.com/sharepoint/v3"/>
    <xsd:import namespace="8e8dcd88-7e7a-4f4d-8ec3-00dc3b84c1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8dcd88-7e7a-4f4d-8ec3-00dc3b84c1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5AF3E3-6FAD-4F28-AE7A-695E458177D0}"/>
</file>

<file path=customXml/itemProps2.xml><?xml version="1.0" encoding="utf-8"?>
<ds:datastoreItem xmlns:ds="http://schemas.openxmlformats.org/officeDocument/2006/customXml" ds:itemID="{21CFA2CA-7F2A-408F-A33C-67278273F519}"/>
</file>

<file path=customXml/itemProps3.xml><?xml version="1.0" encoding="utf-8"?>
<ds:datastoreItem xmlns:ds="http://schemas.openxmlformats.org/officeDocument/2006/customXml" ds:itemID="{3A0474C4-8CA8-496D-999E-02D17C26E2F0}"/>
</file>

<file path=docMetadata/LabelInfo.xml><?xml version="1.0" encoding="utf-8"?>
<clbl:labelList xmlns:clbl="http://schemas.microsoft.com/office/2020/mipLabelMetadata">
  <clbl:label id="{587b6ea1-3db9-4fe1-a9d7-85d4c64ce5cc}" enabled="0" method="" siteId="{587b6ea1-3db9-4fe1-a9d7-85d4c64ce5c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Villasevil Plaza, V. (Veronica)</dc:creator>
  <cp:keywords/>
  <dc:description/>
  <cp:lastModifiedBy>Poladura, L. (Luis)</cp:lastModifiedBy>
  <cp:revision/>
  <dcterms:created xsi:type="dcterms:W3CDTF">2015-06-05T18:17:20Z</dcterms:created>
  <dcterms:modified xsi:type="dcterms:W3CDTF">2026-09-18T11:17:25Z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0x01010035C6771F748DDE4B9842627375496F4A</vt:lpwstr>
  </property>
  <property fmtid="{D5CDD505-2E9C-101B-9397-08002B2CF9AE}" pid="3" name="Order">
    <vt:r8>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